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nfronto" sheetId="2" state="visible" r:id="rId2"/>
    <sheet name="Unitaria" sheetId="3" state="visible" r:id="rId3"/>
    <sheet name="Parametri" sheetId="4" state="visible" r:id="rId4"/>
    <sheet name="Progetto" sheetId="5" state="visible" r:id="rId5"/>
    <sheet name="S1 Base" sheetId="6" state="visible" r:id="rId6"/>
    <sheet name="S2 Ritardo" sheetId="7" state="visible" r:id="rId7"/>
    <sheet name="S3 Avverso" sheetId="8" state="visible" r:id="rId8"/>
    <sheet name="S4 Avverso+arresto" sheetId="9" state="visible" r:id="rId9"/>
    <sheet name="S5 Tutto insie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#,##0.00;(#,##0.00);&quot;-&quot;"/>
    <numFmt numFmtId="167" formatCode="0.000;(0.000);&quot;-&quot;"/>
    <numFmt numFmtId="168" formatCode="#,##0.0;(#,##0.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wrapText="1"/>
    </xf>
    <xf numFmtId="164" fontId="6" fillId="0" borderId="0" pivotButton="0" quotePrefix="0" xfId="0"/>
    <xf numFmtId="1" fontId="6" fillId="0" borderId="0" pivotButton="0" quotePrefix="0" xfId="0"/>
    <xf numFmtId="3" fontId="6" fillId="0" borderId="0" pivotButton="0" quotePrefix="0" xfId="0"/>
    <xf numFmtId="166" fontId="6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5" fontId="5" fillId="3" borderId="0" pivotButton="0" quotePrefix="0" xfId="0"/>
    <xf numFmtId="166" fontId="0" fillId="0" borderId="0" pivotButton="0" quotePrefix="0" xfId="0"/>
    <xf numFmtId="166" fontId="5" fillId="3" borderId="0" pivotButton="0" quotePrefix="0" xfId="0"/>
    <xf numFmtId="0" fontId="2" fillId="2" borderId="0" applyAlignment="1" pivotButton="0" quotePrefix="0" xfId="0">
      <alignment vertical="center" wrapText="1"/>
    </xf>
    <xf numFmtId="0" fontId="5" fillId="3" borderId="0" pivotButton="0" quotePrefix="0" xfId="0"/>
    <xf numFmtId="164" fontId="5" fillId="3" borderId="0" pivotButton="0" quotePrefix="0" xfId="0"/>
    <xf numFmtId="2" fontId="5" fillId="3" borderId="0" pivotButton="0" quotePrefix="0" xfId="0"/>
    <xf numFmtId="165" fontId="3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4" fontId="2" fillId="4" borderId="0" pivotButton="0" quotePrefix="0" xfId="0"/>
    <xf numFmtId="164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Kriné Labs · Modello di cassa mensile a 30 mesi</t>
        </is>
      </c>
    </row>
    <row r="2">
      <c r="A2" t="inlineStr"/>
    </row>
    <row r="3">
      <c r="A3" s="2" t="inlineStr">
        <is>
          <t>A che cosa serve</t>
        </is>
      </c>
    </row>
    <row r="4">
      <c r="A4" s="3" t="inlineStr">
        <is>
          <t>Calcola mese per mese la cassa della società dalla chiusura della raccolta al mese 30: spese di sviluppo, scorte,</t>
        </is>
      </c>
    </row>
    <row r="5">
      <c r="A5" s="3" t="inlineStr">
        <is>
          <t>pubblicità, incassi, IVA, rimborsi della garanzia. Cassa minima e fabbisogno sono risultati, non ipotesi.</t>
        </is>
      </c>
    </row>
    <row r="6">
      <c r="A6" t="inlineStr"/>
    </row>
    <row r="7">
      <c r="A7" s="2" t="inlineStr">
        <is>
          <t>Come si usa</t>
        </is>
      </c>
    </row>
    <row r="8">
      <c r="A8" s="3" t="inlineStr">
        <is>
          <t>1. Si modificano solo le celle in blu su fondo giallo del foglio Parametri e gli importi del foglio Progetto.</t>
        </is>
      </c>
    </row>
    <row r="9">
      <c r="A9" s="3" t="inlineStr">
        <is>
          <t>2. Ogni colonna di Parametri è uno scenario. Ogni scenario ha il suo foglio di calcolo (S1…S5).</t>
        </is>
      </c>
    </row>
    <row r="10">
      <c r="A10" s="3" t="inlineStr">
        <is>
          <t>3. Il foglio Confronto mette i risultati uno accanto all'altro. Il foglio Unitaria mostra l'economia per ordine e per cliente.</t>
        </is>
      </c>
    </row>
    <row r="11">
      <c r="A11" t="inlineStr"/>
    </row>
    <row r="12">
      <c r="A12" s="2" t="inlineStr">
        <is>
          <t>Colori</t>
        </is>
      </c>
    </row>
    <row r="13">
      <c r="A13" s="3" t="inlineStr">
        <is>
          <t>Testo blu su fondo giallo: valore inserito a mano, da discutere · Testo nero: formula · Testo verde: collegamento a un altro foglio</t>
        </is>
      </c>
    </row>
    <row r="14">
      <c r="A14" t="inlineStr"/>
    </row>
    <row r="15">
      <c r="A15" s="2" t="inlineStr">
        <is>
          <t>Convenzioni</t>
        </is>
      </c>
    </row>
    <row r="16">
      <c r="A16" s="3" t="inlineStr">
        <is>
          <t>Mese 1 = primo mese dopo la chiusura della raccolta. Importi in euro. Le spese di progetto sono al netto dell'IVA; l'IVA pagata</t>
        </is>
      </c>
    </row>
    <row r="17">
      <c r="A17" s="3" t="inlineStr">
        <is>
          <t>ai fornitori italiani è calcolata a parte e recuperata compensandola con l'IVA sulle vendite. Pubblicità, piattaforme e</t>
        </is>
      </c>
    </row>
    <row r="18">
      <c r="A18" s="3" t="inlineStr">
        <is>
          <t>abbonamenti di fornitori UE extra-Italia sono in inversione contabile e non assorbono cassa. Liquidazione IVA mensile, prudente.</t>
        </is>
      </c>
    </row>
    <row r="19">
      <c r="A19" s="3" t="inlineStr">
        <is>
          <t>I fondatori non ricevono compenso dalla società: hanno altre entrate. Imposte sul reddito e IRAP non sono modellate.</t>
        </is>
      </c>
    </row>
    <row r="20">
      <c r="A20" t="inlineStr"/>
    </row>
    <row r="21">
      <c r="A21" s="2" t="inlineStr">
        <is>
          <t>Verifica</t>
        </is>
      </c>
    </row>
    <row r="22">
      <c r="A22" s="3" t="inlineStr">
        <is>
          <t>Il foglio è stato ricalcolato con un valutatore di formule indipendente e confrontato, scenario per scenario e mese per mese,</t>
        </is>
      </c>
    </row>
    <row r="23">
      <c r="A23" s="3" t="inlineStr">
        <is>
          <t>con un secondo modello scritto in Python (motore.py, nella stessa cartella). Le differenze sono sotto un centesimo.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Confronto fra scenari</t>
        </is>
      </c>
    </row>
    <row r="2">
      <c r="A2" s="4" t="inlineStr">
        <is>
          <t>Tutti i valori sono collegamenti ai fogli di scenario: cambiano quando cambiano i Parametri.</t>
        </is>
      </c>
    </row>
    <row r="4">
      <c r="A4" s="5" t="inlineStr">
        <is>
          <t>Risultato</t>
        </is>
      </c>
      <c r="B4" s="5" t="inlineStr">
        <is>
          <t>Base</t>
        </is>
      </c>
      <c r="C4" s="5" t="inlineStr">
        <is>
          <t>Lancio ritardato</t>
        </is>
      </c>
      <c r="D4" s="5" t="inlineStr">
        <is>
          <t>Avverso senza arresto</t>
        </is>
      </c>
      <c r="E4" s="5" t="inlineStr">
        <is>
          <t>Avverso con arresto</t>
        </is>
      </c>
      <c r="F4" s="5" t="inlineStr">
        <is>
          <t>Tutto insieme</t>
        </is>
      </c>
    </row>
    <row r="5">
      <c r="A5" s="3" t="inlineStr">
        <is>
          <t>Cassa minima</t>
        </is>
      </c>
      <c r="B5" s="6">
        <f>'S1 Base'!$C$373</f>
        <v/>
      </c>
      <c r="C5" s="6">
        <f>'S2 Ritardo'!$C$373</f>
        <v/>
      </c>
      <c r="D5" s="6">
        <f>'S3 Avverso'!$C$373</f>
        <v/>
      </c>
      <c r="E5" s="6">
        <f>'S4 Avverso+arresto'!$C$373</f>
        <v/>
      </c>
      <c r="F5" s="6">
        <f>'S5 Tutto insieme'!$C$373</f>
        <v/>
      </c>
    </row>
    <row r="6">
      <c r="A6" s="3" t="inlineStr">
        <is>
          <t>Mese della cassa minima</t>
        </is>
      </c>
      <c r="B6" s="7">
        <f>'S1 Base'!$C$374</f>
        <v/>
      </c>
      <c r="C6" s="7">
        <f>'S2 Ritardo'!$C$374</f>
        <v/>
      </c>
      <c r="D6" s="7">
        <f>'S3 Avverso'!$C$374</f>
        <v/>
      </c>
      <c r="E6" s="7">
        <f>'S4 Avverso+arresto'!$C$374</f>
        <v/>
      </c>
      <c r="F6" s="7">
        <f>'S5 Tutto insieme'!$C$374</f>
        <v/>
      </c>
    </row>
    <row r="7">
      <c r="A7" s="3" t="inlineStr">
        <is>
          <t>Capitale assorbito fino al minimo</t>
        </is>
      </c>
      <c r="B7" s="6">
        <f>'S1 Base'!$C$375</f>
        <v/>
      </c>
      <c r="C7" s="6">
        <f>'S2 Ritardo'!$C$375</f>
        <v/>
      </c>
      <c r="D7" s="6">
        <f>'S3 Avverso'!$C$375</f>
        <v/>
      </c>
      <c r="E7" s="6">
        <f>'S4 Avverso+arresto'!$C$375</f>
        <v/>
      </c>
      <c r="F7" s="6">
        <f>'S5 Tutto insieme'!$C$375</f>
        <v/>
      </c>
    </row>
    <row r="8">
      <c r="A8" s="3" t="inlineStr">
        <is>
          <t>Cassa al mese 24</t>
        </is>
      </c>
      <c r="B8" s="6">
        <f>'S1 Base'!$C$376</f>
        <v/>
      </c>
      <c r="C8" s="6">
        <f>'S2 Ritardo'!$C$376</f>
        <v/>
      </c>
      <c r="D8" s="6">
        <f>'S3 Avverso'!$C$376</f>
        <v/>
      </c>
      <c r="E8" s="6">
        <f>'S4 Avverso+arresto'!$C$376</f>
        <v/>
      </c>
      <c r="F8" s="6">
        <f>'S5 Tutto insieme'!$C$376</f>
        <v/>
      </c>
    </row>
    <row r="9">
      <c r="A9" s="3" t="inlineStr">
        <is>
          <t>Cassa al mese 30</t>
        </is>
      </c>
      <c r="B9" s="6">
        <f>'S1 Base'!$C$377</f>
        <v/>
      </c>
      <c r="C9" s="6">
        <f>'S2 Ritardo'!$C$377</f>
        <v/>
      </c>
      <c r="D9" s="6">
        <f>'S3 Avverso'!$C$377</f>
        <v/>
      </c>
      <c r="E9" s="6">
        <f>'S4 Avverso+arresto'!$C$377</f>
        <v/>
      </c>
      <c r="F9" s="6">
        <f>'S5 Tutto insieme'!$C$377</f>
        <v/>
      </c>
    </row>
    <row r="10">
      <c r="A10" s="3" t="inlineStr">
        <is>
          <t>Nuovi clienti fino al mese 30</t>
        </is>
      </c>
      <c r="B10" s="8">
        <f>'S1 Base'!$C$378</f>
        <v/>
      </c>
      <c r="C10" s="8">
        <f>'S2 Ritardo'!$C$378</f>
        <v/>
      </c>
      <c r="D10" s="8">
        <f>'S3 Avverso'!$C$378</f>
        <v/>
      </c>
      <c r="E10" s="8">
        <f>'S4 Avverso+arresto'!$C$378</f>
        <v/>
      </c>
      <c r="F10" s="8">
        <f>'S5 Tutto insieme'!$C$378</f>
        <v/>
      </c>
    </row>
    <row r="11">
      <c r="A11" s="3" t="inlineStr">
        <is>
          <t>di cui da pubblicità</t>
        </is>
      </c>
      <c r="B11" s="8">
        <f>'S1 Base'!$C$379</f>
        <v/>
      </c>
      <c r="C11" s="8">
        <f>'S2 Ritardo'!$C$379</f>
        <v/>
      </c>
      <c r="D11" s="8">
        <f>'S3 Avverso'!$C$379</f>
        <v/>
      </c>
      <c r="E11" s="8">
        <f>'S4 Avverso+arresto'!$C$379</f>
        <v/>
      </c>
      <c r="F11" s="8">
        <f>'S5 Tutto insieme'!$C$379</f>
        <v/>
      </c>
    </row>
    <row r="12">
      <c r="A12" s="3" t="inlineStr">
        <is>
          <t>Pubblicità fino al mese 30</t>
        </is>
      </c>
      <c r="B12" s="6">
        <f>'S1 Base'!$C$380</f>
        <v/>
      </c>
      <c r="C12" s="6">
        <f>'S2 Ritardo'!$C$380</f>
        <v/>
      </c>
      <c r="D12" s="6">
        <f>'S3 Avverso'!$C$380</f>
        <v/>
      </c>
      <c r="E12" s="6">
        <f>'S4 Avverso+arresto'!$C$380</f>
        <v/>
      </c>
      <c r="F12" s="6">
        <f>'S5 Tutto insieme'!$C$380</f>
        <v/>
      </c>
    </row>
    <row r="13">
      <c r="A13" s="3" t="inlineStr">
        <is>
          <t>Ricavi netti fino al mese 30</t>
        </is>
      </c>
      <c r="B13" s="6">
        <f>'S1 Base'!$C$381</f>
        <v/>
      </c>
      <c r="C13" s="6">
        <f>'S2 Ritardo'!$C$381</f>
        <v/>
      </c>
      <c r="D13" s="6">
        <f>'S3 Avverso'!$C$381</f>
        <v/>
      </c>
      <c r="E13" s="6">
        <f>'S4 Avverso+arresto'!$C$381</f>
        <v/>
      </c>
      <c r="F13" s="6">
        <f>'S5 Tutto insieme'!$C$381</f>
        <v/>
      </c>
    </row>
    <row r="14">
      <c r="A14" s="3" t="inlineStr">
        <is>
          <t>Rimborsi di garanzia pagati</t>
        </is>
      </c>
      <c r="B14" s="6">
        <f>'S1 Base'!$C$382</f>
        <v/>
      </c>
      <c r="C14" s="6">
        <f>'S2 Ritardo'!$C$382</f>
        <v/>
      </c>
      <c r="D14" s="6">
        <f>'S3 Avverso'!$C$382</f>
        <v/>
      </c>
      <c r="E14" s="6">
        <f>'S4 Avverso+arresto'!$C$382</f>
        <v/>
      </c>
      <c r="F14" s="6">
        <f>'S5 Tutto insieme'!$C$382</f>
        <v/>
      </c>
    </row>
    <row r="15">
      <c r="A15" s="3" t="inlineStr">
        <is>
          <t>Esposizione di garanzia massima</t>
        </is>
      </c>
      <c r="B15" s="6">
        <f>'S1 Base'!$C$385</f>
        <v/>
      </c>
      <c r="C15" s="6">
        <f>'S2 Ritardo'!$C$385</f>
        <v/>
      </c>
      <c r="D15" s="6">
        <f>'S3 Avverso'!$C$385</f>
        <v/>
      </c>
      <c r="E15" s="6">
        <f>'S4 Avverso+arresto'!$C$385</f>
        <v/>
      </c>
      <c r="F15" s="6">
        <f>'S5 Tutto insieme'!$C$385</f>
        <v/>
      </c>
    </row>
    <row r="16">
      <c r="A16" s="3" t="inlineStr">
        <is>
          <t>Credito IVA massimo</t>
        </is>
      </c>
      <c r="B16" s="6">
        <f>'S1 Base'!$C$384</f>
        <v/>
      </c>
      <c r="C16" s="6">
        <f>'S2 Ritardo'!$C$384</f>
        <v/>
      </c>
      <c r="D16" s="6">
        <f>'S3 Avverso'!$C$384</f>
        <v/>
      </c>
      <c r="E16" s="6">
        <f>'S4 Avverso+arresto'!$C$384</f>
        <v/>
      </c>
      <c r="F16" s="6">
        <f>'S5 Tutto insieme'!$C$384</f>
        <v/>
      </c>
    </row>
    <row r="17">
      <c r="A17" s="3" t="inlineStr">
        <is>
          <t>Lotti di produzione ordinati</t>
        </is>
      </c>
      <c r="B17" s="7">
        <f>'S1 Base'!$C$383</f>
        <v/>
      </c>
      <c r="C17" s="7">
        <f>'S2 Ritardo'!$C$383</f>
        <v/>
      </c>
      <c r="D17" s="7">
        <f>'S3 Avverso'!$C$383</f>
        <v/>
      </c>
      <c r="E17" s="7">
        <f>'S4 Avverso+arresto'!$C$383</f>
        <v/>
      </c>
      <c r="F17" s="7">
        <f>'S5 Tutto insieme'!$C$383</f>
        <v/>
      </c>
    </row>
    <row r="18">
      <c r="A18" s="3" t="inlineStr">
        <is>
          <t>Contribuzione media del primo ordine</t>
        </is>
      </c>
      <c r="B18" s="9">
        <f>'S1 Base'!$C$390</f>
        <v/>
      </c>
      <c r="C18" s="9">
        <f>'S2 Ritardo'!$C$390</f>
        <v/>
      </c>
      <c r="D18" s="9">
        <f>'S3 Avverso'!$C$390</f>
        <v/>
      </c>
      <c r="E18" s="9">
        <f>'S4 Avverso+arresto'!$C$390</f>
        <v/>
      </c>
      <c r="F18" s="9">
        <f>'S5 Tutto insieme'!$C$390</f>
        <v/>
      </c>
    </row>
    <row r="19">
      <c r="A19" s="3" t="inlineStr">
        <is>
          <t>Valore del cliente medio a 12 mesi</t>
        </is>
      </c>
      <c r="B19" s="9">
        <f>'S1 Base'!$C$387</f>
        <v/>
      </c>
      <c r="C19" s="9">
        <f>'S2 Ritardo'!$C$387</f>
        <v/>
      </c>
      <c r="D19" s="9">
        <f>'S3 Avverso'!$C$387</f>
        <v/>
      </c>
      <c r="E19" s="9">
        <f>'S4 Avverso+arresto'!$C$387</f>
        <v/>
      </c>
      <c r="F19" s="9">
        <f>'S5 Tutto insieme'!$C$387</f>
        <v/>
      </c>
    </row>
    <row r="20">
      <c r="A20" s="3" t="inlineStr">
        <is>
          <t>Valore del cliente medio a 24 mesi</t>
        </is>
      </c>
      <c r="B20" s="9">
        <f>'S1 Base'!$C$388</f>
        <v/>
      </c>
      <c r="C20" s="9">
        <f>'S2 Ritardo'!$C$388</f>
        <v/>
      </c>
      <c r="D20" s="9">
        <f>'S3 Avverso'!$C$388</f>
        <v/>
      </c>
      <c r="E20" s="9">
        <f>'S4 Avverso+arresto'!$C$388</f>
        <v/>
      </c>
      <c r="F20" s="9">
        <f>'S5 Tutto insieme'!$C$388</f>
        <v/>
      </c>
    </row>
    <row r="21">
      <c r="A21" s="3" t="inlineStr">
        <is>
          <t>CAC massimo (regola 2:1 sul valore a 24 mesi)</t>
        </is>
      </c>
      <c r="B21" s="9">
        <f>'S1 Base'!$C$389</f>
        <v/>
      </c>
      <c r="C21" s="9">
        <f>'S2 Ritardo'!$C$389</f>
        <v/>
      </c>
      <c r="D21" s="9">
        <f>'S3 Avverso'!$C$389</f>
        <v/>
      </c>
      <c r="E21" s="9">
        <f>'S4 Avverso+arresto'!$C$389</f>
        <v/>
      </c>
      <c r="F21" s="9">
        <f>'S5 Tutto insieme'!$C$389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Economia per ordine e per cliente (scenario base)</t>
        </is>
      </c>
    </row>
    <row r="2">
      <c r="A2" s="4" t="inlineStr">
        <is>
          <t>Collegata al foglio S1 Base. Per altri valori si cambiano i Parametri.</t>
        </is>
      </c>
    </row>
    <row r="4">
      <c r="A4" s="10" t="inlineStr">
        <is>
          <t>Per ordine (successivo)</t>
        </is>
      </c>
      <c r="B4" s="10" t="inlineStr">
        <is>
          <t>Percorso 6</t>
        </is>
      </c>
      <c r="C4" s="10" t="inlineStr">
        <is>
          <t>Percorso 3</t>
        </is>
      </c>
      <c r="D4" s="10" t="inlineStr">
        <is>
          <t>Abbonamento</t>
        </is>
      </c>
      <c r="E4" s="10" t="inlineStr">
        <is>
          <t>Singolo</t>
        </is>
      </c>
    </row>
    <row r="5">
      <c r="A5" s="3" t="inlineStr">
        <is>
          <t>Prezzo pagato</t>
        </is>
      </c>
      <c r="B5" s="9">
        <f>'S1 Base'!C76</f>
        <v/>
      </c>
      <c r="C5" s="9">
        <f>'S1 Base'!D76</f>
        <v/>
      </c>
      <c r="D5" s="9">
        <f>'S1 Base'!E76</f>
        <v/>
      </c>
      <c r="E5" s="9">
        <f>'S1 Base'!F76</f>
        <v/>
      </c>
    </row>
    <row r="6">
      <c r="A6" s="3" t="inlineStr">
        <is>
          <t>Ricavo netto IVA</t>
        </is>
      </c>
      <c r="B6" s="9">
        <f>'S1 Base'!C77</f>
        <v/>
      </c>
      <c r="C6" s="9">
        <f>'S1 Base'!D77</f>
        <v/>
      </c>
      <c r="D6" s="9">
        <f>'S1 Base'!E77</f>
        <v/>
      </c>
      <c r="E6" s="9">
        <f>'S1 Base'!F77</f>
        <v/>
      </c>
    </row>
    <row r="7">
      <c r="A7" s="3" t="inlineStr">
        <is>
          <t>Costo del prodotto</t>
        </is>
      </c>
      <c r="B7" s="9">
        <f>'S1 Base'!C78</f>
        <v/>
      </c>
      <c r="C7" s="9">
        <f>'S1 Base'!D78</f>
        <v/>
      </c>
      <c r="D7" s="9">
        <f>'S1 Base'!E78</f>
        <v/>
      </c>
      <c r="E7" s="9">
        <f>'S1 Base'!F78</f>
        <v/>
      </c>
    </row>
    <row r="8">
      <c r="A8" s="3" t="inlineStr">
        <is>
          <t>Logistica</t>
        </is>
      </c>
      <c r="B8" s="9">
        <f>'S1 Base'!C79</f>
        <v/>
      </c>
      <c r="C8" s="9">
        <f>'S1 Base'!D79</f>
        <v/>
      </c>
      <c r="D8" s="9">
        <f>'S1 Base'!E79</f>
        <v/>
      </c>
      <c r="E8" s="9">
        <f>'S1 Base'!F79</f>
        <v/>
      </c>
    </row>
    <row r="9">
      <c r="A9" s="3" t="inlineStr">
        <is>
          <t>Commissione di incasso</t>
        </is>
      </c>
      <c r="B9" s="9">
        <f>'S1 Base'!C80</f>
        <v/>
      </c>
      <c r="C9" s="9">
        <f>'S1 Base'!D80</f>
        <v/>
      </c>
      <c r="D9" s="9">
        <f>'S1 Base'!E80</f>
        <v/>
      </c>
      <c r="E9" s="9">
        <f>'S1 Base'!F80</f>
        <v/>
      </c>
    </row>
    <row r="10">
      <c r="A10" s="3" t="inlineStr">
        <is>
          <t>Assistenza e resi ordinari</t>
        </is>
      </c>
      <c r="B10" s="9">
        <f>'S1 Base'!C81</f>
        <v/>
      </c>
      <c r="C10" s="9">
        <f>'S1 Base'!D81</f>
        <v/>
      </c>
      <c r="D10" s="9">
        <f>'S1 Base'!E81</f>
        <v/>
      </c>
      <c r="E10" s="9">
        <f>'S1 Base'!F81</f>
        <v/>
      </c>
    </row>
    <row r="11">
      <c r="A11" s="3" t="inlineStr">
        <is>
          <t>Contribuzione</t>
        </is>
      </c>
      <c r="B11" s="9">
        <f>'S1 Base'!C82</f>
        <v/>
      </c>
      <c r="C11" s="9">
        <f>'S1 Base'!D82</f>
        <v/>
      </c>
      <c r="D11" s="9">
        <f>'S1 Base'!E82</f>
        <v/>
      </c>
      <c r="E11" s="9">
        <f>'S1 Base'!F82</f>
        <v/>
      </c>
    </row>
    <row r="12">
      <c r="A12" s="3" t="inlineStr">
        <is>
          <t>Contribuzione in % del ricavo netto</t>
        </is>
      </c>
      <c r="B12" s="11">
        <f>B11/B6</f>
        <v/>
      </c>
      <c r="C12" s="11">
        <f>C11/C6</f>
        <v/>
      </c>
      <c r="D12" s="11">
        <f>D11/D6</f>
        <v/>
      </c>
      <c r="E12" s="11">
        <f>E11/E6</f>
        <v/>
      </c>
    </row>
    <row r="13">
      <c r="A13" s="3" t="inlineStr">
        <is>
          <t>Contribuzione in % del prezzo pagato</t>
        </is>
      </c>
      <c r="B13" s="11">
        <f>B11/B5</f>
        <v/>
      </c>
      <c r="C13" s="11">
        <f>C11/C5</f>
        <v/>
      </c>
      <c r="D13" s="11">
        <f>D11/D5</f>
        <v/>
      </c>
      <c r="E13" s="11">
        <f>E11/E5</f>
        <v/>
      </c>
    </row>
    <row r="15">
      <c r="A15" s="10" t="inlineStr">
        <is>
          <t>Valore per cliente (contribuzione cumulata)</t>
        </is>
      </c>
      <c r="B15" s="10" t="inlineStr">
        <is>
          <t>Percorso 6</t>
        </is>
      </c>
      <c r="C15" s="10" t="inlineStr">
        <is>
          <t>Percorso 3</t>
        </is>
      </c>
      <c r="D15" s="10" t="inlineStr">
        <is>
          <t>Abbonamento</t>
        </is>
      </c>
      <c r="E15" s="10" t="inlineStr">
        <is>
          <t>Singolo</t>
        </is>
      </c>
      <c r="F15" s="10" t="inlineStr">
        <is>
          <t>Cliente medio</t>
        </is>
      </c>
    </row>
    <row r="16">
      <c r="A16" s="3" t="inlineStr">
        <is>
          <t>entro 1 mesi</t>
        </is>
      </c>
      <c r="B16" s="9">
        <f>'S1 Base'!C98</f>
        <v/>
      </c>
      <c r="C16" s="9">
        <f>'S1 Base'!C99</f>
        <v/>
      </c>
      <c r="D16" s="9">
        <f>'S1 Base'!C100</f>
        <v/>
      </c>
      <c r="E16" s="9">
        <f>'S1 Base'!C101</f>
        <v/>
      </c>
      <c r="F16" s="9">
        <f>'S1 Base'!C102</f>
        <v/>
      </c>
    </row>
    <row r="17">
      <c r="A17" s="3" t="inlineStr">
        <is>
          <t>entro 3 mesi</t>
        </is>
      </c>
      <c r="B17" s="9">
        <f>'S1 Base'!E98</f>
        <v/>
      </c>
      <c r="C17" s="9">
        <f>'S1 Base'!E99</f>
        <v/>
      </c>
      <c r="D17" s="9">
        <f>'S1 Base'!E100</f>
        <v/>
      </c>
      <c r="E17" s="9">
        <f>'S1 Base'!E101</f>
        <v/>
      </c>
      <c r="F17" s="9">
        <f>'S1 Base'!E102</f>
        <v/>
      </c>
    </row>
    <row r="18">
      <c r="A18" s="3" t="inlineStr">
        <is>
          <t>entro 6 mesi</t>
        </is>
      </c>
      <c r="B18" s="9">
        <f>'S1 Base'!H98</f>
        <v/>
      </c>
      <c r="C18" s="9">
        <f>'S1 Base'!H99</f>
        <v/>
      </c>
      <c r="D18" s="9">
        <f>'S1 Base'!H100</f>
        <v/>
      </c>
      <c r="E18" s="9">
        <f>'S1 Base'!H101</f>
        <v/>
      </c>
      <c r="F18" s="9">
        <f>'S1 Base'!H102</f>
        <v/>
      </c>
    </row>
    <row r="19">
      <c r="A19" s="3" t="inlineStr">
        <is>
          <t>entro 12 mesi</t>
        </is>
      </c>
      <c r="B19" s="9">
        <f>'S1 Base'!N98</f>
        <v/>
      </c>
      <c r="C19" s="9">
        <f>'S1 Base'!N99</f>
        <v/>
      </c>
      <c r="D19" s="9">
        <f>'S1 Base'!N100</f>
        <v/>
      </c>
      <c r="E19" s="9">
        <f>'S1 Base'!N101</f>
        <v/>
      </c>
      <c r="F19" s="9">
        <f>'S1 Base'!N102</f>
        <v/>
      </c>
    </row>
    <row r="20">
      <c r="A20" s="3" t="inlineStr">
        <is>
          <t>entro 24 mesi</t>
        </is>
      </c>
      <c r="B20" s="9">
        <f>'S1 Base'!Z98</f>
        <v/>
      </c>
      <c r="C20" s="9">
        <f>'S1 Base'!Z99</f>
        <v/>
      </c>
      <c r="D20" s="9">
        <f>'S1 Base'!Z100</f>
        <v/>
      </c>
      <c r="E20" s="9">
        <f>'S1 Base'!Z101</f>
        <v/>
      </c>
      <c r="F20" s="9">
        <f>'S1 Base'!Z102</f>
        <v/>
      </c>
    </row>
    <row r="21">
      <c r="A21" s="3" t="inlineStr">
        <is>
          <t>entro 36 mesi</t>
        </is>
      </c>
      <c r="B21" s="9">
        <f>'S1 Base'!AL98</f>
        <v/>
      </c>
      <c r="C21" s="9">
        <f>'S1 Base'!AL99</f>
        <v/>
      </c>
      <c r="D21" s="9">
        <f>'S1 Base'!AL100</f>
        <v/>
      </c>
      <c r="E21" s="9">
        <f>'S1 Base'!AL101</f>
        <v/>
      </c>
      <c r="F21" s="9">
        <f>'S1 Base'!AL102</f>
        <v/>
      </c>
    </row>
    <row r="23">
      <c r="A23" s="10" t="inlineStr">
        <is>
          <t>Percorso da 6: contribuzione del primo ordine al variare dei rimborsi</t>
        </is>
      </c>
    </row>
    <row r="24">
      <c r="A24" s="2" t="inlineStr">
        <is>
          <t>Rimborsi sul totale</t>
        </is>
      </c>
      <c r="B24" s="2" t="inlineStr">
        <is>
          <t>Contribuzione</t>
        </is>
      </c>
      <c r="C24" s="2" t="inlineStr">
        <is>
          <t>Dopo CAC 50</t>
        </is>
      </c>
      <c r="D24" s="2" t="inlineStr">
        <is>
          <t>Dopo CAC 60</t>
        </is>
      </c>
      <c r="E24" s="2" t="inlineStr">
        <is>
          <t>Dopo CAC 80</t>
        </is>
      </c>
    </row>
    <row r="25">
      <c r="A25" s="12" t="n">
        <v>0.05</v>
      </c>
      <c r="B25" s="13">
        <f>'S1 Base'!$H$82-A25*'S1 Base'!$H$77</f>
        <v/>
      </c>
      <c r="C25" s="13">
        <f>B25-50</f>
        <v/>
      </c>
      <c r="D25" s="13">
        <f>B25-60</f>
        <v/>
      </c>
      <c r="E25" s="13">
        <f>B25-80</f>
        <v/>
      </c>
    </row>
    <row r="26">
      <c r="A26" s="12" t="n">
        <v>0.121</v>
      </c>
      <c r="B26" s="13">
        <f>'S1 Base'!$H$82-A26*'S1 Base'!$H$77</f>
        <v/>
      </c>
      <c r="C26" s="13">
        <f>B26-50</f>
        <v/>
      </c>
      <c r="D26" s="13">
        <f>B26-60</f>
        <v/>
      </c>
      <c r="E26" s="13">
        <f>B26-80</f>
        <v/>
      </c>
    </row>
    <row r="27">
      <c r="A27" s="12" t="n">
        <v>0.2</v>
      </c>
      <c r="B27" s="13">
        <f>'S1 Base'!$H$82-A27*'S1 Base'!$H$77</f>
        <v/>
      </c>
      <c r="C27" s="13">
        <f>B27-50</f>
        <v/>
      </c>
      <c r="D27" s="13">
        <f>B27-60</f>
        <v/>
      </c>
      <c r="E27" s="13">
        <f>B27-80</f>
        <v/>
      </c>
    </row>
    <row r="28">
      <c r="A28" s="12" t="n">
        <v>0.3</v>
      </c>
      <c r="B28" s="13">
        <f>'S1 Base'!$H$82-A28*'S1 Base'!$H$77</f>
        <v/>
      </c>
      <c r="C28" s="13">
        <f>B28-50</f>
        <v/>
      </c>
      <c r="D28" s="13">
        <f>B28-60</f>
        <v/>
      </c>
      <c r="E28" s="13">
        <f>B28-80</f>
        <v/>
      </c>
    </row>
    <row r="29">
      <c r="A29" s="3" t="inlineStr">
        <is>
          <t>Pareggio sul primo ordine</t>
        </is>
      </c>
      <c r="C29" s="11">
        <f>('S1 Base'!$H$82-50)/'S1 Base'!$H$77</f>
        <v/>
      </c>
      <c r="D29" s="11">
        <f>('S1 Base'!$H$82-60)/'S1 Base'!$H$77</f>
        <v/>
      </c>
      <c r="E29" s="11">
        <f>('S1 Base'!$H$82-80)/'S1 Base'!$H$77</f>
        <v/>
      </c>
    </row>
    <row r="31">
      <c r="A31" s="10" t="inlineStr">
        <is>
          <t>Sensibilità al costo industriale (tutte le altre ipotesi del base)</t>
        </is>
      </c>
    </row>
    <row r="32">
      <c r="A32" s="2" t="inlineStr">
        <is>
          <t>Costo per flacone</t>
        </is>
      </c>
      <c r="B32" s="2" t="inlineStr">
        <is>
          <t>Valore a 24 mesi</t>
        </is>
      </c>
      <c r="C32" s="2" t="inlineStr">
        <is>
          <t>CAC massimo 2:1</t>
        </is>
      </c>
    </row>
    <row r="33">
      <c r="A33" s="14" t="n">
        <v>5.35</v>
      </c>
      <c r="B33" s="13">
        <f>'S1 Base'!$Z$102+('S1 Base'!$C$7-A33)*('S1 Base'!$C$8*SUM('S1 Base'!$C$93:$Z$93)*6+'S1 Base'!$C$9*SUM('S1 Base'!$C$95:$Z$95)*3+'S1 Base'!$C$10*SUM('S1 Base'!$C$96:$Z$96)*1+'S1 Base'!$C$11*SUM('S1 Base'!$C$97:$Z$97)*1)</f>
        <v/>
      </c>
      <c r="C33" s="13">
        <f>B33/2</f>
        <v/>
      </c>
    </row>
    <row r="34">
      <c r="A34" s="14" t="n">
        <v>8.5</v>
      </c>
      <c r="B34" s="13">
        <f>'S1 Base'!$Z$102+('S1 Base'!$C$7-A34)*('S1 Base'!$C$8*SUM('S1 Base'!$C$93:$Z$93)*6+'S1 Base'!$C$9*SUM('S1 Base'!$C$95:$Z$95)*3+'S1 Base'!$C$10*SUM('S1 Base'!$C$96:$Z$96)*1+'S1 Base'!$C$11*SUM('S1 Base'!$C$97:$Z$97)*1)</f>
        <v/>
      </c>
      <c r="C34" s="13">
        <f>B34/2</f>
        <v/>
      </c>
    </row>
    <row r="35">
      <c r="A35" s="14" t="n">
        <v>11.9</v>
      </c>
      <c r="B35" s="13">
        <f>'S1 Base'!$Z$102+('S1 Base'!$C$7-A35)*('S1 Base'!$C$8*SUM('S1 Base'!$C$93:$Z$93)*6+'S1 Base'!$C$9*SUM('S1 Base'!$C$95:$Z$95)*3+'S1 Base'!$C$10*SUM('S1 Base'!$C$96:$Z$96)*1+'S1 Base'!$C$11*SUM('S1 Base'!$C$97:$Z$97)*1)</f>
        <v/>
      </c>
      <c r="C35" s="13">
        <f>B35/2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6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Parametri del modello</t>
        </is>
      </c>
    </row>
    <row r="2">
      <c r="A2" s="4" t="inlineStr">
        <is>
          <t>Blu su giallo: da discutere e modificare. Una colonna per scenario.</t>
        </is>
      </c>
    </row>
    <row r="4">
      <c r="A4" s="15" t="inlineStr">
        <is>
          <t>Parametro</t>
        </is>
      </c>
      <c r="B4" s="15" t="inlineStr">
        <is>
          <t>Unità</t>
        </is>
      </c>
      <c r="C4" s="15" t="inlineStr">
        <is>
          <t>Nota</t>
        </is>
      </c>
      <c r="D4" s="15" t="inlineStr">
        <is>
          <t>Base</t>
        </is>
      </c>
      <c r="E4" s="15" t="inlineStr">
        <is>
          <t>Lancio ritardato</t>
        </is>
      </c>
      <c r="F4" s="15" t="inlineStr">
        <is>
          <t>Avverso senza arresto</t>
        </is>
      </c>
      <c r="G4" s="15" t="inlineStr">
        <is>
          <t>Avverso con arresto</t>
        </is>
      </c>
      <c r="H4" s="15" t="inlineStr">
        <is>
          <t>Tutto insieme</t>
        </is>
      </c>
    </row>
    <row r="5">
      <c r="A5" s="3" t="inlineStr">
        <is>
          <t>Mese del lancio</t>
        </is>
      </c>
      <c r="B5" s="3" t="inlineStr">
        <is>
          <t>mese</t>
        </is>
      </c>
      <c r="C5" s="4" t="inlineStr">
        <is>
          <t>Primo mese di vendita dopo la chiusura della raccolta</t>
        </is>
      </c>
      <c r="D5" s="16" t="n">
        <v>16</v>
      </c>
      <c r="E5" s="16" t="n">
        <v>20</v>
      </c>
      <c r="F5" s="16" t="n">
        <v>16</v>
      </c>
      <c r="G5" s="16" t="n">
        <v>16</v>
      </c>
      <c r="H5" s="16" t="n">
        <v>20</v>
      </c>
    </row>
    <row r="6">
      <c r="A6" s="3" t="inlineStr">
        <is>
          <t>Costo industriale per flacone</t>
        </is>
      </c>
      <c r="B6" s="3" t="inlineStr">
        <is>
          <t>€</t>
        </is>
      </c>
      <c r="C6" s="4" t="inlineStr">
        <is>
          <t>Stima centrale 8,50; alta 11,90 (capitolo 08)</t>
        </is>
      </c>
      <c r="D6" s="17" t="n">
        <v>8.5</v>
      </c>
      <c r="E6" s="17" t="n">
        <v>8.5</v>
      </c>
      <c r="F6" s="17" t="n">
        <v>11.9</v>
      </c>
      <c r="G6" s="17" t="n">
        <v>11.9</v>
      </c>
      <c r="H6" s="17" t="n">
        <v>11.9</v>
      </c>
    </row>
    <row r="7">
      <c r="A7" s="3" t="inlineStr">
        <is>
          <t>Quota nuovi clienti: percorso da 6</t>
        </is>
      </c>
      <c r="B7" s="3" t="inlineStr">
        <is>
          <t>%</t>
        </is>
      </c>
      <c r="C7" s="4" t="inlineStr">
        <is>
          <t>IPOTESI. La più delicata per la cassa</t>
        </is>
      </c>
      <c r="D7" s="12" t="n">
        <v>0.25</v>
      </c>
      <c r="E7" s="12" t="n">
        <v>0.25</v>
      </c>
      <c r="F7" s="12" t="n">
        <v>0.25</v>
      </c>
      <c r="G7" s="12" t="n">
        <v>0.25</v>
      </c>
      <c r="H7" s="12" t="n">
        <v>0.25</v>
      </c>
    </row>
    <row r="8">
      <c r="A8" s="3" t="inlineStr">
        <is>
          <t>Quota nuovi clienti: percorso da 3</t>
        </is>
      </c>
      <c r="B8" s="3" t="inlineStr">
        <is>
          <t>%</t>
        </is>
      </c>
      <c r="C8" s="4" t="inlineStr">
        <is>
          <t>IPOTESI</t>
        </is>
      </c>
      <c r="D8" s="12" t="n">
        <v>0.1</v>
      </c>
      <c r="E8" s="12" t="n">
        <v>0.1</v>
      </c>
      <c r="F8" s="12" t="n">
        <v>0.1</v>
      </c>
      <c r="G8" s="12" t="n">
        <v>0.1</v>
      </c>
      <c r="H8" s="12" t="n">
        <v>0.1</v>
      </c>
    </row>
    <row r="9">
      <c r="A9" s="3" t="inlineStr">
        <is>
          <t>Quota nuovi clienti: abbonamento</t>
        </is>
      </c>
      <c r="B9" s="3" t="inlineStr">
        <is>
          <t>%</t>
        </is>
      </c>
      <c r="C9" s="4" t="inlineStr">
        <is>
          <t>IPOTESI</t>
        </is>
      </c>
      <c r="D9" s="12" t="n">
        <v>0.45</v>
      </c>
      <c r="E9" s="12" t="n">
        <v>0.45</v>
      </c>
      <c r="F9" s="12" t="n">
        <v>0.45</v>
      </c>
      <c r="G9" s="12" t="n">
        <v>0.45</v>
      </c>
      <c r="H9" s="12" t="n">
        <v>0.45</v>
      </c>
    </row>
    <row r="10">
      <c r="A10" s="3" t="inlineStr">
        <is>
          <t>Quota nuovi clienti: flacone singolo</t>
        </is>
      </c>
      <c r="B10" s="3" t="inlineStr">
        <is>
          <t>%</t>
        </is>
      </c>
      <c r="C10" s="4" t="inlineStr">
        <is>
          <t>IPOTESI. Le quattro quote devono sommare a 100%</t>
        </is>
      </c>
      <c r="D10" s="12" t="n">
        <v>0.2</v>
      </c>
      <c r="E10" s="12" t="n">
        <v>0.2</v>
      </c>
      <c r="F10" s="12" t="n">
        <v>0.2</v>
      </c>
      <c r="G10" s="12" t="n">
        <v>0.2</v>
      </c>
      <c r="H10" s="12" t="n">
        <v>0.2</v>
      </c>
    </row>
    <row r="11">
      <c r="A11" s="3" t="inlineStr">
        <is>
          <t>Percorso da 6: quota che lo completa</t>
        </is>
      </c>
      <c r="B11" s="3" t="inlineStr">
        <is>
          <t>%</t>
        </is>
      </c>
      <c r="C11" s="4" t="inlineStr">
        <is>
          <t>IPOTESI. Solo chi completa può chiedere la garanzia</t>
        </is>
      </c>
      <c r="D11" s="12" t="n">
        <v>0.55</v>
      </c>
      <c r="E11" s="12" t="n">
        <v>0.55</v>
      </c>
      <c r="F11" s="12" t="n">
        <v>0.55</v>
      </c>
      <c r="G11" s="12" t="n">
        <v>0.55</v>
      </c>
      <c r="H11" s="12" t="n">
        <v>0.55</v>
      </c>
    </row>
    <row r="12">
      <c r="A12" s="3" t="inlineStr">
        <is>
          <t>Percorso da 6: chi completa e chiede il rimborso</t>
        </is>
      </c>
      <c r="B12" s="3" t="inlineStr">
        <is>
          <t>%</t>
        </is>
      </c>
      <c r="C12" s="4" t="inlineStr">
        <is>
          <t>IPOTESI. Rimborsi sul totale = completamento × questa quota</t>
        </is>
      </c>
      <c r="D12" s="12" t="n">
        <v>0.22</v>
      </c>
      <c r="E12" s="12" t="n">
        <v>0.22</v>
      </c>
      <c r="F12" s="12" t="n">
        <v>0.36</v>
      </c>
      <c r="G12" s="12" t="n">
        <v>0.36</v>
      </c>
      <c r="H12" s="12" t="n">
        <v>0.36</v>
      </c>
    </row>
    <row r="13">
      <c r="A13" s="3" t="inlineStr">
        <is>
          <t>Percorso da 6: riacquisto di chi completa senza rimborso</t>
        </is>
      </c>
      <c r="B13" s="3" t="inlineStr">
        <is>
          <t>%</t>
        </is>
      </c>
      <c r="C13" s="4" t="inlineStr">
        <is>
          <t>IPOTESI. Nuovo percorso da 6, senza garanzia</t>
        </is>
      </c>
      <c r="D13" s="12" t="n">
        <v>0.45</v>
      </c>
      <c r="E13" s="12" t="n">
        <v>0.45</v>
      </c>
      <c r="F13" s="12" t="n">
        <v>0.35</v>
      </c>
      <c r="G13" s="12" t="n">
        <v>0.35</v>
      </c>
      <c r="H13" s="12" t="n">
        <v>0.35</v>
      </c>
    </row>
    <row r="14">
      <c r="A14" s="3" t="inlineStr">
        <is>
          <t>Percorso da 6: riacquisti successivi</t>
        </is>
      </c>
      <c r="B14" s="3" t="inlineStr">
        <is>
          <t>%</t>
        </is>
      </c>
      <c r="C14" s="4" t="inlineStr">
        <is>
          <t>IPOTESI</t>
        </is>
      </c>
      <c r="D14" s="12" t="n">
        <v>0.6</v>
      </c>
      <c r="E14" s="12" t="n">
        <v>0.6</v>
      </c>
      <c r="F14" s="12" t="n">
        <v>0.6</v>
      </c>
      <c r="G14" s="12" t="n">
        <v>0.6</v>
      </c>
      <c r="H14" s="12" t="n">
        <v>0.6</v>
      </c>
    </row>
    <row r="15">
      <c r="A15" s="3" t="inlineStr">
        <is>
          <t>Percorso da 3: riacquisto a 3 mesi</t>
        </is>
      </c>
      <c r="B15" s="3" t="inlineStr">
        <is>
          <t>%</t>
        </is>
      </c>
      <c r="C15" s="4" t="inlineStr">
        <is>
          <t>IPOTESI</t>
        </is>
      </c>
      <c r="D15" s="12" t="n">
        <v>0.35</v>
      </c>
      <c r="E15" s="12" t="n">
        <v>0.35</v>
      </c>
      <c r="F15" s="12" t="n">
        <v>0.25</v>
      </c>
      <c r="G15" s="12" t="n">
        <v>0.25</v>
      </c>
      <c r="H15" s="12" t="n">
        <v>0.25</v>
      </c>
    </row>
    <row r="16">
      <c r="A16" s="3" t="inlineStr">
        <is>
          <t>Percorso da 3: riacquisti successivi</t>
        </is>
      </c>
      <c r="B16" s="3" t="inlineStr">
        <is>
          <t>%</t>
        </is>
      </c>
      <c r="C16" s="4" t="inlineStr">
        <is>
          <t>IPOTESI</t>
        </is>
      </c>
      <c r="D16" s="12" t="n">
        <v>0.55</v>
      </c>
      <c r="E16" s="12" t="n">
        <v>0.55</v>
      </c>
      <c r="F16" s="12" t="n">
        <v>0.55</v>
      </c>
      <c r="G16" s="12" t="n">
        <v>0.55</v>
      </c>
      <c r="H16" s="12" t="n">
        <v>0.55</v>
      </c>
    </row>
    <row r="17">
      <c r="A17" s="3" t="inlineStr">
        <is>
          <t>Abbonamento: rinnovo dopo il 1° invio</t>
        </is>
      </c>
      <c r="B17" s="3" t="inlineStr">
        <is>
          <t>%</t>
        </is>
      </c>
      <c r="C17" s="4" t="inlineStr">
        <is>
          <t>IPOTESI. Curva di rinnovo, non media</t>
        </is>
      </c>
      <c r="D17" s="12" t="n">
        <v>0.65</v>
      </c>
      <c r="E17" s="12" t="n">
        <v>0.65</v>
      </c>
      <c r="F17" s="12" t="n">
        <v>0.57</v>
      </c>
      <c r="G17" s="12" t="n">
        <v>0.57</v>
      </c>
      <c r="H17" s="12" t="n">
        <v>0.57</v>
      </c>
    </row>
    <row r="18">
      <c r="A18" s="3" t="inlineStr">
        <is>
          <t>Abbonamento: rinnovo dopo il 2° invio</t>
        </is>
      </c>
      <c r="B18" s="3" t="inlineStr">
        <is>
          <t>%</t>
        </is>
      </c>
      <c r="C18" s="4" t="inlineStr">
        <is>
          <t>IPOTESI</t>
        </is>
      </c>
      <c r="D18" s="12" t="n">
        <v>0.7</v>
      </c>
      <c r="E18" s="12" t="n">
        <v>0.7</v>
      </c>
      <c r="F18" s="12" t="n">
        <v>0.62</v>
      </c>
      <c r="G18" s="12" t="n">
        <v>0.62</v>
      </c>
      <c r="H18" s="12" t="n">
        <v>0.62</v>
      </c>
    </row>
    <row r="19">
      <c r="A19" s="3" t="inlineStr">
        <is>
          <t>Abbonamento: rinnovo dopo il 3° invio</t>
        </is>
      </c>
      <c r="B19" s="3" t="inlineStr">
        <is>
          <t>%</t>
        </is>
      </c>
      <c r="C19" s="4" t="inlineStr">
        <is>
          <t>IPOTESI</t>
        </is>
      </c>
      <c r="D19" s="12" t="n">
        <v>0.72</v>
      </c>
      <c r="E19" s="12" t="n">
        <v>0.72</v>
      </c>
      <c r="F19" s="12" t="n">
        <v>0.64</v>
      </c>
      <c r="G19" s="12" t="n">
        <v>0.64</v>
      </c>
      <c r="H19" s="12" t="n">
        <v>0.64</v>
      </c>
    </row>
    <row r="20">
      <c r="A20" s="3" t="inlineStr">
        <is>
          <t>Abbonamento: rinnovo dopo il 4° invio</t>
        </is>
      </c>
      <c r="B20" s="3" t="inlineStr">
        <is>
          <t>%</t>
        </is>
      </c>
      <c r="C20" s="4" t="inlineStr">
        <is>
          <t>IPOTESI</t>
        </is>
      </c>
      <c r="D20" s="12" t="n">
        <v>0.78</v>
      </c>
      <c r="E20" s="12" t="n">
        <v>0.78</v>
      </c>
      <c r="F20" s="12" t="n">
        <v>0.7</v>
      </c>
      <c r="G20" s="12" t="n">
        <v>0.7</v>
      </c>
      <c r="H20" s="12" t="n">
        <v>0.7</v>
      </c>
    </row>
    <row r="21">
      <c r="A21" s="3" t="inlineStr">
        <is>
          <t>Abbonamento: rinnovo dopo il 5° invio</t>
        </is>
      </c>
      <c r="B21" s="3" t="inlineStr">
        <is>
          <t>%</t>
        </is>
      </c>
      <c r="C21" s="4" t="inlineStr">
        <is>
          <t>IPOTESI</t>
        </is>
      </c>
      <c r="D21" s="12" t="n">
        <v>0.82</v>
      </c>
      <c r="E21" s="12" t="n">
        <v>0.82</v>
      </c>
      <c r="F21" s="12" t="n">
        <v>0.74</v>
      </c>
      <c r="G21" s="12" t="n">
        <v>0.74</v>
      </c>
      <c r="H21" s="12" t="n">
        <v>0.74</v>
      </c>
    </row>
    <row r="22">
      <c r="A22" s="3" t="inlineStr">
        <is>
          <t>Abbonamento: rinnovo dal 6° invio in poi</t>
        </is>
      </c>
      <c r="B22" s="3" t="inlineStr">
        <is>
          <t>%</t>
        </is>
      </c>
      <c r="C22" s="4" t="inlineStr">
        <is>
          <t>IPOTESI</t>
        </is>
      </c>
      <c r="D22" s="12" t="n">
        <v>0.85</v>
      </c>
      <c r="E22" s="12" t="n">
        <v>0.85</v>
      </c>
      <c r="F22" s="12" t="n">
        <v>0.77</v>
      </c>
      <c r="G22" s="12" t="n">
        <v>0.77</v>
      </c>
      <c r="H22" s="12" t="n">
        <v>0.77</v>
      </c>
    </row>
    <row r="23">
      <c r="A23" s="3" t="inlineStr">
        <is>
          <t>Flacone singolo: probabilità di un nuovo acquisto</t>
        </is>
      </c>
      <c r="B23" s="3" t="inlineStr">
        <is>
          <t>%</t>
        </is>
      </c>
      <c r="C23" s="4" t="inlineStr">
        <is>
          <t>IPOTESI. 0,375 = 1,6 ordini medi</t>
        </is>
      </c>
      <c r="D23" s="12" t="n">
        <v>0.375</v>
      </c>
      <c r="E23" s="12" t="n">
        <v>0.375</v>
      </c>
      <c r="F23" s="12" t="n">
        <v>0.3</v>
      </c>
      <c r="G23" s="12" t="n">
        <v>0.3</v>
      </c>
      <c r="H23" s="12" t="n">
        <v>0.3</v>
      </c>
    </row>
    <row r="24">
      <c r="A24" s="3" t="inlineStr">
        <is>
          <t>Sconto medio sul primo ordine</t>
        </is>
      </c>
      <c r="B24" s="3" t="inlineStr">
        <is>
          <t>%</t>
        </is>
      </c>
      <c r="C24" s="4" t="inlineStr">
        <is>
          <t>Codici, promozioni di lancio</t>
        </is>
      </c>
      <c r="D24" s="12" t="n">
        <v>0.05</v>
      </c>
      <c r="E24" s="12" t="n">
        <v>0.05</v>
      </c>
      <c r="F24" s="12" t="n">
        <v>0.1</v>
      </c>
      <c r="G24" s="12" t="n">
        <v>0.1</v>
      </c>
      <c r="H24" s="12" t="n">
        <v>0.1</v>
      </c>
    </row>
    <row r="25">
      <c r="A25" s="3" t="inlineStr">
        <is>
          <t>Clienti da canali non pagati, al mese</t>
        </is>
      </c>
      <c r="B25" s="3" t="inlineStr">
        <is>
          <t>clienti</t>
        </is>
      </c>
      <c r="C25" s="4" t="inlineStr">
        <is>
          <t>IPOTESI. Rete dei fondatori, Academy, passaparola</t>
        </is>
      </c>
      <c r="D25" s="16" t="n">
        <v>8</v>
      </c>
      <c r="E25" s="16" t="n">
        <v>8</v>
      </c>
      <c r="F25" s="16" t="n">
        <v>4</v>
      </c>
      <c r="G25" s="16" t="n">
        <v>4</v>
      </c>
      <c r="H25" s="16" t="n">
        <v>4</v>
      </c>
    </row>
    <row r="26">
      <c r="A26" s="3" t="inlineStr">
        <is>
          <t>Pubblicità tranche 1 (totale)</t>
        </is>
      </c>
      <c r="B26" s="3" t="inlineStr">
        <is>
          <t>€</t>
        </is>
      </c>
      <c r="C26" s="4" t="inlineStr">
        <is>
          <t>Prima coorte</t>
        </is>
      </c>
      <c r="D26" s="17" t="n">
        <v>10000</v>
      </c>
      <c r="E26" s="17" t="n">
        <v>10000</v>
      </c>
      <c r="F26" s="17" t="n">
        <v>10000</v>
      </c>
      <c r="G26" s="17" t="n">
        <v>10000</v>
      </c>
      <c r="H26" s="17" t="n">
        <v>10000</v>
      </c>
    </row>
    <row r="27">
      <c r="A27" s="3" t="inlineStr">
        <is>
          <t>Tranche 1: durata</t>
        </is>
      </c>
      <c r="B27" s="3" t="inlineStr">
        <is>
          <t>mesi</t>
        </is>
      </c>
      <c r="C27" s="4" t="inlineStr"/>
      <c r="D27" s="16" t="n">
        <v>2</v>
      </c>
      <c r="E27" s="16" t="n">
        <v>2</v>
      </c>
      <c r="F27" s="16" t="n">
        <v>2</v>
      </c>
      <c r="G27" s="16" t="n">
        <v>2</v>
      </c>
      <c r="H27" s="16" t="n">
        <v>2</v>
      </c>
    </row>
    <row r="28">
      <c r="A28" s="3" t="inlineStr">
        <is>
          <t>CAC pubblicitario tranche 1</t>
        </is>
      </c>
      <c r="B28" s="3" t="inlineStr">
        <is>
          <t>€</t>
        </is>
      </c>
      <c r="C28" s="4" t="inlineStr">
        <is>
          <t>IPOTESI. Avverso = base × 1,4</t>
        </is>
      </c>
      <c r="D28" s="17" t="n">
        <v>50</v>
      </c>
      <c r="E28" s="17" t="n">
        <v>50</v>
      </c>
      <c r="F28" s="17" t="n">
        <v>70</v>
      </c>
      <c r="G28" s="17" t="n">
        <v>70</v>
      </c>
      <c r="H28" s="17" t="n">
        <v>70</v>
      </c>
    </row>
    <row r="29">
      <c r="A29" s="3" t="inlineStr">
        <is>
          <t>Pubblicità tranche 2 (totale)</t>
        </is>
      </c>
      <c r="B29" s="3" t="inlineStr">
        <is>
          <t>€</t>
        </is>
      </c>
      <c r="C29" s="4" t="inlineStr">
        <is>
          <t>Replica</t>
        </is>
      </c>
      <c r="D29" s="17" t="n">
        <v>20000</v>
      </c>
      <c r="E29" s="17" t="n">
        <v>20000</v>
      </c>
      <c r="F29" s="17" t="n">
        <v>20000</v>
      </c>
      <c r="G29" s="17" t="n">
        <v>20000</v>
      </c>
      <c r="H29" s="17" t="n">
        <v>20000</v>
      </c>
    </row>
    <row r="30">
      <c r="A30" s="3" t="inlineStr">
        <is>
          <t>Tranche 2: durata</t>
        </is>
      </c>
      <c r="B30" s="3" t="inlineStr">
        <is>
          <t>mesi</t>
        </is>
      </c>
      <c r="C30" s="4" t="inlineStr"/>
      <c r="D30" s="16" t="n">
        <v>3</v>
      </c>
      <c r="E30" s="16" t="n">
        <v>3</v>
      </c>
      <c r="F30" s="16" t="n">
        <v>3</v>
      </c>
      <c r="G30" s="16" t="n">
        <v>3</v>
      </c>
      <c r="H30" s="16" t="n">
        <v>3</v>
      </c>
    </row>
    <row r="31">
      <c r="A31" s="3" t="inlineStr">
        <is>
          <t>CAC pubblicitario tranche 2</t>
        </is>
      </c>
      <c r="B31" s="3" t="inlineStr">
        <is>
          <t>€</t>
        </is>
      </c>
      <c r="C31" s="4" t="inlineStr">
        <is>
          <t>IPOTESI</t>
        </is>
      </c>
      <c r="D31" s="17" t="n">
        <v>50</v>
      </c>
      <c r="E31" s="17" t="n">
        <v>50</v>
      </c>
      <c r="F31" s="17" t="n">
        <v>70</v>
      </c>
      <c r="G31" s="17" t="n">
        <v>70</v>
      </c>
      <c r="H31" s="17" t="n">
        <v>70</v>
      </c>
    </row>
    <row r="32">
      <c r="A32" s="3" t="inlineStr">
        <is>
          <t>Pubblicità tranche 3 (totale)</t>
        </is>
      </c>
      <c r="B32" s="3" t="inlineStr">
        <is>
          <t>€</t>
        </is>
      </c>
      <c r="C32" s="4" t="inlineStr">
        <is>
          <t>Liberata solo se passa la verifica. 0 = regola di arresto applicata</t>
        </is>
      </c>
      <c r="D32" s="17" t="n">
        <v>30000</v>
      </c>
      <c r="E32" s="17" t="n">
        <v>30000</v>
      </c>
      <c r="F32" s="17" t="n">
        <v>30000</v>
      </c>
      <c r="G32" s="17" t="n">
        <v>0</v>
      </c>
      <c r="H32" s="17" t="n">
        <v>30000</v>
      </c>
    </row>
    <row r="33">
      <c r="A33" s="3" t="inlineStr">
        <is>
          <t>Tranche 3: durata</t>
        </is>
      </c>
      <c r="B33" s="3" t="inlineStr">
        <is>
          <t>mesi</t>
        </is>
      </c>
      <c r="C33" s="4" t="inlineStr"/>
      <c r="D33" s="16" t="n">
        <v>4</v>
      </c>
      <c r="E33" s="16" t="n">
        <v>4</v>
      </c>
      <c r="F33" s="16" t="n">
        <v>4</v>
      </c>
      <c r="G33" s="16" t="n">
        <v>4</v>
      </c>
      <c r="H33" s="16" t="n">
        <v>4</v>
      </c>
    </row>
    <row r="34">
      <c r="A34" s="3" t="inlineStr">
        <is>
          <t>CAC pubblicitario tranche 3 (marginale)</t>
        </is>
      </c>
      <c r="B34" s="3" t="inlineStr">
        <is>
          <t>€</t>
        </is>
      </c>
      <c r="C34" s="4" t="inlineStr">
        <is>
          <t>IPOTESI. Più spesa, clienti più cari</t>
        </is>
      </c>
      <c r="D34" s="17" t="n">
        <v>55</v>
      </c>
      <c r="E34" s="17" t="n">
        <v>55</v>
      </c>
      <c r="F34" s="17" t="n">
        <v>77</v>
      </c>
      <c r="G34" s="17" t="n">
        <v>77</v>
      </c>
      <c r="H34" s="17" t="n">
        <v>77</v>
      </c>
    </row>
    <row r="35">
      <c r="A35" s="3" t="inlineStr">
        <is>
          <t>Pubblicità mensile dopo le tranche</t>
        </is>
      </c>
      <c r="B35" s="3" t="inlineStr">
        <is>
          <t>€/mese</t>
        </is>
      </c>
      <c r="C35" s="4" t="inlineStr">
        <is>
          <t>Finanziata dalla cassa</t>
        </is>
      </c>
      <c r="D35" s="17" t="n">
        <v>5000</v>
      </c>
      <c r="E35" s="17" t="n">
        <v>5000</v>
      </c>
      <c r="F35" s="17" t="n">
        <v>5000</v>
      </c>
      <c r="G35" s="17" t="n">
        <v>0</v>
      </c>
      <c r="H35" s="17" t="n">
        <v>5000</v>
      </c>
    </row>
    <row r="36">
      <c r="A36" s="3" t="inlineStr">
        <is>
          <t>CAC dopo le tranche</t>
        </is>
      </c>
      <c r="B36" s="3" t="inlineStr">
        <is>
          <t>€</t>
        </is>
      </c>
      <c r="C36" s="4" t="inlineStr">
        <is>
          <t>IPOTESI</t>
        </is>
      </c>
      <c r="D36" s="17" t="n">
        <v>55</v>
      </c>
      <c r="E36" s="17" t="n">
        <v>55</v>
      </c>
      <c r="F36" s="17" t="n">
        <v>77</v>
      </c>
      <c r="G36" s="17" t="n">
        <v>77</v>
      </c>
      <c r="H36" s="17" t="n">
        <v>77</v>
      </c>
    </row>
    <row r="37">
      <c r="A37" s="3" t="inlineStr">
        <is>
          <t>Creatività e gestione campagne</t>
        </is>
      </c>
      <c r="B37" s="3" t="inlineStr">
        <is>
          <t>€/mese</t>
        </is>
      </c>
      <c r="C37" s="4" t="inlineStr">
        <is>
          <t>Nei mesi con pubblicità. Differenza fra CAC pubblicitario e complessivo</t>
        </is>
      </c>
      <c r="D37" s="17" t="n">
        <v>600</v>
      </c>
      <c r="E37" s="17" t="n">
        <v>600</v>
      </c>
      <c r="F37" s="17" t="n">
        <v>600</v>
      </c>
      <c r="G37" s="17" t="n">
        <v>600</v>
      </c>
      <c r="H37" s="17" t="n">
        <v>600</v>
      </c>
    </row>
    <row r="38">
      <c r="A38" s="3" t="inlineStr">
        <is>
          <t>Ciclo di laboratorio aggiuntivo, mese 10</t>
        </is>
      </c>
      <c r="B38" s="3" t="inlineStr">
        <is>
          <t>€</t>
        </is>
      </c>
      <c r="C38" s="4" t="inlineStr">
        <is>
          <t>Solo negli scenari con ritardo</t>
        </is>
      </c>
      <c r="D38" s="17" t="n">
        <v>0</v>
      </c>
      <c r="E38" s="17" t="n">
        <v>6000</v>
      </c>
      <c r="F38" s="17" t="n">
        <v>0</v>
      </c>
      <c r="G38" s="17" t="n">
        <v>0</v>
      </c>
      <c r="H38" s="17" t="n">
        <v>6000</v>
      </c>
    </row>
    <row r="39">
      <c r="A39" s="3" t="inlineStr">
        <is>
          <t>Ciclo di laboratorio aggiuntivo, mese 11</t>
        </is>
      </c>
      <c r="B39" s="3" t="inlineStr">
        <is>
          <t>€</t>
        </is>
      </c>
      <c r="C39" s="4" t="inlineStr"/>
      <c r="D39" s="17" t="n">
        <v>0</v>
      </c>
      <c r="E39" s="17" t="n">
        <v>6000</v>
      </c>
      <c r="F39" s="17" t="n">
        <v>0</v>
      </c>
      <c r="G39" s="17" t="n">
        <v>0</v>
      </c>
      <c r="H39" s="17" t="n">
        <v>6000</v>
      </c>
    </row>
    <row r="40">
      <c r="A40" s="3" t="inlineStr">
        <is>
          <t>Capitale versato al mese 1</t>
        </is>
      </c>
      <c r="B40" s="3" t="inlineStr">
        <is>
          <t>€</t>
        </is>
      </c>
      <c r="C40" s="4" t="inlineStr">
        <is>
          <t>Per simulare due tranche: 100.000 qui e 150.000 sotto</t>
        </is>
      </c>
      <c r="D40" s="17" t="n">
        <v>250000</v>
      </c>
      <c r="E40" s="17" t="n">
        <v>250000</v>
      </c>
      <c r="F40" s="17" t="n">
        <v>250000</v>
      </c>
      <c r="G40" s="17" t="n">
        <v>250000</v>
      </c>
      <c r="H40" s="17" t="n">
        <v>250000</v>
      </c>
    </row>
    <row r="41">
      <c r="A41" s="3" t="inlineStr">
        <is>
          <t>Mese della seconda tranche di capitale</t>
        </is>
      </c>
      <c r="B41" s="3" t="inlineStr">
        <is>
          <t>mese</t>
        </is>
      </c>
      <c r="C41" s="4" t="inlineStr"/>
      <c r="D41" s="16" t="n">
        <v>10</v>
      </c>
      <c r="E41" s="16" t="n">
        <v>10</v>
      </c>
      <c r="F41" s="16" t="n">
        <v>10</v>
      </c>
      <c r="G41" s="16" t="n">
        <v>10</v>
      </c>
      <c r="H41" s="16" t="n">
        <v>10</v>
      </c>
    </row>
    <row r="42">
      <c r="A42" s="3" t="inlineStr">
        <is>
          <t>Seconda tranche di capitale</t>
        </is>
      </c>
      <c r="B42" s="3" t="inlineStr">
        <is>
          <t>€</t>
        </is>
      </c>
      <c r="C42" s="4" t="inlineStr"/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</row>
    <row r="44">
      <c r="A44" s="10" t="inlineStr">
        <is>
          <t>Costanti, uguali per tutti gli scenari</t>
        </is>
      </c>
    </row>
    <row r="45">
      <c r="A45" s="3" t="inlineStr">
        <is>
          <t>Aliquota IVA</t>
        </is>
      </c>
      <c r="B45" s="3" t="inlineStr">
        <is>
          <t>%</t>
        </is>
      </c>
      <c r="C45" s="4" t="inlineStr"/>
      <c r="D45" s="12" t="n">
        <v>0.22</v>
      </c>
    </row>
    <row r="46">
      <c r="A46" s="3" t="inlineStr">
        <is>
          <t>Prezzo percorso da 6 flaconi</t>
        </is>
      </c>
      <c r="B46" s="3" t="inlineStr">
        <is>
          <t>€ IVA incl.</t>
        </is>
      </c>
      <c r="C46" s="4" t="inlineStr"/>
      <c r="D46" s="16" t="n">
        <v>279</v>
      </c>
    </row>
    <row r="47">
      <c r="A47" s="3" t="inlineStr">
        <is>
          <t>Prezzo percorso da 3 flaconi</t>
        </is>
      </c>
      <c r="B47" s="3" t="inlineStr">
        <is>
          <t>€ IVA incl.</t>
        </is>
      </c>
      <c r="C47" s="4" t="inlineStr"/>
      <c r="D47" s="16" t="n">
        <v>149</v>
      </c>
    </row>
    <row r="48">
      <c r="A48" s="3" t="inlineStr">
        <is>
          <t>Prezzo abbonamento, ogni 28 giorni</t>
        </is>
      </c>
      <c r="B48" s="3" t="inlineStr">
        <is>
          <t>€ IVA incl.</t>
        </is>
      </c>
      <c r="C48" s="4" t="inlineStr">
        <is>
          <t>Consegna ogni 28 giorni: 57 mL utili a 2 mL/giorno</t>
        </is>
      </c>
      <c r="D48" s="16" t="n">
        <v>49</v>
      </c>
    </row>
    <row r="49">
      <c r="A49" s="3" t="inlineStr">
        <is>
          <t>Prezzo flacone singolo</t>
        </is>
      </c>
      <c r="B49" s="3" t="inlineStr">
        <is>
          <t>€ IVA incl.</t>
        </is>
      </c>
      <c r="C49" s="4" t="inlineStr"/>
      <c r="D49" s="16" t="n">
        <v>59</v>
      </c>
    </row>
    <row r="50">
      <c r="A50" s="3" t="inlineStr">
        <is>
          <t>Flaconi: percorso da 6</t>
        </is>
      </c>
      <c r="B50" s="3" t="inlineStr">
        <is>
          <t>n</t>
        </is>
      </c>
      <c r="C50" s="4" t="inlineStr"/>
      <c r="D50" s="16" t="n">
        <v>6</v>
      </c>
    </row>
    <row r="51">
      <c r="A51" s="3" t="inlineStr">
        <is>
          <t>Flaconi: percorso da 3</t>
        </is>
      </c>
      <c r="B51" s="3" t="inlineStr">
        <is>
          <t>n</t>
        </is>
      </c>
      <c r="C51" s="4" t="inlineStr"/>
      <c r="D51" s="16" t="n">
        <v>3</v>
      </c>
    </row>
    <row r="52">
      <c r="A52" s="3" t="inlineStr">
        <is>
          <t>Flaconi: abbonamento</t>
        </is>
      </c>
      <c r="B52" s="3" t="inlineStr">
        <is>
          <t>n</t>
        </is>
      </c>
      <c r="C52" s="4" t="inlineStr"/>
      <c r="D52" s="16" t="n">
        <v>1</v>
      </c>
    </row>
    <row r="53">
      <c r="A53" s="3" t="inlineStr">
        <is>
          <t>Flaconi: singolo</t>
        </is>
      </c>
      <c r="B53" s="3" t="inlineStr">
        <is>
          <t>n</t>
        </is>
      </c>
      <c r="C53" s="4" t="inlineStr"/>
      <c r="D53" s="16" t="n">
        <v>1</v>
      </c>
    </row>
    <row r="54">
      <c r="A54" s="3" t="inlineStr">
        <is>
          <t>Corriere: 6 flaconi</t>
        </is>
      </c>
      <c r="B54" s="3" t="inlineStr">
        <is>
          <t>€</t>
        </is>
      </c>
      <c r="C54" s="4" t="inlineStr">
        <is>
          <t>IVA 22%</t>
        </is>
      </c>
      <c r="D54" s="18" t="n">
        <v>6.5</v>
      </c>
    </row>
    <row r="55">
      <c r="A55" s="3" t="inlineStr">
        <is>
          <t>Corriere: 3 flaconi</t>
        </is>
      </c>
      <c r="B55" s="3" t="inlineStr">
        <is>
          <t>€</t>
        </is>
      </c>
      <c r="C55" s="4" t="inlineStr"/>
      <c r="D55" s="18" t="n">
        <v>5.5</v>
      </c>
    </row>
    <row r="56">
      <c r="A56" s="3" t="inlineStr">
        <is>
          <t>Corriere: 1 flacone (abbonamento)</t>
        </is>
      </c>
      <c r="B56" s="3" t="inlineStr">
        <is>
          <t>€</t>
        </is>
      </c>
      <c r="C56" s="4" t="inlineStr"/>
      <c r="D56" s="18" t="n">
        <v>4.5</v>
      </c>
    </row>
    <row r="57">
      <c r="A57" s="3" t="inlineStr">
        <is>
          <t>Corriere: 1 flacone (singolo)</t>
        </is>
      </c>
      <c r="B57" s="3" t="inlineStr">
        <is>
          <t>€</t>
        </is>
      </c>
      <c r="C57" s="4" t="inlineStr"/>
      <c r="D57" s="18" t="n">
        <v>4.5</v>
      </c>
    </row>
    <row r="58">
      <c r="A58" s="3" t="inlineStr">
        <is>
          <t>Prelievo e imballo per ordine</t>
        </is>
      </c>
      <c r="B58" s="3" t="inlineStr">
        <is>
          <t>€</t>
        </is>
      </c>
      <c r="C58" s="4" t="inlineStr">
        <is>
          <t>IVA 22%</t>
        </is>
      </c>
      <c r="D58" s="18" t="n">
        <v>1.2</v>
      </c>
    </row>
    <row r="59">
      <c r="A59" s="3" t="inlineStr">
        <is>
          <t>Commissione di incasso, percentuale</t>
        </is>
      </c>
      <c r="B59" s="3" t="inlineStr">
        <is>
          <t>%</t>
        </is>
      </c>
      <c r="C59" s="4" t="inlineStr">
        <is>
          <t>Media prudente: carte UE standard 1,5%, premium 1,9%, extra UE di più</t>
        </is>
      </c>
      <c r="D59" s="12" t="n">
        <v>0.019</v>
      </c>
    </row>
    <row r="60">
      <c r="A60" s="3" t="inlineStr">
        <is>
          <t>Commissione di incasso, fissa</t>
        </is>
      </c>
      <c r="B60" s="3" t="inlineStr">
        <is>
          <t>€</t>
        </is>
      </c>
      <c r="C60" s="4" t="inlineStr"/>
      <c r="D60" s="18" t="n">
        <v>0.25</v>
      </c>
    </row>
    <row r="61">
      <c r="A61" s="3" t="inlineStr">
        <is>
          <t>Assistenza, resi ordinari, sostituzioni</t>
        </is>
      </c>
      <c r="B61" s="3" t="inlineStr">
        <is>
          <t>% ricavo netto</t>
        </is>
      </c>
      <c r="C61" s="4" t="inlineStr">
        <is>
          <t>Distinto dalla garanzia: nessuna sovrapposizione</t>
        </is>
      </c>
      <c r="D61" s="12" t="n">
        <v>0.03</v>
      </c>
    </row>
    <row r="62">
      <c r="A62" s="3" t="inlineStr">
        <is>
          <t>Lotto di produzione</t>
        </is>
      </c>
      <c r="B62" s="3" t="inlineStr">
        <is>
          <t>flaconi</t>
        </is>
      </c>
      <c r="C62" s="4" t="inlineStr">
        <is>
          <t>Minimo d'ordine ipotizzato</t>
        </is>
      </c>
      <c r="D62" s="16" t="n">
        <v>3000</v>
      </c>
    </row>
    <row r="63">
      <c r="A63" s="3" t="inlineStr">
        <is>
          <t>Acconto all'ordine del lotto</t>
        </is>
      </c>
      <c r="B63" s="3" t="inlineStr">
        <is>
          <t>%</t>
        </is>
      </c>
      <c r="C63" s="4" t="inlineStr">
        <is>
          <t>Saldo alla consegna</t>
        </is>
      </c>
      <c r="D63" s="12" t="n">
        <v>0.4</v>
      </c>
    </row>
    <row r="64">
      <c r="A64" s="3" t="inlineStr">
        <is>
          <t>Tempo di fornitura</t>
        </is>
      </c>
      <c r="B64" s="3" t="inlineStr">
        <is>
          <t>mesi</t>
        </is>
      </c>
      <c r="C64" s="4" t="inlineStr">
        <is>
          <t>Dall'ordine alla disponibilità, estremi inclusi</t>
        </is>
      </c>
      <c r="D64" s="16" t="n">
        <v>3</v>
      </c>
    </row>
    <row r="65">
      <c r="A65" s="3" t="inlineStr">
        <is>
          <t>Scorta di sicurezza</t>
        </is>
      </c>
      <c r="B65" s="3" t="inlineStr">
        <is>
          <t>mesi di consumo</t>
        </is>
      </c>
      <c r="C65" s="4" t="inlineStr"/>
      <c r="D65" s="16" t="n">
        <v>1</v>
      </c>
    </row>
    <row r="66">
      <c r="A66" s="3" t="inlineStr">
        <is>
          <t>Scarto di produzione</t>
        </is>
      </c>
      <c r="B66" s="3" t="inlineStr">
        <is>
          <t>%</t>
        </is>
      </c>
      <c r="C66" s="4" t="inlineStr"/>
      <c r="D66" s="12" t="n">
        <v>0.01</v>
      </c>
    </row>
    <row r="67">
      <c r="A67" s="3" t="inlineStr">
        <is>
          <t>Flaconi trattenuti per lotto (analisi e campioni di riserva)</t>
        </is>
      </c>
      <c r="B67" s="3" t="inlineStr">
        <is>
          <t>flaconi</t>
        </is>
      </c>
      <c r="C67" s="4" t="inlineStr"/>
      <c r="D67" s="16" t="n">
        <v>30</v>
      </c>
    </row>
    <row r="68">
      <c r="A68" s="3" t="inlineStr">
        <is>
          <t>Campioni al lancio</t>
        </is>
      </c>
      <c r="B68" s="3" t="inlineStr">
        <is>
          <t>flaconi</t>
        </is>
      </c>
      <c r="C68" s="4" t="inlineStr"/>
      <c r="D68" s="16" t="n">
        <v>150</v>
      </c>
    </row>
    <row r="69">
      <c r="A69" s="3" t="inlineStr">
        <is>
          <t>Campioni al mese dopo il lancio</t>
        </is>
      </c>
      <c r="B69" s="3" t="inlineStr">
        <is>
          <t>flaconi</t>
        </is>
      </c>
      <c r="C69" s="4" t="inlineStr"/>
      <c r="D69" s="16" t="n">
        <v>20</v>
      </c>
    </row>
    <row r="70">
      <c r="A70" s="3" t="inlineStr">
        <is>
          <t>Sostituzioni fisiche</t>
        </is>
      </c>
      <c r="B70" s="3" t="inlineStr">
        <is>
          <t>% flaconi spediti</t>
        </is>
      </c>
      <c r="C70" s="4" t="inlineStr"/>
      <c r="D70" s="12" t="n">
        <v>0.01</v>
      </c>
    </row>
    <row r="71">
      <c r="A71" s="3" t="inlineStr">
        <is>
          <t>Intervallo abbonamento</t>
        </is>
      </c>
      <c r="B71" s="3" t="inlineStr">
        <is>
          <t>giorni</t>
        </is>
      </c>
      <c r="C71" s="4" t="inlineStr"/>
      <c r="D71" s="16" t="n">
        <v>28</v>
      </c>
    </row>
    <row r="72">
      <c r="A72" s="3" t="inlineStr">
        <is>
          <t>Durata di un flacone</t>
        </is>
      </c>
      <c r="B72" s="3" t="inlineStr">
        <is>
          <t>giorni</t>
        </is>
      </c>
      <c r="C72" s="4" t="inlineStr">
        <is>
          <t>57 mL utili a 2 mL/giorno</t>
        </is>
      </c>
      <c r="D72" s="18" t="n">
        <v>28.5</v>
      </c>
    </row>
    <row r="73">
      <c r="A73" s="3" t="inlineStr">
        <is>
          <t>Giorni per mese</t>
        </is>
      </c>
      <c r="B73" s="3" t="inlineStr">
        <is>
          <t>giorni</t>
        </is>
      </c>
      <c r="C73" s="4" t="inlineStr"/>
      <c r="D73" s="18" t="n">
        <v>30.4375</v>
      </c>
    </row>
    <row r="75">
      <c r="A75" s="2" t="inlineStr">
        <is>
          <t>Controllo: somma delle quote di offerta</t>
        </is>
      </c>
      <c r="D75" s="19">
        <f>SUM(D7:D10)</f>
        <v/>
      </c>
      <c r="E75" s="19">
        <f>SUM(E7:E10)</f>
        <v/>
      </c>
      <c r="F75" s="19">
        <f>SUM(F7:F10)</f>
        <v/>
      </c>
      <c r="G75" s="19">
        <f>SUM(G7:G10)</f>
        <v/>
      </c>
      <c r="H75" s="19">
        <f>SUM(H7:H10)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Costi di progetto prima del lancio</t>
        </is>
      </c>
    </row>
    <row r="2">
      <c r="A2" s="4" t="inlineStr">
        <is>
          <t>Importi al netto dell'IVA. 'Legato al lancio' = sì: la voce si sposta se il lancio slitta (mese effettivo = mese base + lancio − 16). Quota IVA = parte dell'importo su cui si paga IVA italiana.</t>
        </is>
      </c>
    </row>
    <row r="4">
      <c r="A4" s="10" t="inlineStr">
        <is>
          <t>Voce</t>
        </is>
      </c>
      <c r="B4" s="10" t="inlineStr">
        <is>
          <t>Mese base</t>
        </is>
      </c>
      <c r="C4" s="10" t="inlineStr">
        <is>
          <t>Legato al lancio</t>
        </is>
      </c>
      <c r="D4" s="10" t="inlineStr">
        <is>
          <t>Importo €</t>
        </is>
      </c>
      <c r="E4" s="10" t="inlineStr">
        <is>
          <t>Quota IVA</t>
        </is>
      </c>
      <c r="F4" s="10" t="inlineStr">
        <is>
          <t>Tappa</t>
        </is>
      </c>
    </row>
    <row r="5">
      <c r="A5" s="3" t="inlineStr">
        <is>
          <t>Costituzione della società</t>
        </is>
      </c>
      <c r="B5" s="16" t="n">
        <v>1</v>
      </c>
      <c r="C5" s="16" t="inlineStr">
        <is>
          <t>no</t>
        </is>
      </c>
      <c r="D5" s="17" t="n">
        <v>3500</v>
      </c>
      <c r="E5" s="12" t="n">
        <v>0.6</v>
      </c>
      <c r="F5" s="16" t="n">
        <v>1</v>
      </c>
    </row>
    <row r="6">
      <c r="A6" s="3" t="inlineStr">
        <is>
          <t>Patti parasociali e documenti dell'investimento</t>
        </is>
      </c>
      <c r="B6" s="16" t="n">
        <v>1</v>
      </c>
      <c r="C6" s="16" t="inlineStr">
        <is>
          <t>no</t>
        </is>
      </c>
      <c r="D6" s="17" t="n">
        <v>2500</v>
      </c>
      <c r="E6" s="12" t="n">
        <v>1</v>
      </c>
      <c r="F6" s="16" t="n">
        <v>1</v>
      </c>
    </row>
    <row r="7">
      <c r="A7" s="3" t="inlineStr">
        <is>
          <t>Parere brevettuale sulla formula C</t>
        </is>
      </c>
      <c r="B7" s="16" t="n">
        <v>2</v>
      </c>
      <c r="C7" s="16" t="inlineStr">
        <is>
          <t>no</t>
        </is>
      </c>
      <c r="D7" s="17" t="n">
        <v>3500</v>
      </c>
      <c r="E7" s="12" t="n">
        <v>1</v>
      </c>
      <c r="F7" s="16" t="n">
        <v>1</v>
      </c>
    </row>
    <row r="8">
      <c r="A8" s="3" t="inlineStr">
        <is>
          <t>Deposito del marchio UE</t>
        </is>
      </c>
      <c r="B8" s="16" t="n">
        <v>2</v>
      </c>
      <c r="C8" s="16" t="inlineStr">
        <is>
          <t>no</t>
        </is>
      </c>
      <c r="D8" s="17" t="n">
        <v>1500</v>
      </c>
      <c r="E8" s="12" t="n">
        <v>0.3</v>
      </c>
      <c r="F8" s="16" t="n">
        <v>1</v>
      </c>
    </row>
    <row r="9">
      <c r="A9" s="3" t="inlineStr">
        <is>
          <t>Interviste: incentivi e reclutamento</t>
        </is>
      </c>
      <c r="B9" s="16" t="n">
        <v>2</v>
      </c>
      <c r="C9" s="16" t="inlineStr">
        <is>
          <t>no</t>
        </is>
      </c>
      <c r="D9" s="17" t="n">
        <v>750</v>
      </c>
      <c r="E9" s="12" t="n">
        <v>0</v>
      </c>
      <c r="F9" s="16" t="n">
        <v>1</v>
      </c>
    </row>
    <row r="10">
      <c r="A10" s="3" t="inlineStr">
        <is>
          <t>Interviste: incentivi e reclutamento</t>
        </is>
      </c>
      <c r="B10" s="16" t="n">
        <v>3</v>
      </c>
      <c r="C10" s="16" t="inlineStr">
        <is>
          <t>no</t>
        </is>
      </c>
      <c r="D10" s="17" t="n">
        <v>750</v>
      </c>
      <c r="E10" s="12" t="n">
        <v>0</v>
      </c>
      <c r="F10" s="16" t="n">
        <v>1</v>
      </c>
    </row>
    <row r="11">
      <c r="A11" s="3" t="inlineStr">
        <is>
          <t>Laboratorio: fattibilità</t>
        </is>
      </c>
      <c r="B11" s="16" t="n">
        <v>4</v>
      </c>
      <c r="C11" s="16" t="inlineStr">
        <is>
          <t>no</t>
        </is>
      </c>
      <c r="D11" s="17" t="n">
        <v>3000</v>
      </c>
      <c r="E11" s="12" t="n">
        <v>1</v>
      </c>
      <c r="F11" s="16" t="n">
        <v>2</v>
      </c>
    </row>
    <row r="12">
      <c r="A12" s="3" t="inlineStr">
        <is>
          <t>Laboratorio: metodi analitici, acconto</t>
        </is>
      </c>
      <c r="B12" s="16" t="n">
        <v>5</v>
      </c>
      <c r="C12" s="16" t="inlineStr">
        <is>
          <t>no</t>
        </is>
      </c>
      <c r="D12" s="17" t="n">
        <v>5000</v>
      </c>
      <c r="E12" s="12" t="n">
        <v>1</v>
      </c>
      <c r="F12" s="16" t="n">
        <v>2</v>
      </c>
    </row>
    <row r="13">
      <c r="A13" s="3" t="inlineStr">
        <is>
          <t>Laboratorio: metodi analitici, saldo</t>
        </is>
      </c>
      <c r="B13" s="16" t="n">
        <v>7</v>
      </c>
      <c r="C13" s="16" t="inlineStr">
        <is>
          <t>no</t>
        </is>
      </c>
      <c r="D13" s="17" t="n">
        <v>5000</v>
      </c>
      <c r="E13" s="12" t="n">
        <v>1</v>
      </c>
      <c r="F13" s="16" t="n">
        <v>2</v>
      </c>
    </row>
    <row r="14">
      <c r="A14" s="3" t="inlineStr">
        <is>
          <t>Laboratorio: micro-prove e solubilità</t>
        </is>
      </c>
      <c r="B14" s="16" t="n">
        <v>5</v>
      </c>
      <c r="C14" s="16" t="inlineStr">
        <is>
          <t>no</t>
        </is>
      </c>
      <c r="D14" s="17" t="n">
        <v>4000</v>
      </c>
      <c r="E14" s="12" t="n">
        <v>1</v>
      </c>
      <c r="F14" s="16" t="n">
        <v>2</v>
      </c>
    </row>
    <row r="15">
      <c r="A15" s="3" t="inlineStr">
        <is>
          <t>Laboratorio: micro-prove e solubilità</t>
        </is>
      </c>
      <c r="B15" s="16" t="n">
        <v>6</v>
      </c>
      <c r="C15" s="16" t="inlineStr">
        <is>
          <t>no</t>
        </is>
      </c>
      <c r="D15" s="17" t="n">
        <v>4000</v>
      </c>
      <c r="E15" s="12" t="n">
        <v>1</v>
      </c>
      <c r="F15" s="16" t="n">
        <v>2</v>
      </c>
    </row>
    <row r="16">
      <c r="A16" s="3" t="inlineStr">
        <is>
          <t>Laboratorio: micro-prove e solubilità</t>
        </is>
      </c>
      <c r="B16" s="16" t="n">
        <v>7</v>
      </c>
      <c r="C16" s="16" t="inlineStr">
        <is>
          <t>no</t>
        </is>
      </c>
      <c r="D16" s="17" t="n">
        <v>4000</v>
      </c>
      <c r="E16" s="12" t="n">
        <v>1</v>
      </c>
      <c r="F16" s="16" t="n">
        <v>2</v>
      </c>
    </row>
    <row r="17">
      <c r="A17" s="3" t="inlineStr">
        <is>
          <t>Prova di colore su capelli bianchi e chiari</t>
        </is>
      </c>
      <c r="B17" s="16" t="n">
        <v>7</v>
      </c>
      <c r="C17" s="16" t="inlineStr">
        <is>
          <t>no</t>
        </is>
      </c>
      <c r="D17" s="17" t="n">
        <v>500</v>
      </c>
      <c r="E17" s="12" t="n">
        <v>1</v>
      </c>
      <c r="F17" s="16" t="n">
        <v>2</v>
      </c>
    </row>
    <row r="18">
      <c r="A18" s="3" t="inlineStr">
        <is>
          <t>Laboratorio: candidati e sensorialità</t>
        </is>
      </c>
      <c r="B18" s="16" t="n">
        <v>8</v>
      </c>
      <c r="C18" s="16" t="inlineStr">
        <is>
          <t>no</t>
        </is>
      </c>
      <c r="D18" s="17" t="n">
        <v>4000</v>
      </c>
      <c r="E18" s="12" t="n">
        <v>1</v>
      </c>
      <c r="F18" s="16" t="n">
        <v>2</v>
      </c>
    </row>
    <row r="19">
      <c r="A19" s="3" t="inlineStr">
        <is>
          <t>Laboratorio: candidati e sensorialità</t>
        </is>
      </c>
      <c r="B19" s="16" t="n">
        <v>9</v>
      </c>
      <c r="C19" s="16" t="inlineStr">
        <is>
          <t>no</t>
        </is>
      </c>
      <c r="D19" s="17" t="n">
        <v>4000</v>
      </c>
      <c r="E19" s="12" t="n">
        <v>1</v>
      </c>
      <c r="F19" s="16" t="n">
        <v>2</v>
      </c>
    </row>
    <row r="20">
      <c r="A20" s="3" t="inlineStr">
        <is>
          <t>Tollerabilità: patch test e uso ripetuto, acconto</t>
        </is>
      </c>
      <c r="B20" s="16" t="n">
        <v>8</v>
      </c>
      <c r="C20" s="16" t="inlineStr">
        <is>
          <t>no</t>
        </is>
      </c>
      <c r="D20" s="17" t="n">
        <v>4000</v>
      </c>
      <c r="E20" s="12" t="n">
        <v>1</v>
      </c>
      <c r="F20" s="16" t="n">
        <v>2</v>
      </c>
    </row>
    <row r="21">
      <c r="A21" s="3" t="inlineStr">
        <is>
          <t>Tollerabilità: patch test e uso ripetuto, saldo</t>
        </is>
      </c>
      <c r="B21" s="16" t="n">
        <v>9</v>
      </c>
      <c r="C21" s="16" t="inlineStr">
        <is>
          <t>no</t>
        </is>
      </c>
      <c r="D21" s="17" t="n">
        <v>4000</v>
      </c>
      <c r="E21" s="12" t="n">
        <v>1</v>
      </c>
      <c r="F21" s="16" t="n">
        <v>2</v>
      </c>
    </row>
    <row r="22">
      <c r="A22" s="3" t="inlineStr">
        <is>
          <t>Stabilità, challenge test, compatibilità, acconto</t>
        </is>
      </c>
      <c r="B22" s="16" t="n">
        <v>10</v>
      </c>
      <c r="C22" s="16" t="inlineStr">
        <is>
          <t>sì</t>
        </is>
      </c>
      <c r="D22" s="17" t="n">
        <v>3500</v>
      </c>
      <c r="E22" s="12" t="n">
        <v>1</v>
      </c>
      <c r="F22" s="16" t="n">
        <v>3</v>
      </c>
    </row>
    <row r="23">
      <c r="A23" s="3" t="inlineStr">
        <is>
          <t>Stabilità, challenge test, compatibilità, saldo</t>
        </is>
      </c>
      <c r="B23" s="16" t="n">
        <v>13</v>
      </c>
      <c r="C23" s="16" t="inlineStr">
        <is>
          <t>sì</t>
        </is>
      </c>
      <c r="D23" s="17" t="n">
        <v>3500</v>
      </c>
      <c r="E23" s="12" t="n">
        <v>1</v>
      </c>
      <c r="F23" s="16" t="n">
        <v>3</v>
      </c>
    </row>
    <row r="24">
      <c r="A24" s="3" t="inlineStr">
        <is>
          <t>Protocollo per i claim, acconto</t>
        </is>
      </c>
      <c r="B24" s="16" t="n">
        <v>11</v>
      </c>
      <c r="C24" s="16" t="inlineStr">
        <is>
          <t>sì</t>
        </is>
      </c>
      <c r="D24" s="17" t="n">
        <v>11000</v>
      </c>
      <c r="E24" s="12" t="n">
        <v>1</v>
      </c>
      <c r="F24" s="16" t="n">
        <v>3</v>
      </c>
    </row>
    <row r="25">
      <c r="A25" s="3" t="inlineStr">
        <is>
          <t>Protocollo per i claim, saldo</t>
        </is>
      </c>
      <c r="B25" s="16" t="n">
        <v>13</v>
      </c>
      <c r="C25" s="16" t="inlineStr">
        <is>
          <t>sì</t>
        </is>
      </c>
      <c r="D25" s="17" t="n">
        <v>11000</v>
      </c>
      <c r="E25" s="12" t="n">
        <v>1</v>
      </c>
      <c r="F25" s="16" t="n">
        <v>3</v>
      </c>
    </row>
    <row r="26">
      <c r="A26" s="3" t="inlineStr">
        <is>
          <t>Valutazione di sicurezza, PIF, notifica</t>
        </is>
      </c>
      <c r="B26" s="16" t="n">
        <v>13</v>
      </c>
      <c r="C26" s="16" t="inlineStr">
        <is>
          <t>sì</t>
        </is>
      </c>
      <c r="D26" s="17" t="n">
        <v>2000</v>
      </c>
      <c r="E26" s="12" t="n">
        <v>1</v>
      </c>
      <c r="F26" s="16" t="n">
        <v>3</v>
      </c>
    </row>
    <row r="27">
      <c r="A27" s="3" t="inlineStr">
        <is>
          <t>Valutazione di sicurezza, PIF, notifica</t>
        </is>
      </c>
      <c r="B27" s="16" t="n">
        <v>14</v>
      </c>
      <c r="C27" s="16" t="inlineStr">
        <is>
          <t>sì</t>
        </is>
      </c>
      <c r="D27" s="17" t="n">
        <v>2000</v>
      </c>
      <c r="E27" s="12" t="n">
        <v>1</v>
      </c>
      <c r="F27" s="16" t="n">
        <v>3</v>
      </c>
    </row>
    <row r="28">
      <c r="A28" s="3" t="inlineStr">
        <is>
          <t>Academy: parere, testi, revisione, traduzioni</t>
        </is>
      </c>
      <c r="B28" s="16" t="n">
        <v>11</v>
      </c>
      <c r="C28" s="16" t="inlineStr">
        <is>
          <t>sì</t>
        </is>
      </c>
      <c r="D28" s="17" t="n">
        <v>1800</v>
      </c>
      <c r="E28" s="12" t="n">
        <v>0.8</v>
      </c>
      <c r="F28" s="16" t="n">
        <v>3</v>
      </c>
    </row>
    <row r="29">
      <c r="A29" s="3" t="inlineStr">
        <is>
          <t>Academy: parere, testi, revisione, traduzioni</t>
        </is>
      </c>
      <c r="B29" s="16" t="n">
        <v>12</v>
      </c>
      <c r="C29" s="16" t="inlineStr">
        <is>
          <t>sì</t>
        </is>
      </c>
      <c r="D29" s="17" t="n">
        <v>1800</v>
      </c>
      <c r="E29" s="12" t="n">
        <v>0.8</v>
      </c>
      <c r="F29" s="16" t="n">
        <v>3</v>
      </c>
    </row>
    <row r="30">
      <c r="A30" s="3" t="inlineStr">
        <is>
          <t>Academy: parere, testi, revisione, traduzioni</t>
        </is>
      </c>
      <c r="B30" s="16" t="n">
        <v>13</v>
      </c>
      <c r="C30" s="16" t="inlineStr">
        <is>
          <t>sì</t>
        </is>
      </c>
      <c r="D30" s="17" t="n">
        <v>1800</v>
      </c>
      <c r="E30" s="12" t="n">
        <v>0.8</v>
      </c>
      <c r="F30" s="16" t="n">
        <v>3</v>
      </c>
    </row>
    <row r="31">
      <c r="A31" s="3" t="inlineStr">
        <is>
          <t>Academy: parere, testi, revisione, traduzioni</t>
        </is>
      </c>
      <c r="B31" s="16" t="n">
        <v>14</v>
      </c>
      <c r="C31" s="16" t="inlineStr">
        <is>
          <t>sì</t>
        </is>
      </c>
      <c r="D31" s="17" t="n">
        <v>1800</v>
      </c>
      <c r="E31" s="12" t="n">
        <v>0.8</v>
      </c>
      <c r="F31" s="16" t="n">
        <v>3</v>
      </c>
    </row>
    <row r="32">
      <c r="A32" s="3" t="inlineStr">
        <is>
          <t>Academy: parere, testi, revisione, traduzioni</t>
        </is>
      </c>
      <c r="B32" s="16" t="n">
        <v>15</v>
      </c>
      <c r="C32" s="16" t="inlineStr">
        <is>
          <t>sì</t>
        </is>
      </c>
      <c r="D32" s="17" t="n">
        <v>1800</v>
      </c>
      <c r="E32" s="12" t="n">
        <v>0.8</v>
      </c>
      <c r="F32" s="16" t="n">
        <v>3</v>
      </c>
    </row>
    <row r="33">
      <c r="A33" s="3" t="inlineStr">
        <is>
          <t>Confezione, grafica, foto, sito</t>
        </is>
      </c>
      <c r="B33" s="16" t="n">
        <v>12</v>
      </c>
      <c r="C33" s="16" t="inlineStr">
        <is>
          <t>sì</t>
        </is>
      </c>
      <c r="D33" s="17" t="n">
        <v>2000</v>
      </c>
      <c r="E33" s="12" t="n">
        <v>1</v>
      </c>
      <c r="F33" s="16" t="n">
        <v>3</v>
      </c>
    </row>
    <row r="34">
      <c r="A34" s="3" t="inlineStr">
        <is>
          <t>Test di messaggio a pagamento</t>
        </is>
      </c>
      <c r="B34" s="16" t="n">
        <v>12</v>
      </c>
      <c r="C34" s="16" t="inlineStr">
        <is>
          <t>sì</t>
        </is>
      </c>
      <c r="D34" s="17" t="n">
        <v>2000</v>
      </c>
      <c r="E34" s="12" t="n">
        <v>0</v>
      </c>
      <c r="F34" s="16" t="n">
        <v>3</v>
      </c>
    </row>
    <row r="35">
      <c r="A35" s="3" t="inlineStr">
        <is>
          <t>Confezione, grafica, foto, sito</t>
        </is>
      </c>
      <c r="B35" s="16" t="n">
        <v>13</v>
      </c>
      <c r="C35" s="16" t="inlineStr">
        <is>
          <t>sì</t>
        </is>
      </c>
      <c r="D35" s="17" t="n">
        <v>2000</v>
      </c>
      <c r="E35" s="12" t="n">
        <v>1</v>
      </c>
      <c r="F35" s="16" t="n">
        <v>3</v>
      </c>
    </row>
    <row r="36">
      <c r="A36" s="3" t="inlineStr">
        <is>
          <t>Test di messaggio a pagamento</t>
        </is>
      </c>
      <c r="B36" s="16" t="n">
        <v>13</v>
      </c>
      <c r="C36" s="16" t="inlineStr">
        <is>
          <t>sì</t>
        </is>
      </c>
      <c r="D36" s="17" t="n">
        <v>2000</v>
      </c>
      <c r="E36" s="12" t="n">
        <v>0</v>
      </c>
      <c r="F36" s="16" t="n">
        <v>3</v>
      </c>
    </row>
    <row r="37">
      <c r="A37" s="3" t="inlineStr">
        <is>
          <t>Confezione, grafica, foto, sito</t>
        </is>
      </c>
      <c r="B37" s="16" t="n">
        <v>14</v>
      </c>
      <c r="C37" s="16" t="inlineStr">
        <is>
          <t>sì</t>
        </is>
      </c>
      <c r="D37" s="17" t="n">
        <v>2000</v>
      </c>
      <c r="E37" s="12" t="n">
        <v>1</v>
      </c>
      <c r="F37" s="16" t="n">
        <v>3</v>
      </c>
    </row>
    <row r="38">
      <c r="A38" s="3" t="inlineStr">
        <is>
          <t>Test di messaggio a pagamento</t>
        </is>
      </c>
      <c r="B38" s="16" t="n">
        <v>14</v>
      </c>
      <c r="C38" s="16" t="inlineStr">
        <is>
          <t>sì</t>
        </is>
      </c>
      <c r="D38" s="17" t="n">
        <v>2000</v>
      </c>
      <c r="E38" s="12" t="n">
        <v>0</v>
      </c>
      <c r="F38" s="16" t="n">
        <v>3</v>
      </c>
    </row>
    <row r="39">
      <c r="A39" s="3" t="inlineStr">
        <is>
          <t>Confezione, grafica, foto, sito</t>
        </is>
      </c>
      <c r="B39" s="16" t="n">
        <v>15</v>
      </c>
      <c r="C39" s="16" t="inlineStr">
        <is>
          <t>sì</t>
        </is>
      </c>
      <c r="D39" s="17" t="n">
        <v>2000</v>
      </c>
      <c r="E39" s="12" t="n">
        <v>1</v>
      </c>
      <c r="F39" s="16" t="n">
        <v>3</v>
      </c>
    </row>
    <row r="40">
      <c r="A40" s="3" t="inlineStr">
        <is>
          <t>Test di messaggio a pagamento</t>
        </is>
      </c>
      <c r="B40" s="16" t="n">
        <v>15</v>
      </c>
      <c r="C40" s="16" t="inlineStr">
        <is>
          <t>sì</t>
        </is>
      </c>
      <c r="D40" s="17" t="n">
        <v>2000</v>
      </c>
      <c r="E40" s="12" t="n">
        <v>0</v>
      </c>
      <c r="F40" s="16" t="n">
        <v>3</v>
      </c>
    </row>
    <row r="41">
      <c r="A41" s="3" t="inlineStr">
        <is>
          <t>Codici a barre GS1</t>
        </is>
      </c>
      <c r="B41" s="16" t="n">
        <v>12</v>
      </c>
      <c r="C41" s="16" t="inlineStr">
        <is>
          <t>sì</t>
        </is>
      </c>
      <c r="D41" s="17" t="n">
        <v>300</v>
      </c>
      <c r="E41" s="12" t="n">
        <v>1</v>
      </c>
      <c r="F41" s="16" t="n">
        <v>3</v>
      </c>
    </row>
    <row r="42">
      <c r="A42" s="3" t="inlineStr">
        <is>
          <t>Lotto pilota e trasferimento di scala</t>
        </is>
      </c>
      <c r="B42" s="16" t="n">
        <v>12</v>
      </c>
      <c r="C42" s="16" t="inlineStr">
        <is>
          <t>sì</t>
        </is>
      </c>
      <c r="D42" s="17" t="n">
        <v>8500</v>
      </c>
      <c r="E42" s="12" t="n">
        <v>1</v>
      </c>
      <c r="F42" s="16" t="n">
        <v>3</v>
      </c>
    </row>
    <row r="43">
      <c r="A43" s="2" t="inlineStr">
        <is>
          <t>Totale</t>
        </is>
      </c>
      <c r="D43" s="20">
        <f>SUM(D5:D42)</f>
        <v/>
      </c>
    </row>
    <row r="45">
      <c r="A45" s="3" t="inlineStr">
        <is>
          <t>Tappa 1</t>
        </is>
      </c>
      <c r="D45" s="20">
        <f>SUMIF(F5:F42,1,D5:D42)</f>
        <v/>
      </c>
    </row>
    <row r="46">
      <c r="A46" s="3" t="inlineStr">
        <is>
          <t>Tappa 2</t>
        </is>
      </c>
      <c r="D46" s="20">
        <f>SUMIF(F5:F42,2,D5:D42)</f>
        <v/>
      </c>
    </row>
    <row r="47">
      <c r="A47" s="3" t="inlineStr">
        <is>
          <t>Tappa 3</t>
        </is>
      </c>
      <c r="D47" s="20">
        <f>SUMIF(F5:F42,3,D5:D42)</f>
        <v/>
      </c>
    </row>
    <row r="48">
      <c r="A48" s="4" t="inlineStr">
        <is>
          <t>Il ciclo di laboratorio aggiuntivo degli scenari con ritardo è in Parametri, non qui.</t>
        </is>
      </c>
    </row>
  </sheetData>
  <dataValidations count="1">
    <dataValidation sqref="C5:C42" showDropDown="0" showInputMessage="0" showErrorMessage="0" allowBlank="0" type="list">
      <formula1>"sì,no"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Scenario 1: Base</t>
        </is>
      </c>
    </row>
    <row r="2">
      <c r="A2" s="4" t="inlineStr">
        <is>
          <t>Indice dello scenario (colonna di Parametri)</t>
        </is>
      </c>
      <c r="C2" s="2" t="n">
        <v>1</v>
      </c>
    </row>
    <row r="5">
      <c r="A5" s="10" t="inlineStr">
        <is>
          <t>Parametri dello scenario (da Parametri)</t>
        </is>
      </c>
    </row>
    <row r="6">
      <c r="A6" s="3" t="inlineStr">
        <is>
          <t>Mese del lancio</t>
        </is>
      </c>
      <c r="B6" s="4" t="inlineStr">
        <is>
          <t>mese</t>
        </is>
      </c>
      <c r="C6" s="21">
        <f>INDEX(Parametri!$D$5:$H$5,1,$C$2)</f>
        <v/>
      </c>
    </row>
    <row r="7">
      <c r="A7" s="3" t="inlineStr">
        <is>
          <t>Costo industriale per flacone</t>
        </is>
      </c>
      <c r="B7" s="4" t="inlineStr">
        <is>
          <t>€</t>
        </is>
      </c>
      <c r="C7" s="9">
        <f>INDEX(Parametri!$D$6:$H$6,1,$C$2)</f>
        <v/>
      </c>
    </row>
    <row r="8">
      <c r="A8" s="3" t="inlineStr">
        <is>
          <t>Quota nuovi clienti: percorso da 6</t>
        </is>
      </c>
      <c r="B8" s="4" t="inlineStr">
        <is>
          <t>%</t>
        </is>
      </c>
      <c r="C8" s="22">
        <f>INDEX(Parametri!$D$7:$H$7,1,$C$2)</f>
        <v/>
      </c>
    </row>
    <row r="9">
      <c r="A9" s="3" t="inlineStr">
        <is>
          <t>Quota nuovi clienti: percorso da 3</t>
        </is>
      </c>
      <c r="B9" s="4" t="inlineStr">
        <is>
          <t>%</t>
        </is>
      </c>
      <c r="C9" s="22">
        <f>INDEX(Parametri!$D$8:$H$8,1,$C$2)</f>
        <v/>
      </c>
    </row>
    <row r="10">
      <c r="A10" s="3" t="inlineStr">
        <is>
          <t>Quota nuovi clienti: abbonamento</t>
        </is>
      </c>
      <c r="B10" s="4" t="inlineStr">
        <is>
          <t>%</t>
        </is>
      </c>
      <c r="C10" s="22">
        <f>INDEX(Parametri!$D$9:$H$9,1,$C$2)</f>
        <v/>
      </c>
    </row>
    <row r="11">
      <c r="A11" s="3" t="inlineStr">
        <is>
          <t>Quota nuovi clienti: flacone singolo</t>
        </is>
      </c>
      <c r="B11" s="4" t="inlineStr">
        <is>
          <t>%</t>
        </is>
      </c>
      <c r="C11" s="22">
        <f>INDEX(Parametri!$D$10:$H$10,1,$C$2)</f>
        <v/>
      </c>
    </row>
    <row r="12">
      <c r="A12" s="3" t="inlineStr">
        <is>
          <t>Percorso da 6: quota che lo completa</t>
        </is>
      </c>
      <c r="B12" s="4" t="inlineStr">
        <is>
          <t>%</t>
        </is>
      </c>
      <c r="C12" s="22">
        <f>INDEX(Parametri!$D$11:$H$11,1,$C$2)</f>
        <v/>
      </c>
    </row>
    <row r="13">
      <c r="A13" s="3" t="inlineStr">
        <is>
          <t>Percorso da 6: chi completa e chiede il rimborso</t>
        </is>
      </c>
      <c r="B13" s="4" t="inlineStr">
        <is>
          <t>%</t>
        </is>
      </c>
      <c r="C13" s="22">
        <f>INDEX(Parametri!$D$12:$H$12,1,$C$2)</f>
        <v/>
      </c>
    </row>
    <row r="14">
      <c r="A14" s="3" t="inlineStr">
        <is>
          <t>Percorso da 6: riacquisto di chi completa senza rimborso</t>
        </is>
      </c>
      <c r="B14" s="4" t="inlineStr">
        <is>
          <t>%</t>
        </is>
      </c>
      <c r="C14" s="22">
        <f>INDEX(Parametri!$D$13:$H$13,1,$C$2)</f>
        <v/>
      </c>
    </row>
    <row r="15">
      <c r="A15" s="3" t="inlineStr">
        <is>
          <t>Percorso da 6: riacquisti successivi</t>
        </is>
      </c>
      <c r="B15" s="4" t="inlineStr">
        <is>
          <t>%</t>
        </is>
      </c>
      <c r="C15" s="22">
        <f>INDEX(Parametri!$D$14:$H$14,1,$C$2)</f>
        <v/>
      </c>
    </row>
    <row r="16">
      <c r="A16" s="3" t="inlineStr">
        <is>
          <t>Percorso da 3: riacquisto a 3 mesi</t>
        </is>
      </c>
      <c r="B16" s="4" t="inlineStr">
        <is>
          <t>%</t>
        </is>
      </c>
      <c r="C16" s="22">
        <f>INDEX(Parametri!$D$15:$H$15,1,$C$2)</f>
        <v/>
      </c>
    </row>
    <row r="17">
      <c r="A17" s="3" t="inlineStr">
        <is>
          <t>Percorso da 3: riacquisti successivi</t>
        </is>
      </c>
      <c r="B17" s="4" t="inlineStr">
        <is>
          <t>%</t>
        </is>
      </c>
      <c r="C17" s="22">
        <f>INDEX(Parametri!$D$16:$H$16,1,$C$2)</f>
        <v/>
      </c>
    </row>
    <row r="18">
      <c r="A18" s="3" t="inlineStr">
        <is>
          <t>Abbonamento: rinnovo dopo il 1° invio</t>
        </is>
      </c>
      <c r="B18" s="4" t="inlineStr">
        <is>
          <t>%</t>
        </is>
      </c>
      <c r="C18" s="22">
        <f>INDEX(Parametri!$D$17:$H$17,1,$C$2)</f>
        <v/>
      </c>
    </row>
    <row r="19">
      <c r="A19" s="3" t="inlineStr">
        <is>
          <t>Abbonamento: rinnovo dopo il 2° invio</t>
        </is>
      </c>
      <c r="B19" s="4" t="inlineStr">
        <is>
          <t>%</t>
        </is>
      </c>
      <c r="C19" s="22">
        <f>INDEX(Parametri!$D$18:$H$18,1,$C$2)</f>
        <v/>
      </c>
    </row>
    <row r="20">
      <c r="A20" s="3" t="inlineStr">
        <is>
          <t>Abbonamento: rinnovo dopo il 3° invio</t>
        </is>
      </c>
      <c r="B20" s="4" t="inlineStr">
        <is>
          <t>%</t>
        </is>
      </c>
      <c r="C20" s="22">
        <f>INDEX(Parametri!$D$19:$H$19,1,$C$2)</f>
        <v/>
      </c>
    </row>
    <row r="21">
      <c r="A21" s="3" t="inlineStr">
        <is>
          <t>Abbonamento: rinnovo dopo il 4° invio</t>
        </is>
      </c>
      <c r="B21" s="4" t="inlineStr">
        <is>
          <t>%</t>
        </is>
      </c>
      <c r="C21" s="22">
        <f>INDEX(Parametri!$D$20:$H$20,1,$C$2)</f>
        <v/>
      </c>
    </row>
    <row r="22">
      <c r="A22" s="3" t="inlineStr">
        <is>
          <t>Abbonamento: rinnovo dopo il 5° invio</t>
        </is>
      </c>
      <c r="B22" s="4" t="inlineStr">
        <is>
          <t>%</t>
        </is>
      </c>
      <c r="C22" s="22">
        <f>INDEX(Parametri!$D$21:$H$21,1,$C$2)</f>
        <v/>
      </c>
    </row>
    <row r="23">
      <c r="A23" s="3" t="inlineStr">
        <is>
          <t>Abbonamento: rinnovo dal 6° invio in poi</t>
        </is>
      </c>
      <c r="B23" s="4" t="inlineStr">
        <is>
          <t>%</t>
        </is>
      </c>
      <c r="C23" s="22">
        <f>INDEX(Parametri!$D$22:$H$22,1,$C$2)</f>
        <v/>
      </c>
    </row>
    <row r="24">
      <c r="A24" s="3" t="inlineStr">
        <is>
          <t>Flacone singolo: probabilità di un nuovo acquisto</t>
        </is>
      </c>
      <c r="B24" s="4" t="inlineStr">
        <is>
          <t>%</t>
        </is>
      </c>
      <c r="C24" s="22">
        <f>INDEX(Parametri!$D$23:$H$23,1,$C$2)</f>
        <v/>
      </c>
    </row>
    <row r="25">
      <c r="A25" s="3" t="inlineStr">
        <is>
          <t>Sconto medio sul primo ordine</t>
        </is>
      </c>
      <c r="B25" s="4" t="inlineStr">
        <is>
          <t>%</t>
        </is>
      </c>
      <c r="C25" s="22">
        <f>INDEX(Parametri!$D$24:$H$24,1,$C$2)</f>
        <v/>
      </c>
    </row>
    <row r="26">
      <c r="A26" s="3" t="inlineStr">
        <is>
          <t>Clienti da canali non pagati, al mese</t>
        </is>
      </c>
      <c r="B26" s="4" t="inlineStr">
        <is>
          <t>clienti</t>
        </is>
      </c>
      <c r="C26" s="21">
        <f>INDEX(Parametri!$D$25:$H$25,1,$C$2)</f>
        <v/>
      </c>
    </row>
    <row r="27">
      <c r="A27" s="3" t="inlineStr">
        <is>
          <t>Pubblicità tranche 1 (totale)</t>
        </is>
      </c>
      <c r="B27" s="4" t="inlineStr">
        <is>
          <t>€</t>
        </is>
      </c>
      <c r="C27" s="9">
        <f>INDEX(Parametri!$D$26:$H$26,1,$C$2)</f>
        <v/>
      </c>
    </row>
    <row r="28">
      <c r="A28" s="3" t="inlineStr">
        <is>
          <t>Tranche 1: durata</t>
        </is>
      </c>
      <c r="B28" s="4" t="inlineStr">
        <is>
          <t>mesi</t>
        </is>
      </c>
      <c r="C28" s="21">
        <f>INDEX(Parametri!$D$27:$H$27,1,$C$2)</f>
        <v/>
      </c>
    </row>
    <row r="29">
      <c r="A29" s="3" t="inlineStr">
        <is>
          <t>CAC pubblicitario tranche 1</t>
        </is>
      </c>
      <c r="B29" s="4" t="inlineStr">
        <is>
          <t>€</t>
        </is>
      </c>
      <c r="C29" s="9">
        <f>INDEX(Parametri!$D$28:$H$28,1,$C$2)</f>
        <v/>
      </c>
    </row>
    <row r="30">
      <c r="A30" s="3" t="inlineStr">
        <is>
          <t>Pubblicità tranche 2 (totale)</t>
        </is>
      </c>
      <c r="B30" s="4" t="inlineStr">
        <is>
          <t>€</t>
        </is>
      </c>
      <c r="C30" s="9">
        <f>INDEX(Parametri!$D$29:$H$29,1,$C$2)</f>
        <v/>
      </c>
    </row>
    <row r="31">
      <c r="A31" s="3" t="inlineStr">
        <is>
          <t>Tranche 2: durata</t>
        </is>
      </c>
      <c r="B31" s="4" t="inlineStr">
        <is>
          <t>mesi</t>
        </is>
      </c>
      <c r="C31" s="21">
        <f>INDEX(Parametri!$D$30:$H$30,1,$C$2)</f>
        <v/>
      </c>
    </row>
    <row r="32">
      <c r="A32" s="3" t="inlineStr">
        <is>
          <t>CAC pubblicitario tranche 2</t>
        </is>
      </c>
      <c r="B32" s="4" t="inlineStr">
        <is>
          <t>€</t>
        </is>
      </c>
      <c r="C32" s="9">
        <f>INDEX(Parametri!$D$31:$H$31,1,$C$2)</f>
        <v/>
      </c>
    </row>
    <row r="33">
      <c r="A33" s="3" t="inlineStr">
        <is>
          <t>Pubblicità tranche 3 (totale)</t>
        </is>
      </c>
      <c r="B33" s="4" t="inlineStr">
        <is>
          <t>€</t>
        </is>
      </c>
      <c r="C33" s="9">
        <f>INDEX(Parametri!$D$32:$H$32,1,$C$2)</f>
        <v/>
      </c>
    </row>
    <row r="34">
      <c r="A34" s="3" t="inlineStr">
        <is>
          <t>Tranche 3: durata</t>
        </is>
      </c>
      <c r="B34" s="4" t="inlineStr">
        <is>
          <t>mesi</t>
        </is>
      </c>
      <c r="C34" s="21">
        <f>INDEX(Parametri!$D$33:$H$33,1,$C$2)</f>
        <v/>
      </c>
    </row>
    <row r="35">
      <c r="A35" s="3" t="inlineStr">
        <is>
          <t>CAC pubblicitario tranche 3 (marginale)</t>
        </is>
      </c>
      <c r="B35" s="4" t="inlineStr">
        <is>
          <t>€</t>
        </is>
      </c>
      <c r="C35" s="9">
        <f>INDEX(Parametri!$D$34:$H$34,1,$C$2)</f>
        <v/>
      </c>
    </row>
    <row r="36">
      <c r="A36" s="3" t="inlineStr">
        <is>
          <t>Pubblicità mensile dopo le tranche</t>
        </is>
      </c>
      <c r="B36" s="4" t="inlineStr">
        <is>
          <t>€/mese</t>
        </is>
      </c>
      <c r="C36" s="9">
        <f>INDEX(Parametri!$D$35:$H$35,1,$C$2)</f>
        <v/>
      </c>
    </row>
    <row r="37">
      <c r="A37" s="3" t="inlineStr">
        <is>
          <t>CAC dopo le tranche</t>
        </is>
      </c>
      <c r="B37" s="4" t="inlineStr">
        <is>
          <t>€</t>
        </is>
      </c>
      <c r="C37" s="9">
        <f>INDEX(Parametri!$D$36:$H$36,1,$C$2)</f>
        <v/>
      </c>
    </row>
    <row r="38">
      <c r="A38" s="3" t="inlineStr">
        <is>
          <t>Creatività e gestione campagne</t>
        </is>
      </c>
      <c r="B38" s="4" t="inlineStr">
        <is>
          <t>€/mese</t>
        </is>
      </c>
      <c r="C38" s="9">
        <f>INDEX(Parametri!$D$37:$H$37,1,$C$2)</f>
        <v/>
      </c>
    </row>
    <row r="39">
      <c r="A39" s="3" t="inlineStr">
        <is>
          <t>Ciclo di laboratorio aggiuntivo, mese 10</t>
        </is>
      </c>
      <c r="B39" s="4" t="inlineStr">
        <is>
          <t>€</t>
        </is>
      </c>
      <c r="C39" s="9">
        <f>INDEX(Parametri!$D$38:$H$38,1,$C$2)</f>
        <v/>
      </c>
    </row>
    <row r="40">
      <c r="A40" s="3" t="inlineStr">
        <is>
          <t>Ciclo di laboratorio aggiuntivo, mese 11</t>
        </is>
      </c>
      <c r="B40" s="4" t="inlineStr">
        <is>
          <t>€</t>
        </is>
      </c>
      <c r="C40" s="9">
        <f>INDEX(Parametri!$D$39:$H$39,1,$C$2)</f>
        <v/>
      </c>
    </row>
    <row r="41">
      <c r="A41" s="3" t="inlineStr">
        <is>
          <t>Capitale versato al mese 1</t>
        </is>
      </c>
      <c r="B41" s="4" t="inlineStr">
        <is>
          <t>€</t>
        </is>
      </c>
      <c r="C41" s="9">
        <f>INDEX(Parametri!$D$40:$H$40,1,$C$2)</f>
        <v/>
      </c>
    </row>
    <row r="42">
      <c r="A42" s="3" t="inlineStr">
        <is>
          <t>Mese della seconda tranche di capitale</t>
        </is>
      </c>
      <c r="B42" s="4" t="inlineStr">
        <is>
          <t>mese</t>
        </is>
      </c>
      <c r="C42" s="21">
        <f>INDEX(Parametri!$D$41:$H$41,1,$C$2)</f>
        <v/>
      </c>
    </row>
    <row r="43">
      <c r="A43" s="3" t="inlineStr">
        <is>
          <t>Seconda tranche di capitale</t>
        </is>
      </c>
      <c r="B43" s="4" t="inlineStr">
        <is>
          <t>€</t>
        </is>
      </c>
      <c r="C43" s="9">
        <f>INDEX(Parametri!$D$42:$H$42,1,$C$2)</f>
        <v/>
      </c>
    </row>
    <row r="44">
      <c r="A44" s="3" t="inlineStr">
        <is>
          <t>Aliquota IVA</t>
        </is>
      </c>
      <c r="B44" s="4" t="inlineStr">
        <is>
          <t>%</t>
        </is>
      </c>
      <c r="C44" s="22">
        <f>Parametri!$D$45</f>
        <v/>
      </c>
    </row>
    <row r="45">
      <c r="A45" s="3" t="inlineStr">
        <is>
          <t>Prezzo percorso da 6 flaconi</t>
        </is>
      </c>
      <c r="B45" s="4" t="inlineStr">
        <is>
          <t>€ IVA incl.</t>
        </is>
      </c>
      <c r="C45" s="21">
        <f>Parametri!$D$46</f>
        <v/>
      </c>
    </row>
    <row r="46">
      <c r="A46" s="3" t="inlineStr">
        <is>
          <t>Prezzo percorso da 3 flaconi</t>
        </is>
      </c>
      <c r="B46" s="4" t="inlineStr">
        <is>
          <t>€ IVA incl.</t>
        </is>
      </c>
      <c r="C46" s="21">
        <f>Parametri!$D$47</f>
        <v/>
      </c>
    </row>
    <row r="47">
      <c r="A47" s="3" t="inlineStr">
        <is>
          <t>Prezzo abbonamento, ogni 28 giorni</t>
        </is>
      </c>
      <c r="B47" s="4" t="inlineStr">
        <is>
          <t>€ IVA incl.</t>
        </is>
      </c>
      <c r="C47" s="21">
        <f>Parametri!$D$48</f>
        <v/>
      </c>
    </row>
    <row r="48">
      <c r="A48" s="3" t="inlineStr">
        <is>
          <t>Prezzo flacone singolo</t>
        </is>
      </c>
      <c r="B48" s="4" t="inlineStr">
        <is>
          <t>€ IVA incl.</t>
        </is>
      </c>
      <c r="C48" s="21">
        <f>Parametri!$D$49</f>
        <v/>
      </c>
    </row>
    <row r="49">
      <c r="A49" s="3" t="inlineStr">
        <is>
          <t>Flaconi: percorso da 6</t>
        </is>
      </c>
      <c r="B49" s="4" t="inlineStr">
        <is>
          <t>n</t>
        </is>
      </c>
      <c r="C49" s="21">
        <f>Parametri!$D$50</f>
        <v/>
      </c>
    </row>
    <row r="50">
      <c r="A50" s="3" t="inlineStr">
        <is>
          <t>Flaconi: percorso da 3</t>
        </is>
      </c>
      <c r="B50" s="4" t="inlineStr">
        <is>
          <t>n</t>
        </is>
      </c>
      <c r="C50" s="21">
        <f>Parametri!$D$51</f>
        <v/>
      </c>
    </row>
    <row r="51">
      <c r="A51" s="3" t="inlineStr">
        <is>
          <t>Flaconi: abbonamento</t>
        </is>
      </c>
      <c r="B51" s="4" t="inlineStr">
        <is>
          <t>n</t>
        </is>
      </c>
      <c r="C51" s="21">
        <f>Parametri!$D$52</f>
        <v/>
      </c>
    </row>
    <row r="52">
      <c r="A52" s="3" t="inlineStr">
        <is>
          <t>Flaconi: singolo</t>
        </is>
      </c>
      <c r="B52" s="4" t="inlineStr">
        <is>
          <t>n</t>
        </is>
      </c>
      <c r="C52" s="21">
        <f>Parametri!$D$53</f>
        <v/>
      </c>
    </row>
    <row r="53">
      <c r="A53" s="3" t="inlineStr">
        <is>
          <t>Corriere: 6 flaconi</t>
        </is>
      </c>
      <c r="B53" s="4" t="inlineStr">
        <is>
          <t>€</t>
        </is>
      </c>
      <c r="C53" s="21">
        <f>Parametri!$D$54</f>
        <v/>
      </c>
    </row>
    <row r="54">
      <c r="A54" s="3" t="inlineStr">
        <is>
          <t>Corriere: 3 flaconi</t>
        </is>
      </c>
      <c r="B54" s="4" t="inlineStr">
        <is>
          <t>€</t>
        </is>
      </c>
      <c r="C54" s="21">
        <f>Parametri!$D$55</f>
        <v/>
      </c>
    </row>
    <row r="55">
      <c r="A55" s="3" t="inlineStr">
        <is>
          <t>Corriere: 1 flacone (abbonamento)</t>
        </is>
      </c>
      <c r="B55" s="4" t="inlineStr">
        <is>
          <t>€</t>
        </is>
      </c>
      <c r="C55" s="21">
        <f>Parametri!$D$56</f>
        <v/>
      </c>
    </row>
    <row r="56">
      <c r="A56" s="3" t="inlineStr">
        <is>
          <t>Corriere: 1 flacone (singolo)</t>
        </is>
      </c>
      <c r="B56" s="4" t="inlineStr">
        <is>
          <t>€</t>
        </is>
      </c>
      <c r="C56" s="21">
        <f>Parametri!$D$57</f>
        <v/>
      </c>
    </row>
    <row r="57">
      <c r="A57" s="3" t="inlineStr">
        <is>
          <t>Prelievo e imballo per ordine</t>
        </is>
      </c>
      <c r="B57" s="4" t="inlineStr">
        <is>
          <t>€</t>
        </is>
      </c>
      <c r="C57" s="21">
        <f>Parametri!$D$58</f>
        <v/>
      </c>
    </row>
    <row r="58">
      <c r="A58" s="3" t="inlineStr">
        <is>
          <t>Commissione di incasso, percentuale</t>
        </is>
      </c>
      <c r="B58" s="4" t="inlineStr">
        <is>
          <t>%</t>
        </is>
      </c>
      <c r="C58" s="22">
        <f>Parametri!$D$59</f>
        <v/>
      </c>
    </row>
    <row r="59">
      <c r="A59" s="3" t="inlineStr">
        <is>
          <t>Commissione di incasso, fissa</t>
        </is>
      </c>
      <c r="B59" s="4" t="inlineStr">
        <is>
          <t>€</t>
        </is>
      </c>
      <c r="C59" s="21">
        <f>Parametri!$D$60</f>
        <v/>
      </c>
    </row>
    <row r="60">
      <c r="A60" s="3" t="inlineStr">
        <is>
          <t>Assistenza, resi ordinari, sostituzioni</t>
        </is>
      </c>
      <c r="B60" s="4" t="inlineStr">
        <is>
          <t>% ricavo netto</t>
        </is>
      </c>
      <c r="C60" s="22">
        <f>Parametri!$D$61</f>
        <v/>
      </c>
    </row>
    <row r="61">
      <c r="A61" s="3" t="inlineStr">
        <is>
          <t>Lotto di produzione</t>
        </is>
      </c>
      <c r="B61" s="4" t="inlineStr">
        <is>
          <t>flaconi</t>
        </is>
      </c>
      <c r="C61" s="21">
        <f>Parametri!$D$62</f>
        <v/>
      </c>
    </row>
    <row r="62">
      <c r="A62" s="3" t="inlineStr">
        <is>
          <t>Acconto all'ordine del lotto</t>
        </is>
      </c>
      <c r="B62" s="4" t="inlineStr">
        <is>
          <t>%</t>
        </is>
      </c>
      <c r="C62" s="22">
        <f>Parametri!$D$63</f>
        <v/>
      </c>
    </row>
    <row r="63">
      <c r="A63" s="3" t="inlineStr">
        <is>
          <t>Tempo di fornitura</t>
        </is>
      </c>
      <c r="B63" s="4" t="inlineStr">
        <is>
          <t>mesi</t>
        </is>
      </c>
      <c r="C63" s="21">
        <f>Parametri!$D$64</f>
        <v/>
      </c>
    </row>
    <row r="64">
      <c r="A64" s="3" t="inlineStr">
        <is>
          <t>Scorta di sicurezza</t>
        </is>
      </c>
      <c r="B64" s="4" t="inlineStr">
        <is>
          <t>mesi di consumo</t>
        </is>
      </c>
      <c r="C64" s="21">
        <f>Parametri!$D$65</f>
        <v/>
      </c>
    </row>
    <row r="65">
      <c r="A65" s="3" t="inlineStr">
        <is>
          <t>Scarto di produzione</t>
        </is>
      </c>
      <c r="B65" s="4" t="inlineStr">
        <is>
          <t>%</t>
        </is>
      </c>
      <c r="C65" s="22">
        <f>Parametri!$D$66</f>
        <v/>
      </c>
    </row>
    <row r="66">
      <c r="A66" s="3" t="inlineStr">
        <is>
          <t>Flaconi trattenuti per lotto (analisi e campioni di riserva)</t>
        </is>
      </c>
      <c r="B66" s="4" t="inlineStr">
        <is>
          <t>flaconi</t>
        </is>
      </c>
      <c r="C66" s="21">
        <f>Parametri!$D$67</f>
        <v/>
      </c>
    </row>
    <row r="67">
      <c r="A67" s="3" t="inlineStr">
        <is>
          <t>Campioni al lancio</t>
        </is>
      </c>
      <c r="B67" s="4" t="inlineStr">
        <is>
          <t>flaconi</t>
        </is>
      </c>
      <c r="C67" s="21">
        <f>Parametri!$D$68</f>
        <v/>
      </c>
    </row>
    <row r="68">
      <c r="A68" s="3" t="inlineStr">
        <is>
          <t>Campioni al mese dopo il lancio</t>
        </is>
      </c>
      <c r="B68" s="4" t="inlineStr">
        <is>
          <t>flaconi</t>
        </is>
      </c>
      <c r="C68" s="21">
        <f>Parametri!$D$69</f>
        <v/>
      </c>
    </row>
    <row r="69">
      <c r="A69" s="3" t="inlineStr">
        <is>
          <t>Sostituzioni fisiche</t>
        </is>
      </c>
      <c r="B69" s="4" t="inlineStr">
        <is>
          <t>% flaconi spediti</t>
        </is>
      </c>
      <c r="C69" s="22">
        <f>Parametri!$D$70</f>
        <v/>
      </c>
    </row>
    <row r="70">
      <c r="A70" s="3" t="inlineStr">
        <is>
          <t>Intervallo abbonamento</t>
        </is>
      </c>
      <c r="B70" s="4" t="inlineStr">
        <is>
          <t>giorni</t>
        </is>
      </c>
      <c r="C70" s="21">
        <f>Parametri!$D$71</f>
        <v/>
      </c>
    </row>
    <row r="71">
      <c r="A71" s="3" t="inlineStr">
        <is>
          <t>Durata di un flacone</t>
        </is>
      </c>
      <c r="B71" s="4" t="inlineStr">
        <is>
          <t>giorni</t>
        </is>
      </c>
      <c r="C71" s="21">
        <f>Parametri!$D$72</f>
        <v/>
      </c>
    </row>
    <row r="72">
      <c r="A72" s="3" t="inlineStr">
        <is>
          <t>Giorni per mese</t>
        </is>
      </c>
      <c r="B72" s="4" t="inlineStr">
        <is>
          <t>giorni</t>
        </is>
      </c>
      <c r="C72" s="21">
        <f>Parametri!$D$73</f>
        <v/>
      </c>
    </row>
    <row r="74">
      <c r="A74" s="10" t="inlineStr">
        <is>
          <t>Economia per ordine (colonne C-F ordini successivi, H-K primo ordine con sconto)</t>
        </is>
      </c>
    </row>
    <row r="75">
      <c r="C75" s="2" t="inlineStr">
        <is>
          <t>Percorso 6</t>
        </is>
      </c>
      <c r="D75" s="2" t="inlineStr">
        <is>
          <t>Percorso 3</t>
        </is>
      </c>
      <c r="E75" s="2" t="inlineStr">
        <is>
          <t>Abbonamento</t>
        </is>
      </c>
      <c r="F75" s="2" t="inlineStr">
        <is>
          <t>Singolo</t>
        </is>
      </c>
      <c r="H75" s="2" t="inlineStr">
        <is>
          <t>Percorso 6, 1° ord.</t>
        </is>
      </c>
      <c r="I75" s="2" t="inlineStr">
        <is>
          <t>Percorso 3, 1° ord.</t>
        </is>
      </c>
      <c r="J75" s="2" t="inlineStr">
        <is>
          <t>Abbonamento, 1° ord.</t>
        </is>
      </c>
      <c r="K75" s="2" t="inlineStr">
        <is>
          <t>Singolo, 1° ord.</t>
        </is>
      </c>
    </row>
    <row r="76">
      <c r="A76" s="3" t="inlineStr">
        <is>
          <t>Prezzo pagato (IVA incl.)</t>
        </is>
      </c>
      <c r="B76" s="4" t="inlineStr">
        <is>
          <t>€</t>
        </is>
      </c>
      <c r="C76" s="13">
        <f>$C$45*(1-0)</f>
        <v/>
      </c>
      <c r="D76" s="13">
        <f>$C$46*(1-0)</f>
        <v/>
      </c>
      <c r="E76" s="13">
        <f>$C$47*(1-0)</f>
        <v/>
      </c>
      <c r="F76" s="13">
        <f>$C$48*(1-0)</f>
        <v/>
      </c>
      <c r="H76" s="13">
        <f>$C$45*(1-$C$25)</f>
        <v/>
      </c>
      <c r="I76" s="13">
        <f>$C$46*(1-$C$25)</f>
        <v/>
      </c>
      <c r="J76" s="13">
        <f>$C$47*(1-$C$25)</f>
        <v/>
      </c>
      <c r="K76" s="13">
        <f>$C$48*(1-$C$25)</f>
        <v/>
      </c>
    </row>
    <row r="77">
      <c r="A77" s="3" t="inlineStr">
        <is>
          <t>Ricavo netto IVA</t>
        </is>
      </c>
      <c r="B77" s="4" t="inlineStr">
        <is>
          <t>€</t>
        </is>
      </c>
      <c r="C77" s="13">
        <f>C76/(1+$C$44)</f>
        <v/>
      </c>
      <c r="D77" s="13">
        <f>D76/(1+$C$44)</f>
        <v/>
      </c>
      <c r="E77" s="13">
        <f>E76/(1+$C$44)</f>
        <v/>
      </c>
      <c r="F77" s="13">
        <f>F76/(1+$C$44)</f>
        <v/>
      </c>
      <c r="H77" s="13">
        <f>H76/(1+$C$44)</f>
        <v/>
      </c>
      <c r="I77" s="13">
        <f>I76/(1+$C$44)</f>
        <v/>
      </c>
      <c r="J77" s="13">
        <f>J76/(1+$C$44)</f>
        <v/>
      </c>
      <c r="K77" s="13">
        <f>K76/(1+$C$44)</f>
        <v/>
      </c>
    </row>
    <row r="78">
      <c r="A78" s="3" t="inlineStr">
        <is>
          <t>Costo del prodotto</t>
        </is>
      </c>
      <c r="B78" s="4" t="inlineStr">
        <is>
          <t>€</t>
        </is>
      </c>
      <c r="C78" s="13">
        <f>$C$7*$C$49</f>
        <v/>
      </c>
      <c r="D78" s="13">
        <f>$C$7*$C$50</f>
        <v/>
      </c>
      <c r="E78" s="13">
        <f>$C$7*$C$51</f>
        <v/>
      </c>
      <c r="F78" s="13">
        <f>$C$7*$C$52</f>
        <v/>
      </c>
      <c r="H78" s="13">
        <f>$C$7*$C$49</f>
        <v/>
      </c>
      <c r="I78" s="13">
        <f>$C$7*$C$50</f>
        <v/>
      </c>
      <c r="J78" s="13">
        <f>$C$7*$C$51</f>
        <v/>
      </c>
      <c r="K78" s="13">
        <f>$C$7*$C$52</f>
        <v/>
      </c>
    </row>
    <row r="79">
      <c r="A79" s="3" t="inlineStr">
        <is>
          <t>Logistica</t>
        </is>
      </c>
      <c r="B79" s="4" t="inlineStr">
        <is>
          <t>€</t>
        </is>
      </c>
      <c r="C79" s="13">
        <f>$C$57+$C$53</f>
        <v/>
      </c>
      <c r="D79" s="13">
        <f>$C$57+$C$54</f>
        <v/>
      </c>
      <c r="E79" s="13">
        <f>$C$57+$C$55</f>
        <v/>
      </c>
      <c r="F79" s="13">
        <f>$C$57+$C$56</f>
        <v/>
      </c>
      <c r="H79" s="13">
        <f>$C$57+$C$53</f>
        <v/>
      </c>
      <c r="I79" s="13">
        <f>$C$57+$C$54</f>
        <v/>
      </c>
      <c r="J79" s="13">
        <f>$C$57+$C$55</f>
        <v/>
      </c>
      <c r="K79" s="13">
        <f>$C$57+$C$56</f>
        <v/>
      </c>
    </row>
    <row r="80">
      <c r="A80" s="3" t="inlineStr">
        <is>
          <t>Commissione di incasso</t>
        </is>
      </c>
      <c r="B80" s="4" t="inlineStr">
        <is>
          <t>€</t>
        </is>
      </c>
      <c r="C80" s="13">
        <f>C76*$C$58+$C$59</f>
        <v/>
      </c>
      <c r="D80" s="13">
        <f>D76*$C$58+$C$59</f>
        <v/>
      </c>
      <c r="E80" s="13">
        <f>E76*$C$58+$C$59</f>
        <v/>
      </c>
      <c r="F80" s="13">
        <f>F76*$C$58+$C$59</f>
        <v/>
      </c>
      <c r="H80" s="13">
        <f>H76*$C$58+$C$59</f>
        <v/>
      </c>
      <c r="I80" s="13">
        <f>I76*$C$58+$C$59</f>
        <v/>
      </c>
      <c r="J80" s="13">
        <f>J76*$C$58+$C$59</f>
        <v/>
      </c>
      <c r="K80" s="13">
        <f>K76*$C$58+$C$59</f>
        <v/>
      </c>
    </row>
    <row r="81">
      <c r="A81" s="3" t="inlineStr">
        <is>
          <t>Assistenza e resi ordinari</t>
        </is>
      </c>
      <c r="B81" s="4" t="inlineStr">
        <is>
          <t>€</t>
        </is>
      </c>
      <c r="C81" s="13">
        <f>C77*$C$60</f>
        <v/>
      </c>
      <c r="D81" s="13">
        <f>D77*$C$60</f>
        <v/>
      </c>
      <c r="E81" s="13">
        <f>E77*$C$60</f>
        <v/>
      </c>
      <c r="F81" s="13">
        <f>F77*$C$60</f>
        <v/>
      </c>
      <c r="H81" s="13">
        <f>H77*$C$60</f>
        <v/>
      </c>
      <c r="I81" s="13">
        <f>I77*$C$60</f>
        <v/>
      </c>
      <c r="J81" s="13">
        <f>J77*$C$60</f>
        <v/>
      </c>
      <c r="K81" s="13">
        <f>K77*$C$60</f>
        <v/>
      </c>
    </row>
    <row r="82">
      <c r="A82" s="3" t="inlineStr">
        <is>
          <t>Contribuzione per ordine</t>
        </is>
      </c>
      <c r="B82" s="4" t="inlineStr">
        <is>
          <t>€</t>
        </is>
      </c>
      <c r="C82" s="13">
        <f>C77-C78-C79-C80-C81</f>
        <v/>
      </c>
      <c r="D82" s="13">
        <f>D77-D78-D79-D80-D81</f>
        <v/>
      </c>
      <c r="E82" s="13">
        <f>E77-E78-E79-E80-E81</f>
        <v/>
      </c>
      <c r="F82" s="13">
        <f>F77-F78-F79-F80-F81</f>
        <v/>
      </c>
      <c r="H82" s="13">
        <f>H77-H78-H79-H80-H81</f>
        <v/>
      </c>
      <c r="I82" s="13">
        <f>I77-I78-I79-I80-I81</f>
        <v/>
      </c>
      <c r="J82" s="13">
        <f>J77-J78-J79-J80-J81</f>
        <v/>
      </c>
      <c r="K82" s="13">
        <f>K77-K78-K79-K80-K81</f>
        <v/>
      </c>
    </row>
    <row r="84">
      <c r="A84" s="10" t="inlineStr">
        <is>
          <t>Sequenza degli invii: abbonamento e flacone singolo (colonna = invio k)</t>
        </is>
      </c>
    </row>
    <row r="85">
      <c r="A85" s="3" t="inlineStr">
        <is>
          <t>Invio k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  <c r="J85" t="n">
        <v>8</v>
      </c>
      <c r="K85" t="n">
        <v>9</v>
      </c>
      <c r="L85" t="n">
        <v>10</v>
      </c>
      <c r="M85" t="n">
        <v>11</v>
      </c>
      <c r="N85" t="n">
        <v>12</v>
      </c>
      <c r="O85" t="n">
        <v>13</v>
      </c>
      <c r="P85" t="n">
        <v>14</v>
      </c>
      <c r="Q85" t="n">
        <v>15</v>
      </c>
      <c r="R85" t="n">
        <v>16</v>
      </c>
      <c r="S85" t="n">
        <v>17</v>
      </c>
      <c r="T85" t="n">
        <v>18</v>
      </c>
      <c r="U85" t="n">
        <v>19</v>
      </c>
      <c r="V85" t="n">
        <v>20</v>
      </c>
      <c r="W85" t="n">
        <v>21</v>
      </c>
      <c r="X85" t="n">
        <v>22</v>
      </c>
      <c r="Y85" t="n">
        <v>23</v>
      </c>
      <c r="Z85" t="n">
        <v>24</v>
      </c>
      <c r="AA85" t="n">
        <v>25</v>
      </c>
      <c r="AB85" t="n">
        <v>26</v>
      </c>
      <c r="AC85" t="n">
        <v>27</v>
      </c>
      <c r="AD85" t="n">
        <v>28</v>
      </c>
      <c r="AE85" t="n">
        <v>29</v>
      </c>
      <c r="AF85" t="n">
        <v>30</v>
      </c>
      <c r="AG85" t="n">
        <v>31</v>
      </c>
      <c r="AH85" t="n">
        <v>32</v>
      </c>
      <c r="AI85" t="n">
        <v>33</v>
      </c>
      <c r="AJ85" t="n">
        <v>34</v>
      </c>
      <c r="AK85" t="n">
        <v>35</v>
      </c>
      <c r="AL85" t="n">
        <v>36</v>
      </c>
      <c r="AM85" t="n">
        <v>37</v>
      </c>
      <c r="AN85" t="n">
        <v>38</v>
      </c>
      <c r="AO85" t="n">
        <v>39</v>
      </c>
      <c r="AP85" t="n">
        <v>40</v>
      </c>
      <c r="AQ85" t="n">
        <v>41</v>
      </c>
      <c r="AR85" t="n">
        <v>42</v>
      </c>
      <c r="AS85" t="n">
        <v>43</v>
      </c>
      <c r="AT85" t="n">
        <v>44</v>
      </c>
      <c r="AU85" t="n">
        <v>45</v>
      </c>
    </row>
    <row r="86">
      <c r="A86" s="3" t="inlineStr">
        <is>
          <t>Abbonamento: mese di età dell'invio</t>
        </is>
      </c>
      <c r="C86">
        <f>INT($C$70*(C85-1)/$C$72+0.5)</f>
        <v/>
      </c>
      <c r="D86">
        <f>INT($C$70*(D85-1)/$C$72+0.5)</f>
        <v/>
      </c>
      <c r="E86">
        <f>INT($C$70*(E85-1)/$C$72+0.5)</f>
        <v/>
      </c>
      <c r="F86">
        <f>INT($C$70*(F85-1)/$C$72+0.5)</f>
        <v/>
      </c>
      <c r="G86">
        <f>INT($C$70*(G85-1)/$C$72+0.5)</f>
        <v/>
      </c>
      <c r="H86">
        <f>INT($C$70*(H85-1)/$C$72+0.5)</f>
        <v/>
      </c>
      <c r="I86">
        <f>INT($C$70*(I85-1)/$C$72+0.5)</f>
        <v/>
      </c>
      <c r="J86">
        <f>INT($C$70*(J85-1)/$C$72+0.5)</f>
        <v/>
      </c>
      <c r="K86">
        <f>INT($C$70*(K85-1)/$C$72+0.5)</f>
        <v/>
      </c>
      <c r="L86">
        <f>INT($C$70*(L85-1)/$C$72+0.5)</f>
        <v/>
      </c>
      <c r="M86">
        <f>INT($C$70*(M85-1)/$C$72+0.5)</f>
        <v/>
      </c>
      <c r="N86">
        <f>INT($C$70*(N85-1)/$C$72+0.5)</f>
        <v/>
      </c>
      <c r="O86">
        <f>INT($C$70*(O85-1)/$C$72+0.5)</f>
        <v/>
      </c>
      <c r="P86">
        <f>INT($C$70*(P85-1)/$C$72+0.5)</f>
        <v/>
      </c>
      <c r="Q86">
        <f>INT($C$70*(Q85-1)/$C$72+0.5)</f>
        <v/>
      </c>
      <c r="R86">
        <f>INT($C$70*(R85-1)/$C$72+0.5)</f>
        <v/>
      </c>
      <c r="S86">
        <f>INT($C$70*(S85-1)/$C$72+0.5)</f>
        <v/>
      </c>
      <c r="T86">
        <f>INT($C$70*(T85-1)/$C$72+0.5)</f>
        <v/>
      </c>
      <c r="U86">
        <f>INT($C$70*(U85-1)/$C$72+0.5)</f>
        <v/>
      </c>
      <c r="V86">
        <f>INT($C$70*(V85-1)/$C$72+0.5)</f>
        <v/>
      </c>
      <c r="W86">
        <f>INT($C$70*(W85-1)/$C$72+0.5)</f>
        <v/>
      </c>
      <c r="X86">
        <f>INT($C$70*(X85-1)/$C$72+0.5)</f>
        <v/>
      </c>
      <c r="Y86">
        <f>INT($C$70*(Y85-1)/$C$72+0.5)</f>
        <v/>
      </c>
      <c r="Z86">
        <f>INT($C$70*(Z85-1)/$C$72+0.5)</f>
        <v/>
      </c>
      <c r="AA86">
        <f>INT($C$70*(AA85-1)/$C$72+0.5)</f>
        <v/>
      </c>
      <c r="AB86">
        <f>INT($C$70*(AB85-1)/$C$72+0.5)</f>
        <v/>
      </c>
      <c r="AC86">
        <f>INT($C$70*(AC85-1)/$C$72+0.5)</f>
        <v/>
      </c>
      <c r="AD86">
        <f>INT($C$70*(AD85-1)/$C$72+0.5)</f>
        <v/>
      </c>
      <c r="AE86">
        <f>INT($C$70*(AE85-1)/$C$72+0.5)</f>
        <v/>
      </c>
      <c r="AF86">
        <f>INT($C$70*(AF85-1)/$C$72+0.5)</f>
        <v/>
      </c>
      <c r="AG86">
        <f>INT($C$70*(AG85-1)/$C$72+0.5)</f>
        <v/>
      </c>
      <c r="AH86">
        <f>INT($C$70*(AH85-1)/$C$72+0.5)</f>
        <v/>
      </c>
      <c r="AI86">
        <f>INT($C$70*(AI85-1)/$C$72+0.5)</f>
        <v/>
      </c>
      <c r="AJ86">
        <f>INT($C$70*(AJ85-1)/$C$72+0.5)</f>
        <v/>
      </c>
      <c r="AK86">
        <f>INT($C$70*(AK85-1)/$C$72+0.5)</f>
        <v/>
      </c>
      <c r="AL86">
        <f>INT($C$70*(AL85-1)/$C$72+0.5)</f>
        <v/>
      </c>
      <c r="AM86">
        <f>INT($C$70*(AM85-1)/$C$72+0.5)</f>
        <v/>
      </c>
      <c r="AN86">
        <f>INT($C$70*(AN85-1)/$C$72+0.5)</f>
        <v/>
      </c>
      <c r="AO86">
        <f>INT($C$70*(AO85-1)/$C$72+0.5)</f>
        <v/>
      </c>
      <c r="AP86">
        <f>INT($C$70*(AP85-1)/$C$72+0.5)</f>
        <v/>
      </c>
      <c r="AQ86">
        <f>INT($C$70*(AQ85-1)/$C$72+0.5)</f>
        <v/>
      </c>
      <c r="AR86">
        <f>INT($C$70*(AR85-1)/$C$72+0.5)</f>
        <v/>
      </c>
      <c r="AS86">
        <f>INT($C$70*(AS85-1)/$C$72+0.5)</f>
        <v/>
      </c>
      <c r="AT86">
        <f>INT($C$70*(AT85-1)/$C$72+0.5)</f>
        <v/>
      </c>
      <c r="AU86">
        <f>INT($C$70*(AU85-1)/$C$72+0.5)</f>
        <v/>
      </c>
    </row>
    <row r="87">
      <c r="A87" s="3" t="inlineStr">
        <is>
          <t>Abbonamento: clienti ancora attivi</t>
        </is>
      </c>
      <c r="C87" s="23" t="n">
        <v>1</v>
      </c>
      <c r="D87" s="23">
        <f>C87*$C$18</f>
        <v/>
      </c>
      <c r="E87" s="23">
        <f>D87*$C$19</f>
        <v/>
      </c>
      <c r="F87" s="23">
        <f>E87*$C$20</f>
        <v/>
      </c>
      <c r="G87" s="23">
        <f>F87*$C$21</f>
        <v/>
      </c>
      <c r="H87" s="23">
        <f>G87*$C$22</f>
        <v/>
      </c>
      <c r="I87" s="23">
        <f>H87*$C$23</f>
        <v/>
      </c>
      <c r="J87" s="23">
        <f>I87*$C$23</f>
        <v/>
      </c>
      <c r="K87" s="23">
        <f>J87*$C$23</f>
        <v/>
      </c>
      <c r="L87" s="23">
        <f>K87*$C$23</f>
        <v/>
      </c>
      <c r="M87" s="23">
        <f>L87*$C$23</f>
        <v/>
      </c>
      <c r="N87" s="23">
        <f>M87*$C$23</f>
        <v/>
      </c>
      <c r="O87" s="23">
        <f>N87*$C$23</f>
        <v/>
      </c>
      <c r="P87" s="23">
        <f>O87*$C$23</f>
        <v/>
      </c>
      <c r="Q87" s="23">
        <f>P87*$C$23</f>
        <v/>
      </c>
      <c r="R87" s="23">
        <f>Q87*$C$23</f>
        <v/>
      </c>
      <c r="S87" s="23">
        <f>R87*$C$23</f>
        <v/>
      </c>
      <c r="T87" s="23">
        <f>S87*$C$23</f>
        <v/>
      </c>
      <c r="U87" s="23">
        <f>T87*$C$23</f>
        <v/>
      </c>
      <c r="V87" s="23">
        <f>U87*$C$23</f>
        <v/>
      </c>
      <c r="W87" s="23">
        <f>V87*$C$23</f>
        <v/>
      </c>
      <c r="X87" s="23">
        <f>W87*$C$23</f>
        <v/>
      </c>
      <c r="Y87" s="23">
        <f>X87*$C$23</f>
        <v/>
      </c>
      <c r="Z87" s="23">
        <f>Y87*$C$23</f>
        <v/>
      </c>
      <c r="AA87" s="23">
        <f>Z87*$C$23</f>
        <v/>
      </c>
      <c r="AB87" s="23">
        <f>AA87*$C$23</f>
        <v/>
      </c>
      <c r="AC87" s="23">
        <f>AB87*$C$23</f>
        <v/>
      </c>
      <c r="AD87" s="23">
        <f>AC87*$C$23</f>
        <v/>
      </c>
      <c r="AE87" s="23">
        <f>AD87*$C$23</f>
        <v/>
      </c>
      <c r="AF87" s="23">
        <f>AE87*$C$23</f>
        <v/>
      </c>
      <c r="AG87" s="23">
        <f>AF87*$C$23</f>
        <v/>
      </c>
      <c r="AH87" s="23">
        <f>AG87*$C$23</f>
        <v/>
      </c>
      <c r="AI87" s="23">
        <f>AH87*$C$23</f>
        <v/>
      </c>
      <c r="AJ87" s="23">
        <f>AI87*$C$23</f>
        <v/>
      </c>
      <c r="AK87" s="23">
        <f>AJ87*$C$23</f>
        <v/>
      </c>
      <c r="AL87" s="23">
        <f>AK87*$C$23</f>
        <v/>
      </c>
      <c r="AM87" s="23">
        <f>AL87*$C$23</f>
        <v/>
      </c>
      <c r="AN87" s="23">
        <f>AM87*$C$23</f>
        <v/>
      </c>
      <c r="AO87" s="23">
        <f>AN87*$C$23</f>
        <v/>
      </c>
      <c r="AP87" s="23">
        <f>AO87*$C$23</f>
        <v/>
      </c>
      <c r="AQ87" s="23">
        <f>AP87*$C$23</f>
        <v/>
      </c>
      <c r="AR87" s="23">
        <f>AQ87*$C$23</f>
        <v/>
      </c>
      <c r="AS87" s="23">
        <f>AR87*$C$23</f>
        <v/>
      </c>
      <c r="AT87" s="23">
        <f>AS87*$C$23</f>
        <v/>
      </c>
      <c r="AU87" s="23">
        <f>AT87*$C$23</f>
        <v/>
      </c>
    </row>
    <row r="88">
      <c r="A88" s="3" t="inlineStr">
        <is>
          <t>Singolo: mese di età dell'acquisto</t>
        </is>
      </c>
      <c r="C88">
        <f>INT($C$71*(C85-1)/$C$72+0.5)</f>
        <v/>
      </c>
      <c r="D88">
        <f>INT($C$71*(D85-1)/$C$72+0.5)</f>
        <v/>
      </c>
      <c r="E88">
        <f>INT($C$71*(E85-1)/$C$72+0.5)</f>
        <v/>
      </c>
      <c r="F88">
        <f>INT($C$71*(F85-1)/$C$72+0.5)</f>
        <v/>
      </c>
      <c r="G88">
        <f>INT($C$71*(G85-1)/$C$72+0.5)</f>
        <v/>
      </c>
      <c r="H88">
        <f>INT($C$71*(H85-1)/$C$72+0.5)</f>
        <v/>
      </c>
      <c r="I88">
        <f>INT($C$71*(I85-1)/$C$72+0.5)</f>
        <v/>
      </c>
      <c r="J88">
        <f>INT($C$71*(J85-1)/$C$72+0.5)</f>
        <v/>
      </c>
      <c r="K88">
        <f>INT($C$71*(K85-1)/$C$72+0.5)</f>
        <v/>
      </c>
      <c r="L88">
        <f>INT($C$71*(L85-1)/$C$72+0.5)</f>
        <v/>
      </c>
      <c r="M88">
        <f>INT($C$71*(M85-1)/$C$72+0.5)</f>
        <v/>
      </c>
      <c r="N88">
        <f>INT($C$71*(N85-1)/$C$72+0.5)</f>
        <v/>
      </c>
      <c r="O88">
        <f>INT($C$71*(O85-1)/$C$72+0.5)</f>
        <v/>
      </c>
      <c r="P88">
        <f>INT($C$71*(P85-1)/$C$72+0.5)</f>
        <v/>
      </c>
      <c r="Q88">
        <f>INT($C$71*(Q85-1)/$C$72+0.5)</f>
        <v/>
      </c>
      <c r="R88">
        <f>INT($C$71*(R85-1)/$C$72+0.5)</f>
        <v/>
      </c>
      <c r="S88">
        <f>INT($C$71*(S85-1)/$C$72+0.5)</f>
        <v/>
      </c>
      <c r="T88">
        <f>INT($C$71*(T85-1)/$C$72+0.5)</f>
        <v/>
      </c>
      <c r="U88">
        <f>INT($C$71*(U85-1)/$C$72+0.5)</f>
        <v/>
      </c>
      <c r="V88">
        <f>INT($C$71*(V85-1)/$C$72+0.5)</f>
        <v/>
      </c>
      <c r="W88">
        <f>INT($C$71*(W85-1)/$C$72+0.5)</f>
        <v/>
      </c>
      <c r="X88">
        <f>INT($C$71*(X85-1)/$C$72+0.5)</f>
        <v/>
      </c>
      <c r="Y88">
        <f>INT($C$71*(Y85-1)/$C$72+0.5)</f>
        <v/>
      </c>
      <c r="Z88">
        <f>INT($C$71*(Z85-1)/$C$72+0.5)</f>
        <v/>
      </c>
      <c r="AA88">
        <f>INT($C$71*(AA85-1)/$C$72+0.5)</f>
        <v/>
      </c>
      <c r="AB88">
        <f>INT($C$71*(AB85-1)/$C$72+0.5)</f>
        <v/>
      </c>
      <c r="AC88">
        <f>INT($C$71*(AC85-1)/$C$72+0.5)</f>
        <v/>
      </c>
      <c r="AD88">
        <f>INT($C$71*(AD85-1)/$C$72+0.5)</f>
        <v/>
      </c>
      <c r="AE88">
        <f>INT($C$71*(AE85-1)/$C$72+0.5)</f>
        <v/>
      </c>
      <c r="AF88">
        <f>INT($C$71*(AF85-1)/$C$72+0.5)</f>
        <v/>
      </c>
      <c r="AG88">
        <f>INT($C$71*(AG85-1)/$C$72+0.5)</f>
        <v/>
      </c>
      <c r="AH88">
        <f>INT($C$71*(AH85-1)/$C$72+0.5)</f>
        <v/>
      </c>
      <c r="AI88">
        <f>INT($C$71*(AI85-1)/$C$72+0.5)</f>
        <v/>
      </c>
      <c r="AJ88">
        <f>INT($C$71*(AJ85-1)/$C$72+0.5)</f>
        <v/>
      </c>
      <c r="AK88">
        <f>INT($C$71*(AK85-1)/$C$72+0.5)</f>
        <v/>
      </c>
      <c r="AL88">
        <f>INT($C$71*(AL85-1)/$C$72+0.5)</f>
        <v/>
      </c>
      <c r="AM88">
        <f>INT($C$71*(AM85-1)/$C$72+0.5)</f>
        <v/>
      </c>
      <c r="AN88">
        <f>INT($C$71*(AN85-1)/$C$72+0.5)</f>
        <v/>
      </c>
      <c r="AO88">
        <f>INT($C$71*(AO85-1)/$C$72+0.5)</f>
        <v/>
      </c>
      <c r="AP88">
        <f>INT($C$71*(AP85-1)/$C$72+0.5)</f>
        <v/>
      </c>
      <c r="AQ88">
        <f>INT($C$71*(AQ85-1)/$C$72+0.5)</f>
        <v/>
      </c>
      <c r="AR88">
        <f>INT($C$71*(AR85-1)/$C$72+0.5)</f>
        <v/>
      </c>
      <c r="AS88">
        <f>INT($C$71*(AS85-1)/$C$72+0.5)</f>
        <v/>
      </c>
      <c r="AT88">
        <f>INT($C$71*(AT85-1)/$C$72+0.5)</f>
        <v/>
      </c>
      <c r="AU88">
        <f>INT($C$71*(AU85-1)/$C$72+0.5)</f>
        <v/>
      </c>
    </row>
    <row r="89">
      <c r="A89" s="3" t="inlineStr">
        <is>
          <t>Singolo: probabilità dell'acquisto</t>
        </is>
      </c>
      <c r="C89" s="23" t="n">
        <v>1</v>
      </c>
      <c r="D89" s="23">
        <f>C89*$C$24</f>
        <v/>
      </c>
      <c r="E89" s="23">
        <f>D89*$C$24</f>
        <v/>
      </c>
      <c r="F89" s="23">
        <f>E89*$C$24</f>
        <v/>
      </c>
      <c r="G89" s="23">
        <f>F89*$C$24</f>
        <v/>
      </c>
      <c r="H89" s="23">
        <f>G89*$C$24</f>
        <v/>
      </c>
      <c r="I89" s="23">
        <f>H89*$C$24</f>
        <v/>
      </c>
      <c r="J89" s="23">
        <f>I89*$C$24</f>
        <v/>
      </c>
      <c r="K89" s="23">
        <f>J89*$C$24</f>
        <v/>
      </c>
      <c r="L89" s="23">
        <f>K89*$C$24</f>
        <v/>
      </c>
      <c r="M89" s="23">
        <f>L89*$C$24</f>
        <v/>
      </c>
      <c r="N89" s="23">
        <f>M89*$C$24</f>
        <v/>
      </c>
      <c r="O89" s="23">
        <f>N89*$C$24</f>
        <v/>
      </c>
      <c r="P89" s="23">
        <f>O89*$C$24</f>
        <v/>
      </c>
      <c r="Q89" s="23">
        <f>P89*$C$24</f>
        <v/>
      </c>
      <c r="R89" s="23">
        <f>Q89*$C$24</f>
        <v/>
      </c>
      <c r="S89" s="23">
        <f>R89*$C$24</f>
        <v/>
      </c>
      <c r="T89" s="23">
        <f>S89*$C$24</f>
        <v/>
      </c>
      <c r="U89" s="23">
        <f>T89*$C$24</f>
        <v/>
      </c>
      <c r="V89" s="23">
        <f>U89*$C$24</f>
        <v/>
      </c>
      <c r="W89" s="23">
        <f>V89*$C$24</f>
        <v/>
      </c>
      <c r="X89" s="23">
        <f>W89*$C$24</f>
        <v/>
      </c>
      <c r="Y89" s="23">
        <f>X89*$C$24</f>
        <v/>
      </c>
      <c r="Z89" s="23">
        <f>Y89*$C$24</f>
        <v/>
      </c>
      <c r="AA89" s="23">
        <f>Z89*$C$24</f>
        <v/>
      </c>
      <c r="AB89" s="23">
        <f>AA89*$C$24</f>
        <v/>
      </c>
      <c r="AC89" s="23">
        <f>AB89*$C$24</f>
        <v/>
      </c>
      <c r="AD89" s="23">
        <f>AC89*$C$24</f>
        <v/>
      </c>
      <c r="AE89" s="23">
        <f>AD89*$C$24</f>
        <v/>
      </c>
      <c r="AF89" s="23">
        <f>AE89*$C$24</f>
        <v/>
      </c>
      <c r="AG89" s="23">
        <f>AF89*$C$24</f>
        <v/>
      </c>
      <c r="AH89" s="23">
        <f>AG89*$C$24</f>
        <v/>
      </c>
      <c r="AI89" s="23">
        <f>AH89*$C$24</f>
        <v/>
      </c>
      <c r="AJ89" s="23">
        <f>AI89*$C$24</f>
        <v/>
      </c>
      <c r="AK89" s="23">
        <f>AJ89*$C$24</f>
        <v/>
      </c>
      <c r="AL89" s="23">
        <f>AK89*$C$24</f>
        <v/>
      </c>
      <c r="AM89" s="23">
        <f>AL89*$C$24</f>
        <v/>
      </c>
      <c r="AN89" s="23">
        <f>AM89*$C$24</f>
        <v/>
      </c>
      <c r="AO89" s="23">
        <f>AN89*$C$24</f>
        <v/>
      </c>
      <c r="AP89" s="23">
        <f>AO89*$C$24</f>
        <v/>
      </c>
      <c r="AQ89" s="23">
        <f>AP89*$C$24</f>
        <v/>
      </c>
      <c r="AR89" s="23">
        <f>AQ89*$C$24</f>
        <v/>
      </c>
      <c r="AS89" s="23">
        <f>AR89*$C$24</f>
        <v/>
      </c>
      <c r="AT89" s="23">
        <f>AS89*$C$24</f>
        <v/>
      </c>
      <c r="AU89" s="23">
        <f>AT89*$C$24</f>
        <v/>
      </c>
    </row>
    <row r="91">
      <c r="A91" s="10" t="inlineStr">
        <is>
          <t>Ordini e rimborsi per cliente iniziale, per mese di età (0 = mese dell'acquisto)</t>
        </is>
      </c>
    </row>
    <row r="92">
      <c r="A92" s="3" t="inlineStr">
        <is>
          <t>Età (mesi)</t>
        </is>
      </c>
      <c r="C92" t="n">
        <v>0</v>
      </c>
      <c r="D92" t="n">
        <v>1</v>
      </c>
      <c r="E92" t="n">
        <v>2</v>
      </c>
      <c r="F92" t="n">
        <v>3</v>
      </c>
      <c r="G92" t="n">
        <v>4</v>
      </c>
      <c r="H92" t="n">
        <v>5</v>
      </c>
      <c r="I92" t="n">
        <v>6</v>
      </c>
      <c r="J92" t="n">
        <v>7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13</v>
      </c>
      <c r="Q92" t="n">
        <v>14</v>
      </c>
      <c r="R92" t="n">
        <v>15</v>
      </c>
      <c r="S92" t="n">
        <v>16</v>
      </c>
      <c r="T92" t="n">
        <v>17</v>
      </c>
      <c r="U92" t="n">
        <v>18</v>
      </c>
      <c r="V92" t="n">
        <v>19</v>
      </c>
      <c r="W92" t="n">
        <v>20</v>
      </c>
      <c r="X92" t="n">
        <v>21</v>
      </c>
      <c r="Y92" t="n">
        <v>22</v>
      </c>
      <c r="Z92" t="n">
        <v>23</v>
      </c>
      <c r="AA92" t="n">
        <v>24</v>
      </c>
      <c r="AB92" t="n">
        <v>25</v>
      </c>
      <c r="AC92" t="n">
        <v>26</v>
      </c>
      <c r="AD92" t="n">
        <v>27</v>
      </c>
      <c r="AE92" t="n">
        <v>28</v>
      </c>
      <c r="AF92" t="n">
        <v>29</v>
      </c>
      <c r="AG92" t="n">
        <v>30</v>
      </c>
      <c r="AH92" t="n">
        <v>31</v>
      </c>
      <c r="AI92" t="n">
        <v>32</v>
      </c>
      <c r="AJ92" t="n">
        <v>33</v>
      </c>
      <c r="AK92" t="n">
        <v>34</v>
      </c>
      <c r="AL92" t="n">
        <v>35</v>
      </c>
    </row>
    <row r="93">
      <c r="A93" s="3" t="inlineStr">
        <is>
          <t>Percorso 6: ordini</t>
        </is>
      </c>
      <c r="C93" s="23">
        <f>IF(C92=0,1,IF(MOD(C92,6)=0,$C$12*(1-$C$13)*$C$14*$C$15^(C92/6-1),0))</f>
        <v/>
      </c>
      <c r="D93" s="23">
        <f>IF(D92=0,1,IF(MOD(D92,6)=0,$C$12*(1-$C$13)*$C$14*$C$15^(D92/6-1),0))</f>
        <v/>
      </c>
      <c r="E93" s="23">
        <f>IF(E92=0,1,IF(MOD(E92,6)=0,$C$12*(1-$C$13)*$C$14*$C$15^(E92/6-1),0))</f>
        <v/>
      </c>
      <c r="F93" s="23">
        <f>IF(F92=0,1,IF(MOD(F92,6)=0,$C$12*(1-$C$13)*$C$14*$C$15^(F92/6-1),0))</f>
        <v/>
      </c>
      <c r="G93" s="23">
        <f>IF(G92=0,1,IF(MOD(G92,6)=0,$C$12*(1-$C$13)*$C$14*$C$15^(G92/6-1),0))</f>
        <v/>
      </c>
      <c r="H93" s="23">
        <f>IF(H92=0,1,IF(MOD(H92,6)=0,$C$12*(1-$C$13)*$C$14*$C$15^(H92/6-1),0))</f>
        <v/>
      </c>
      <c r="I93" s="23">
        <f>IF(I92=0,1,IF(MOD(I92,6)=0,$C$12*(1-$C$13)*$C$14*$C$15^(I92/6-1),0))</f>
        <v/>
      </c>
      <c r="J93" s="23">
        <f>IF(J92=0,1,IF(MOD(J92,6)=0,$C$12*(1-$C$13)*$C$14*$C$15^(J92/6-1),0))</f>
        <v/>
      </c>
      <c r="K93" s="23">
        <f>IF(K92=0,1,IF(MOD(K92,6)=0,$C$12*(1-$C$13)*$C$14*$C$15^(K92/6-1),0))</f>
        <v/>
      </c>
      <c r="L93" s="23">
        <f>IF(L92=0,1,IF(MOD(L92,6)=0,$C$12*(1-$C$13)*$C$14*$C$15^(L92/6-1),0))</f>
        <v/>
      </c>
      <c r="M93" s="23">
        <f>IF(M92=0,1,IF(MOD(M92,6)=0,$C$12*(1-$C$13)*$C$14*$C$15^(M92/6-1),0))</f>
        <v/>
      </c>
      <c r="N93" s="23">
        <f>IF(N92=0,1,IF(MOD(N92,6)=0,$C$12*(1-$C$13)*$C$14*$C$15^(N92/6-1),0))</f>
        <v/>
      </c>
      <c r="O93" s="23">
        <f>IF(O92=0,1,IF(MOD(O92,6)=0,$C$12*(1-$C$13)*$C$14*$C$15^(O92/6-1),0))</f>
        <v/>
      </c>
      <c r="P93" s="23">
        <f>IF(P92=0,1,IF(MOD(P92,6)=0,$C$12*(1-$C$13)*$C$14*$C$15^(P92/6-1),0))</f>
        <v/>
      </c>
      <c r="Q93" s="23">
        <f>IF(Q92=0,1,IF(MOD(Q92,6)=0,$C$12*(1-$C$13)*$C$14*$C$15^(Q92/6-1),0))</f>
        <v/>
      </c>
      <c r="R93" s="23">
        <f>IF(R92=0,1,IF(MOD(R92,6)=0,$C$12*(1-$C$13)*$C$14*$C$15^(R92/6-1),0))</f>
        <v/>
      </c>
      <c r="S93" s="23">
        <f>IF(S92=0,1,IF(MOD(S92,6)=0,$C$12*(1-$C$13)*$C$14*$C$15^(S92/6-1),0))</f>
        <v/>
      </c>
      <c r="T93" s="23">
        <f>IF(T92=0,1,IF(MOD(T92,6)=0,$C$12*(1-$C$13)*$C$14*$C$15^(T92/6-1),0))</f>
        <v/>
      </c>
      <c r="U93" s="23">
        <f>IF(U92=0,1,IF(MOD(U92,6)=0,$C$12*(1-$C$13)*$C$14*$C$15^(U92/6-1),0))</f>
        <v/>
      </c>
      <c r="V93" s="23">
        <f>IF(V92=0,1,IF(MOD(V92,6)=0,$C$12*(1-$C$13)*$C$14*$C$15^(V92/6-1),0))</f>
        <v/>
      </c>
      <c r="W93" s="23">
        <f>IF(W92=0,1,IF(MOD(W92,6)=0,$C$12*(1-$C$13)*$C$14*$C$15^(W92/6-1),0))</f>
        <v/>
      </c>
      <c r="X93" s="23">
        <f>IF(X92=0,1,IF(MOD(X92,6)=0,$C$12*(1-$C$13)*$C$14*$C$15^(X92/6-1),0))</f>
        <v/>
      </c>
      <c r="Y93" s="23">
        <f>IF(Y92=0,1,IF(MOD(Y92,6)=0,$C$12*(1-$C$13)*$C$14*$C$15^(Y92/6-1),0))</f>
        <v/>
      </c>
      <c r="Z93" s="23">
        <f>IF(Z92=0,1,IF(MOD(Z92,6)=0,$C$12*(1-$C$13)*$C$14*$C$15^(Z92/6-1),0))</f>
        <v/>
      </c>
      <c r="AA93" s="23">
        <f>IF(AA92=0,1,IF(MOD(AA92,6)=0,$C$12*(1-$C$13)*$C$14*$C$15^(AA92/6-1),0))</f>
        <v/>
      </c>
      <c r="AB93" s="23">
        <f>IF(AB92=0,1,IF(MOD(AB92,6)=0,$C$12*(1-$C$13)*$C$14*$C$15^(AB92/6-1),0))</f>
        <v/>
      </c>
      <c r="AC93" s="23">
        <f>IF(AC92=0,1,IF(MOD(AC92,6)=0,$C$12*(1-$C$13)*$C$14*$C$15^(AC92/6-1),0))</f>
        <v/>
      </c>
      <c r="AD93" s="23">
        <f>IF(AD92=0,1,IF(MOD(AD92,6)=0,$C$12*(1-$C$13)*$C$14*$C$15^(AD92/6-1),0))</f>
        <v/>
      </c>
      <c r="AE93" s="23">
        <f>IF(AE92=0,1,IF(MOD(AE92,6)=0,$C$12*(1-$C$13)*$C$14*$C$15^(AE92/6-1),0))</f>
        <v/>
      </c>
      <c r="AF93" s="23">
        <f>IF(AF92=0,1,IF(MOD(AF92,6)=0,$C$12*(1-$C$13)*$C$14*$C$15^(AF92/6-1),0))</f>
        <v/>
      </c>
      <c r="AG93" s="23">
        <f>IF(AG92=0,1,IF(MOD(AG92,6)=0,$C$12*(1-$C$13)*$C$14*$C$15^(AG92/6-1),0))</f>
        <v/>
      </c>
      <c r="AH93" s="23">
        <f>IF(AH92=0,1,IF(MOD(AH92,6)=0,$C$12*(1-$C$13)*$C$14*$C$15^(AH92/6-1),0))</f>
        <v/>
      </c>
      <c r="AI93" s="23">
        <f>IF(AI92=0,1,IF(MOD(AI92,6)=0,$C$12*(1-$C$13)*$C$14*$C$15^(AI92/6-1),0))</f>
        <v/>
      </c>
      <c r="AJ93" s="23">
        <f>IF(AJ92=0,1,IF(MOD(AJ92,6)=0,$C$12*(1-$C$13)*$C$14*$C$15^(AJ92/6-1),0))</f>
        <v/>
      </c>
      <c r="AK93" s="23">
        <f>IF(AK92=0,1,IF(MOD(AK92,6)=0,$C$12*(1-$C$13)*$C$14*$C$15^(AK92/6-1),0))</f>
        <v/>
      </c>
      <c r="AL93" s="23">
        <f>IF(AL92=0,1,IF(MOD(AL92,6)=0,$C$12*(1-$C$13)*$C$14*$C$15^(AL92/6-1),0))</f>
        <v/>
      </c>
    </row>
    <row r="94">
      <c r="A94" s="3" t="inlineStr">
        <is>
          <t>Percorso 6: rimborsi di garanzia</t>
        </is>
      </c>
      <c r="C94" s="23">
        <f>IF(OR(C92=5,C92=6),$C$12*$C$13/2,0)</f>
        <v/>
      </c>
      <c r="D94" s="23">
        <f>IF(OR(D92=5,D92=6),$C$12*$C$13/2,0)</f>
        <v/>
      </c>
      <c r="E94" s="23">
        <f>IF(OR(E92=5,E92=6),$C$12*$C$13/2,0)</f>
        <v/>
      </c>
      <c r="F94" s="23">
        <f>IF(OR(F92=5,F92=6),$C$12*$C$13/2,0)</f>
        <v/>
      </c>
      <c r="G94" s="23">
        <f>IF(OR(G92=5,G92=6),$C$12*$C$13/2,0)</f>
        <v/>
      </c>
      <c r="H94" s="23">
        <f>IF(OR(H92=5,H92=6),$C$12*$C$13/2,0)</f>
        <v/>
      </c>
      <c r="I94" s="23">
        <f>IF(OR(I92=5,I92=6),$C$12*$C$13/2,0)</f>
        <v/>
      </c>
      <c r="J94" s="23">
        <f>IF(OR(J92=5,J92=6),$C$12*$C$13/2,0)</f>
        <v/>
      </c>
      <c r="K94" s="23">
        <f>IF(OR(K92=5,K92=6),$C$12*$C$13/2,0)</f>
        <v/>
      </c>
      <c r="L94" s="23">
        <f>IF(OR(L92=5,L92=6),$C$12*$C$13/2,0)</f>
        <v/>
      </c>
      <c r="M94" s="23">
        <f>IF(OR(M92=5,M92=6),$C$12*$C$13/2,0)</f>
        <v/>
      </c>
      <c r="N94" s="23">
        <f>IF(OR(N92=5,N92=6),$C$12*$C$13/2,0)</f>
        <v/>
      </c>
      <c r="O94" s="23">
        <f>IF(OR(O92=5,O92=6),$C$12*$C$13/2,0)</f>
        <v/>
      </c>
      <c r="P94" s="23">
        <f>IF(OR(P92=5,P92=6),$C$12*$C$13/2,0)</f>
        <v/>
      </c>
      <c r="Q94" s="23">
        <f>IF(OR(Q92=5,Q92=6),$C$12*$C$13/2,0)</f>
        <v/>
      </c>
      <c r="R94" s="23">
        <f>IF(OR(R92=5,R92=6),$C$12*$C$13/2,0)</f>
        <v/>
      </c>
      <c r="S94" s="23">
        <f>IF(OR(S92=5,S92=6),$C$12*$C$13/2,0)</f>
        <v/>
      </c>
      <c r="T94" s="23">
        <f>IF(OR(T92=5,T92=6),$C$12*$C$13/2,0)</f>
        <v/>
      </c>
      <c r="U94" s="23">
        <f>IF(OR(U92=5,U92=6),$C$12*$C$13/2,0)</f>
        <v/>
      </c>
      <c r="V94" s="23">
        <f>IF(OR(V92=5,V92=6),$C$12*$C$13/2,0)</f>
        <v/>
      </c>
      <c r="W94" s="23">
        <f>IF(OR(W92=5,W92=6),$C$12*$C$13/2,0)</f>
        <v/>
      </c>
      <c r="X94" s="23">
        <f>IF(OR(X92=5,X92=6),$C$12*$C$13/2,0)</f>
        <v/>
      </c>
      <c r="Y94" s="23">
        <f>IF(OR(Y92=5,Y92=6),$C$12*$C$13/2,0)</f>
        <v/>
      </c>
      <c r="Z94" s="23">
        <f>IF(OR(Z92=5,Z92=6),$C$12*$C$13/2,0)</f>
        <v/>
      </c>
      <c r="AA94" s="23">
        <f>IF(OR(AA92=5,AA92=6),$C$12*$C$13/2,0)</f>
        <v/>
      </c>
      <c r="AB94" s="23">
        <f>IF(OR(AB92=5,AB92=6),$C$12*$C$13/2,0)</f>
        <v/>
      </c>
      <c r="AC94" s="23">
        <f>IF(OR(AC92=5,AC92=6),$C$12*$C$13/2,0)</f>
        <v/>
      </c>
      <c r="AD94" s="23">
        <f>IF(OR(AD92=5,AD92=6),$C$12*$C$13/2,0)</f>
        <v/>
      </c>
      <c r="AE94" s="23">
        <f>IF(OR(AE92=5,AE92=6),$C$12*$C$13/2,0)</f>
        <v/>
      </c>
      <c r="AF94" s="23">
        <f>IF(OR(AF92=5,AF92=6),$C$12*$C$13/2,0)</f>
        <v/>
      </c>
      <c r="AG94" s="23">
        <f>IF(OR(AG92=5,AG92=6),$C$12*$C$13/2,0)</f>
        <v/>
      </c>
      <c r="AH94" s="23">
        <f>IF(OR(AH92=5,AH92=6),$C$12*$C$13/2,0)</f>
        <v/>
      </c>
      <c r="AI94" s="23">
        <f>IF(OR(AI92=5,AI92=6),$C$12*$C$13/2,0)</f>
        <v/>
      </c>
      <c r="AJ94" s="23">
        <f>IF(OR(AJ92=5,AJ92=6),$C$12*$C$13/2,0)</f>
        <v/>
      </c>
      <c r="AK94" s="23">
        <f>IF(OR(AK92=5,AK92=6),$C$12*$C$13/2,0)</f>
        <v/>
      </c>
      <c r="AL94" s="23">
        <f>IF(OR(AL92=5,AL92=6),$C$12*$C$13/2,0)</f>
        <v/>
      </c>
    </row>
    <row r="95">
      <c r="A95" s="3" t="inlineStr">
        <is>
          <t>Percorso 3: ordini</t>
        </is>
      </c>
      <c r="C95" s="23">
        <f>IF(C92=0,1,IF(MOD(C92,3)=0,$C$16*$C$17^(C92/3-1),0))</f>
        <v/>
      </c>
      <c r="D95" s="23">
        <f>IF(D92=0,1,IF(MOD(D92,3)=0,$C$16*$C$17^(D92/3-1),0))</f>
        <v/>
      </c>
      <c r="E95" s="23">
        <f>IF(E92=0,1,IF(MOD(E92,3)=0,$C$16*$C$17^(E92/3-1),0))</f>
        <v/>
      </c>
      <c r="F95" s="23">
        <f>IF(F92=0,1,IF(MOD(F92,3)=0,$C$16*$C$17^(F92/3-1),0))</f>
        <v/>
      </c>
      <c r="G95" s="23">
        <f>IF(G92=0,1,IF(MOD(G92,3)=0,$C$16*$C$17^(G92/3-1),0))</f>
        <v/>
      </c>
      <c r="H95" s="23">
        <f>IF(H92=0,1,IF(MOD(H92,3)=0,$C$16*$C$17^(H92/3-1),0))</f>
        <v/>
      </c>
      <c r="I95" s="23">
        <f>IF(I92=0,1,IF(MOD(I92,3)=0,$C$16*$C$17^(I92/3-1),0))</f>
        <v/>
      </c>
      <c r="J95" s="23">
        <f>IF(J92=0,1,IF(MOD(J92,3)=0,$C$16*$C$17^(J92/3-1),0))</f>
        <v/>
      </c>
      <c r="K95" s="23">
        <f>IF(K92=0,1,IF(MOD(K92,3)=0,$C$16*$C$17^(K92/3-1),0))</f>
        <v/>
      </c>
      <c r="L95" s="23">
        <f>IF(L92=0,1,IF(MOD(L92,3)=0,$C$16*$C$17^(L92/3-1),0))</f>
        <v/>
      </c>
      <c r="M95" s="23">
        <f>IF(M92=0,1,IF(MOD(M92,3)=0,$C$16*$C$17^(M92/3-1),0))</f>
        <v/>
      </c>
      <c r="N95" s="23">
        <f>IF(N92=0,1,IF(MOD(N92,3)=0,$C$16*$C$17^(N92/3-1),0))</f>
        <v/>
      </c>
      <c r="O95" s="23">
        <f>IF(O92=0,1,IF(MOD(O92,3)=0,$C$16*$C$17^(O92/3-1),0))</f>
        <v/>
      </c>
      <c r="P95" s="23">
        <f>IF(P92=0,1,IF(MOD(P92,3)=0,$C$16*$C$17^(P92/3-1),0))</f>
        <v/>
      </c>
      <c r="Q95" s="23">
        <f>IF(Q92=0,1,IF(MOD(Q92,3)=0,$C$16*$C$17^(Q92/3-1),0))</f>
        <v/>
      </c>
      <c r="R95" s="23">
        <f>IF(R92=0,1,IF(MOD(R92,3)=0,$C$16*$C$17^(R92/3-1),0))</f>
        <v/>
      </c>
      <c r="S95" s="23">
        <f>IF(S92=0,1,IF(MOD(S92,3)=0,$C$16*$C$17^(S92/3-1),0))</f>
        <v/>
      </c>
      <c r="T95" s="23">
        <f>IF(T92=0,1,IF(MOD(T92,3)=0,$C$16*$C$17^(T92/3-1),0))</f>
        <v/>
      </c>
      <c r="U95" s="23">
        <f>IF(U92=0,1,IF(MOD(U92,3)=0,$C$16*$C$17^(U92/3-1),0))</f>
        <v/>
      </c>
      <c r="V95" s="23">
        <f>IF(V92=0,1,IF(MOD(V92,3)=0,$C$16*$C$17^(V92/3-1),0))</f>
        <v/>
      </c>
      <c r="W95" s="23">
        <f>IF(W92=0,1,IF(MOD(W92,3)=0,$C$16*$C$17^(W92/3-1),0))</f>
        <v/>
      </c>
      <c r="X95" s="23">
        <f>IF(X92=0,1,IF(MOD(X92,3)=0,$C$16*$C$17^(X92/3-1),0))</f>
        <v/>
      </c>
      <c r="Y95" s="23">
        <f>IF(Y92=0,1,IF(MOD(Y92,3)=0,$C$16*$C$17^(Y92/3-1),0))</f>
        <v/>
      </c>
      <c r="Z95" s="23">
        <f>IF(Z92=0,1,IF(MOD(Z92,3)=0,$C$16*$C$17^(Z92/3-1),0))</f>
        <v/>
      </c>
      <c r="AA95" s="23">
        <f>IF(AA92=0,1,IF(MOD(AA92,3)=0,$C$16*$C$17^(AA92/3-1),0))</f>
        <v/>
      </c>
      <c r="AB95" s="23">
        <f>IF(AB92=0,1,IF(MOD(AB92,3)=0,$C$16*$C$17^(AB92/3-1),0))</f>
        <v/>
      </c>
      <c r="AC95" s="23">
        <f>IF(AC92=0,1,IF(MOD(AC92,3)=0,$C$16*$C$17^(AC92/3-1),0))</f>
        <v/>
      </c>
      <c r="AD95" s="23">
        <f>IF(AD92=0,1,IF(MOD(AD92,3)=0,$C$16*$C$17^(AD92/3-1),0))</f>
        <v/>
      </c>
      <c r="AE95" s="23">
        <f>IF(AE92=0,1,IF(MOD(AE92,3)=0,$C$16*$C$17^(AE92/3-1),0))</f>
        <v/>
      </c>
      <c r="AF95" s="23">
        <f>IF(AF92=0,1,IF(MOD(AF92,3)=0,$C$16*$C$17^(AF92/3-1),0))</f>
        <v/>
      </c>
      <c r="AG95" s="23">
        <f>IF(AG92=0,1,IF(MOD(AG92,3)=0,$C$16*$C$17^(AG92/3-1),0))</f>
        <v/>
      </c>
      <c r="AH95" s="23">
        <f>IF(AH92=0,1,IF(MOD(AH92,3)=0,$C$16*$C$17^(AH92/3-1),0))</f>
        <v/>
      </c>
      <c r="AI95" s="23">
        <f>IF(AI92=0,1,IF(MOD(AI92,3)=0,$C$16*$C$17^(AI92/3-1),0))</f>
        <v/>
      </c>
      <c r="AJ95" s="23">
        <f>IF(AJ92=0,1,IF(MOD(AJ92,3)=0,$C$16*$C$17^(AJ92/3-1),0))</f>
        <v/>
      </c>
      <c r="AK95" s="23">
        <f>IF(AK92=0,1,IF(MOD(AK92,3)=0,$C$16*$C$17^(AK92/3-1),0))</f>
        <v/>
      </c>
      <c r="AL95" s="23">
        <f>IF(AL92=0,1,IF(MOD(AL92,3)=0,$C$16*$C$17^(AL92/3-1),0))</f>
        <v/>
      </c>
    </row>
    <row r="96">
      <c r="A96" s="3" t="inlineStr">
        <is>
          <t>Abbonamento: ordini</t>
        </is>
      </c>
      <c r="C96" s="23">
        <f>SUMIF($C$86:$AU$86,C92,$C$87:$AU$87)</f>
        <v/>
      </c>
      <c r="D96" s="23">
        <f>SUMIF($C$86:$AU$86,D92,$C$87:$AU$87)</f>
        <v/>
      </c>
      <c r="E96" s="23">
        <f>SUMIF($C$86:$AU$86,E92,$C$87:$AU$87)</f>
        <v/>
      </c>
      <c r="F96" s="23">
        <f>SUMIF($C$86:$AU$86,F92,$C$87:$AU$87)</f>
        <v/>
      </c>
      <c r="G96" s="23">
        <f>SUMIF($C$86:$AU$86,G92,$C$87:$AU$87)</f>
        <v/>
      </c>
      <c r="H96" s="23">
        <f>SUMIF($C$86:$AU$86,H92,$C$87:$AU$87)</f>
        <v/>
      </c>
      <c r="I96" s="23">
        <f>SUMIF($C$86:$AU$86,I92,$C$87:$AU$87)</f>
        <v/>
      </c>
      <c r="J96" s="23">
        <f>SUMIF($C$86:$AU$86,J92,$C$87:$AU$87)</f>
        <v/>
      </c>
      <c r="K96" s="23">
        <f>SUMIF($C$86:$AU$86,K92,$C$87:$AU$87)</f>
        <v/>
      </c>
      <c r="L96" s="23">
        <f>SUMIF($C$86:$AU$86,L92,$C$87:$AU$87)</f>
        <v/>
      </c>
      <c r="M96" s="23">
        <f>SUMIF($C$86:$AU$86,M92,$C$87:$AU$87)</f>
        <v/>
      </c>
      <c r="N96" s="23">
        <f>SUMIF($C$86:$AU$86,N92,$C$87:$AU$87)</f>
        <v/>
      </c>
      <c r="O96" s="23">
        <f>SUMIF($C$86:$AU$86,O92,$C$87:$AU$87)</f>
        <v/>
      </c>
      <c r="P96" s="23">
        <f>SUMIF($C$86:$AU$86,P92,$C$87:$AU$87)</f>
        <v/>
      </c>
      <c r="Q96" s="23">
        <f>SUMIF($C$86:$AU$86,Q92,$C$87:$AU$87)</f>
        <v/>
      </c>
      <c r="R96" s="23">
        <f>SUMIF($C$86:$AU$86,R92,$C$87:$AU$87)</f>
        <v/>
      </c>
      <c r="S96" s="23">
        <f>SUMIF($C$86:$AU$86,S92,$C$87:$AU$87)</f>
        <v/>
      </c>
      <c r="T96" s="23">
        <f>SUMIF($C$86:$AU$86,T92,$C$87:$AU$87)</f>
        <v/>
      </c>
      <c r="U96" s="23">
        <f>SUMIF($C$86:$AU$86,U92,$C$87:$AU$87)</f>
        <v/>
      </c>
      <c r="V96" s="23">
        <f>SUMIF($C$86:$AU$86,V92,$C$87:$AU$87)</f>
        <v/>
      </c>
      <c r="W96" s="23">
        <f>SUMIF($C$86:$AU$86,W92,$C$87:$AU$87)</f>
        <v/>
      </c>
      <c r="X96" s="23">
        <f>SUMIF($C$86:$AU$86,X92,$C$87:$AU$87)</f>
        <v/>
      </c>
      <c r="Y96" s="23">
        <f>SUMIF($C$86:$AU$86,Y92,$C$87:$AU$87)</f>
        <v/>
      </c>
      <c r="Z96" s="23">
        <f>SUMIF($C$86:$AU$86,Z92,$C$87:$AU$87)</f>
        <v/>
      </c>
      <c r="AA96" s="23">
        <f>SUMIF($C$86:$AU$86,AA92,$C$87:$AU$87)</f>
        <v/>
      </c>
      <c r="AB96" s="23">
        <f>SUMIF($C$86:$AU$86,AB92,$C$87:$AU$87)</f>
        <v/>
      </c>
      <c r="AC96" s="23">
        <f>SUMIF($C$86:$AU$86,AC92,$C$87:$AU$87)</f>
        <v/>
      </c>
      <c r="AD96" s="23">
        <f>SUMIF($C$86:$AU$86,AD92,$C$87:$AU$87)</f>
        <v/>
      </c>
      <c r="AE96" s="23">
        <f>SUMIF($C$86:$AU$86,AE92,$C$87:$AU$87)</f>
        <v/>
      </c>
      <c r="AF96" s="23">
        <f>SUMIF($C$86:$AU$86,AF92,$C$87:$AU$87)</f>
        <v/>
      </c>
      <c r="AG96" s="23">
        <f>SUMIF($C$86:$AU$86,AG92,$C$87:$AU$87)</f>
        <v/>
      </c>
      <c r="AH96" s="23">
        <f>SUMIF($C$86:$AU$86,AH92,$C$87:$AU$87)</f>
        <v/>
      </c>
      <c r="AI96" s="23">
        <f>SUMIF($C$86:$AU$86,AI92,$C$87:$AU$87)</f>
        <v/>
      </c>
      <c r="AJ96" s="23">
        <f>SUMIF($C$86:$AU$86,AJ92,$C$87:$AU$87)</f>
        <v/>
      </c>
      <c r="AK96" s="23">
        <f>SUMIF($C$86:$AU$86,AK92,$C$87:$AU$87)</f>
        <v/>
      </c>
      <c r="AL96" s="23">
        <f>SUMIF($C$86:$AU$86,AL92,$C$87:$AU$87)</f>
        <v/>
      </c>
    </row>
    <row r="97">
      <c r="A97" s="3" t="inlineStr">
        <is>
          <t>Singolo: ordini</t>
        </is>
      </c>
      <c r="C97" s="23">
        <f>SUMIF($C$88:$AU$88,C92,$C$89:$AU$89)</f>
        <v/>
      </c>
      <c r="D97" s="23">
        <f>SUMIF($C$88:$AU$88,D92,$C$89:$AU$89)</f>
        <v/>
      </c>
      <c r="E97" s="23">
        <f>SUMIF($C$88:$AU$88,E92,$C$89:$AU$89)</f>
        <v/>
      </c>
      <c r="F97" s="23">
        <f>SUMIF($C$88:$AU$88,F92,$C$89:$AU$89)</f>
        <v/>
      </c>
      <c r="G97" s="23">
        <f>SUMIF($C$88:$AU$88,G92,$C$89:$AU$89)</f>
        <v/>
      </c>
      <c r="H97" s="23">
        <f>SUMIF($C$88:$AU$88,H92,$C$89:$AU$89)</f>
        <v/>
      </c>
      <c r="I97" s="23">
        <f>SUMIF($C$88:$AU$88,I92,$C$89:$AU$89)</f>
        <v/>
      </c>
      <c r="J97" s="23">
        <f>SUMIF($C$88:$AU$88,J92,$C$89:$AU$89)</f>
        <v/>
      </c>
      <c r="K97" s="23">
        <f>SUMIF($C$88:$AU$88,K92,$C$89:$AU$89)</f>
        <v/>
      </c>
      <c r="L97" s="23">
        <f>SUMIF($C$88:$AU$88,L92,$C$89:$AU$89)</f>
        <v/>
      </c>
      <c r="M97" s="23">
        <f>SUMIF($C$88:$AU$88,M92,$C$89:$AU$89)</f>
        <v/>
      </c>
      <c r="N97" s="23">
        <f>SUMIF($C$88:$AU$88,N92,$C$89:$AU$89)</f>
        <v/>
      </c>
      <c r="O97" s="23">
        <f>SUMIF($C$88:$AU$88,O92,$C$89:$AU$89)</f>
        <v/>
      </c>
      <c r="P97" s="23">
        <f>SUMIF($C$88:$AU$88,P92,$C$89:$AU$89)</f>
        <v/>
      </c>
      <c r="Q97" s="23">
        <f>SUMIF($C$88:$AU$88,Q92,$C$89:$AU$89)</f>
        <v/>
      </c>
      <c r="R97" s="23">
        <f>SUMIF($C$88:$AU$88,R92,$C$89:$AU$89)</f>
        <v/>
      </c>
      <c r="S97" s="23">
        <f>SUMIF($C$88:$AU$88,S92,$C$89:$AU$89)</f>
        <v/>
      </c>
      <c r="T97" s="23">
        <f>SUMIF($C$88:$AU$88,T92,$C$89:$AU$89)</f>
        <v/>
      </c>
      <c r="U97" s="23">
        <f>SUMIF($C$88:$AU$88,U92,$C$89:$AU$89)</f>
        <v/>
      </c>
      <c r="V97" s="23">
        <f>SUMIF($C$88:$AU$88,V92,$C$89:$AU$89)</f>
        <v/>
      </c>
      <c r="W97" s="23">
        <f>SUMIF($C$88:$AU$88,W92,$C$89:$AU$89)</f>
        <v/>
      </c>
      <c r="X97" s="23">
        <f>SUMIF($C$88:$AU$88,X92,$C$89:$AU$89)</f>
        <v/>
      </c>
      <c r="Y97" s="23">
        <f>SUMIF($C$88:$AU$88,Y92,$C$89:$AU$89)</f>
        <v/>
      </c>
      <c r="Z97" s="23">
        <f>SUMIF($C$88:$AU$88,Z92,$C$89:$AU$89)</f>
        <v/>
      </c>
      <c r="AA97" s="23">
        <f>SUMIF($C$88:$AU$88,AA92,$C$89:$AU$89)</f>
        <v/>
      </c>
      <c r="AB97" s="23">
        <f>SUMIF($C$88:$AU$88,AB92,$C$89:$AU$89)</f>
        <v/>
      </c>
      <c r="AC97" s="23">
        <f>SUMIF($C$88:$AU$88,AC92,$C$89:$AU$89)</f>
        <v/>
      </c>
      <c r="AD97" s="23">
        <f>SUMIF($C$88:$AU$88,AD92,$C$89:$AU$89)</f>
        <v/>
      </c>
      <c r="AE97" s="23">
        <f>SUMIF($C$88:$AU$88,AE92,$C$89:$AU$89)</f>
        <v/>
      </c>
      <c r="AF97" s="23">
        <f>SUMIF($C$88:$AU$88,AF92,$C$89:$AU$89)</f>
        <v/>
      </c>
      <c r="AG97" s="23">
        <f>SUMIF($C$88:$AU$88,AG92,$C$89:$AU$89)</f>
        <v/>
      </c>
      <c r="AH97" s="23">
        <f>SUMIF($C$88:$AU$88,AH92,$C$89:$AU$89)</f>
        <v/>
      </c>
      <c r="AI97" s="23">
        <f>SUMIF($C$88:$AU$88,AI92,$C$89:$AU$89)</f>
        <v/>
      </c>
      <c r="AJ97" s="23">
        <f>SUMIF($C$88:$AU$88,AJ92,$C$89:$AU$89)</f>
        <v/>
      </c>
      <c r="AK97" s="23">
        <f>SUMIF($C$88:$AU$88,AK92,$C$89:$AU$89)</f>
        <v/>
      </c>
      <c r="AL97" s="23">
        <f>SUMIF($C$88:$AU$88,AL92,$C$89:$AU$89)</f>
        <v/>
      </c>
    </row>
    <row r="98">
      <c r="A98" s="3" t="inlineStr">
        <is>
          <t>Percorso 6: contribuzione cumulata</t>
        </is>
      </c>
      <c r="B98" s="4" t="inlineStr">
        <is>
          <t>€</t>
        </is>
      </c>
      <c r="C98" s="13">
        <f>$H$82+(C93-1)*$C$82-C94*$H$77</f>
        <v/>
      </c>
      <c r="D98" s="13">
        <f>C98+D93*$C$82-D94*$H$77</f>
        <v/>
      </c>
      <c r="E98" s="13">
        <f>D98+E93*$C$82-E94*$H$77</f>
        <v/>
      </c>
      <c r="F98" s="13">
        <f>E98+F93*$C$82-F94*$H$77</f>
        <v/>
      </c>
      <c r="G98" s="13">
        <f>F98+G93*$C$82-G94*$H$77</f>
        <v/>
      </c>
      <c r="H98" s="13">
        <f>G98+H93*$C$82-H94*$H$77</f>
        <v/>
      </c>
      <c r="I98" s="13">
        <f>H98+I93*$C$82-I94*$H$77</f>
        <v/>
      </c>
      <c r="J98" s="13">
        <f>I98+J93*$C$82-J94*$H$77</f>
        <v/>
      </c>
      <c r="K98" s="13">
        <f>J98+K93*$C$82-K94*$H$77</f>
        <v/>
      </c>
      <c r="L98" s="13">
        <f>K98+L93*$C$82-L94*$H$77</f>
        <v/>
      </c>
      <c r="M98" s="13">
        <f>L98+M93*$C$82-M94*$H$77</f>
        <v/>
      </c>
      <c r="N98" s="13">
        <f>M98+N93*$C$82-N94*$H$77</f>
        <v/>
      </c>
      <c r="O98" s="13">
        <f>N98+O93*$C$82-O94*$H$77</f>
        <v/>
      </c>
      <c r="P98" s="13">
        <f>O98+P93*$C$82-P94*$H$77</f>
        <v/>
      </c>
      <c r="Q98" s="13">
        <f>P98+Q93*$C$82-Q94*$H$77</f>
        <v/>
      </c>
      <c r="R98" s="13">
        <f>Q98+R93*$C$82-R94*$H$77</f>
        <v/>
      </c>
      <c r="S98" s="13">
        <f>R98+S93*$C$82-S94*$H$77</f>
        <v/>
      </c>
      <c r="T98" s="13">
        <f>S98+T93*$C$82-T94*$H$77</f>
        <v/>
      </c>
      <c r="U98" s="13">
        <f>T98+U93*$C$82-U94*$H$77</f>
        <v/>
      </c>
      <c r="V98" s="13">
        <f>U98+V93*$C$82-V94*$H$77</f>
        <v/>
      </c>
      <c r="W98" s="13">
        <f>V98+W93*$C$82-W94*$H$77</f>
        <v/>
      </c>
      <c r="X98" s="13">
        <f>W98+X93*$C$82-X94*$H$77</f>
        <v/>
      </c>
      <c r="Y98" s="13">
        <f>X98+Y93*$C$82-Y94*$H$77</f>
        <v/>
      </c>
      <c r="Z98" s="13">
        <f>Y98+Z93*$C$82-Z94*$H$77</f>
        <v/>
      </c>
      <c r="AA98" s="13">
        <f>Z98+AA93*$C$82-AA94*$H$77</f>
        <v/>
      </c>
      <c r="AB98" s="13">
        <f>AA98+AB93*$C$82-AB94*$H$77</f>
        <v/>
      </c>
      <c r="AC98" s="13">
        <f>AB98+AC93*$C$82-AC94*$H$77</f>
        <v/>
      </c>
      <c r="AD98" s="13">
        <f>AC98+AD93*$C$82-AD94*$H$77</f>
        <v/>
      </c>
      <c r="AE98" s="13">
        <f>AD98+AE93*$C$82-AE94*$H$77</f>
        <v/>
      </c>
      <c r="AF98" s="13">
        <f>AE98+AF93*$C$82-AF94*$H$77</f>
        <v/>
      </c>
      <c r="AG98" s="13">
        <f>AF98+AG93*$C$82-AG94*$H$77</f>
        <v/>
      </c>
      <c r="AH98" s="13">
        <f>AG98+AH93*$C$82-AH94*$H$77</f>
        <v/>
      </c>
      <c r="AI98" s="13">
        <f>AH98+AI93*$C$82-AI94*$H$77</f>
        <v/>
      </c>
      <c r="AJ98" s="13">
        <f>AI98+AJ93*$C$82-AJ94*$H$77</f>
        <v/>
      </c>
      <c r="AK98" s="13">
        <f>AJ98+AK93*$C$82-AK94*$H$77</f>
        <v/>
      </c>
      <c r="AL98" s="13">
        <f>AK98+AL93*$C$82-AL94*$H$77</f>
        <v/>
      </c>
    </row>
    <row r="99">
      <c r="A99" s="3" t="inlineStr">
        <is>
          <t>Percorso 3: contribuzione cumulata</t>
        </is>
      </c>
      <c r="B99" s="4" t="inlineStr">
        <is>
          <t>€</t>
        </is>
      </c>
      <c r="C99" s="13">
        <f>$I$82+(C95-1)*$D$82</f>
        <v/>
      </c>
      <c r="D99" s="13">
        <f>C99+D95*$D$82</f>
        <v/>
      </c>
      <c r="E99" s="13">
        <f>D99+E95*$D$82</f>
        <v/>
      </c>
      <c r="F99" s="13">
        <f>E99+F95*$D$82</f>
        <v/>
      </c>
      <c r="G99" s="13">
        <f>F99+G95*$D$82</f>
        <v/>
      </c>
      <c r="H99" s="13">
        <f>G99+H95*$D$82</f>
        <v/>
      </c>
      <c r="I99" s="13">
        <f>H99+I95*$D$82</f>
        <v/>
      </c>
      <c r="J99" s="13">
        <f>I99+J95*$D$82</f>
        <v/>
      </c>
      <c r="K99" s="13">
        <f>J99+K95*$D$82</f>
        <v/>
      </c>
      <c r="L99" s="13">
        <f>K99+L95*$D$82</f>
        <v/>
      </c>
      <c r="M99" s="13">
        <f>L99+M95*$D$82</f>
        <v/>
      </c>
      <c r="N99" s="13">
        <f>M99+N95*$D$82</f>
        <v/>
      </c>
      <c r="O99" s="13">
        <f>N99+O95*$D$82</f>
        <v/>
      </c>
      <c r="P99" s="13">
        <f>O99+P95*$D$82</f>
        <v/>
      </c>
      <c r="Q99" s="13">
        <f>P99+Q95*$D$82</f>
        <v/>
      </c>
      <c r="R99" s="13">
        <f>Q99+R95*$D$82</f>
        <v/>
      </c>
      <c r="S99" s="13">
        <f>R99+S95*$D$82</f>
        <v/>
      </c>
      <c r="T99" s="13">
        <f>S99+T95*$D$82</f>
        <v/>
      </c>
      <c r="U99" s="13">
        <f>T99+U95*$D$82</f>
        <v/>
      </c>
      <c r="V99" s="13">
        <f>U99+V95*$D$82</f>
        <v/>
      </c>
      <c r="W99" s="13">
        <f>V99+W95*$D$82</f>
        <v/>
      </c>
      <c r="X99" s="13">
        <f>W99+X95*$D$82</f>
        <v/>
      </c>
      <c r="Y99" s="13">
        <f>X99+Y95*$D$82</f>
        <v/>
      </c>
      <c r="Z99" s="13">
        <f>Y99+Z95*$D$82</f>
        <v/>
      </c>
      <c r="AA99" s="13">
        <f>Z99+AA95*$D$82</f>
        <v/>
      </c>
      <c r="AB99" s="13">
        <f>AA99+AB95*$D$82</f>
        <v/>
      </c>
      <c r="AC99" s="13">
        <f>AB99+AC95*$D$82</f>
        <v/>
      </c>
      <c r="AD99" s="13">
        <f>AC99+AD95*$D$82</f>
        <v/>
      </c>
      <c r="AE99" s="13">
        <f>AD99+AE95*$D$82</f>
        <v/>
      </c>
      <c r="AF99" s="13">
        <f>AE99+AF95*$D$82</f>
        <v/>
      </c>
      <c r="AG99" s="13">
        <f>AF99+AG95*$D$82</f>
        <v/>
      </c>
      <c r="AH99" s="13">
        <f>AG99+AH95*$D$82</f>
        <v/>
      </c>
      <c r="AI99" s="13">
        <f>AH99+AI95*$D$82</f>
        <v/>
      </c>
      <c r="AJ99" s="13">
        <f>AI99+AJ95*$D$82</f>
        <v/>
      </c>
      <c r="AK99" s="13">
        <f>AJ99+AK95*$D$82</f>
        <v/>
      </c>
      <c r="AL99" s="13">
        <f>AK99+AL95*$D$82</f>
        <v/>
      </c>
    </row>
    <row r="100">
      <c r="A100" s="3" t="inlineStr">
        <is>
          <t>Abbonamento: contribuzione cumulata</t>
        </is>
      </c>
      <c r="B100" s="4" t="inlineStr">
        <is>
          <t>€</t>
        </is>
      </c>
      <c r="C100" s="13">
        <f>$J$82+(C96-1)*$E$82</f>
        <v/>
      </c>
      <c r="D100" s="13">
        <f>C100+D96*$E$82</f>
        <v/>
      </c>
      <c r="E100" s="13">
        <f>D100+E96*$E$82</f>
        <v/>
      </c>
      <c r="F100" s="13">
        <f>E100+F96*$E$82</f>
        <v/>
      </c>
      <c r="G100" s="13">
        <f>F100+G96*$E$82</f>
        <v/>
      </c>
      <c r="H100" s="13">
        <f>G100+H96*$E$82</f>
        <v/>
      </c>
      <c r="I100" s="13">
        <f>H100+I96*$E$82</f>
        <v/>
      </c>
      <c r="J100" s="13">
        <f>I100+J96*$E$82</f>
        <v/>
      </c>
      <c r="K100" s="13">
        <f>J100+K96*$E$82</f>
        <v/>
      </c>
      <c r="L100" s="13">
        <f>K100+L96*$E$82</f>
        <v/>
      </c>
      <c r="M100" s="13">
        <f>L100+M96*$E$82</f>
        <v/>
      </c>
      <c r="N100" s="13">
        <f>M100+N96*$E$82</f>
        <v/>
      </c>
      <c r="O100" s="13">
        <f>N100+O96*$E$82</f>
        <v/>
      </c>
      <c r="P100" s="13">
        <f>O100+P96*$E$82</f>
        <v/>
      </c>
      <c r="Q100" s="13">
        <f>P100+Q96*$E$82</f>
        <v/>
      </c>
      <c r="R100" s="13">
        <f>Q100+R96*$E$82</f>
        <v/>
      </c>
      <c r="S100" s="13">
        <f>R100+S96*$E$82</f>
        <v/>
      </c>
      <c r="T100" s="13">
        <f>S100+T96*$E$82</f>
        <v/>
      </c>
      <c r="U100" s="13">
        <f>T100+U96*$E$82</f>
        <v/>
      </c>
      <c r="V100" s="13">
        <f>U100+V96*$E$82</f>
        <v/>
      </c>
      <c r="W100" s="13">
        <f>V100+W96*$E$82</f>
        <v/>
      </c>
      <c r="X100" s="13">
        <f>W100+X96*$E$82</f>
        <v/>
      </c>
      <c r="Y100" s="13">
        <f>X100+Y96*$E$82</f>
        <v/>
      </c>
      <c r="Z100" s="13">
        <f>Y100+Z96*$E$82</f>
        <v/>
      </c>
      <c r="AA100" s="13">
        <f>Z100+AA96*$E$82</f>
        <v/>
      </c>
      <c r="AB100" s="13">
        <f>AA100+AB96*$E$82</f>
        <v/>
      </c>
      <c r="AC100" s="13">
        <f>AB100+AC96*$E$82</f>
        <v/>
      </c>
      <c r="AD100" s="13">
        <f>AC100+AD96*$E$82</f>
        <v/>
      </c>
      <c r="AE100" s="13">
        <f>AD100+AE96*$E$82</f>
        <v/>
      </c>
      <c r="AF100" s="13">
        <f>AE100+AF96*$E$82</f>
        <v/>
      </c>
      <c r="AG100" s="13">
        <f>AF100+AG96*$E$82</f>
        <v/>
      </c>
      <c r="AH100" s="13">
        <f>AG100+AH96*$E$82</f>
        <v/>
      </c>
      <c r="AI100" s="13">
        <f>AH100+AI96*$E$82</f>
        <v/>
      </c>
      <c r="AJ100" s="13">
        <f>AI100+AJ96*$E$82</f>
        <v/>
      </c>
      <c r="AK100" s="13">
        <f>AJ100+AK96*$E$82</f>
        <v/>
      </c>
      <c r="AL100" s="13">
        <f>AK100+AL96*$E$82</f>
        <v/>
      </c>
    </row>
    <row r="101">
      <c r="A101" s="3" t="inlineStr">
        <is>
          <t>Singolo: contribuzione cumulata</t>
        </is>
      </c>
      <c r="B101" s="4" t="inlineStr">
        <is>
          <t>€</t>
        </is>
      </c>
      <c r="C101" s="13">
        <f>$K$82+(C97-1)*$F$82</f>
        <v/>
      </c>
      <c r="D101" s="13">
        <f>C101+D97*$F$82</f>
        <v/>
      </c>
      <c r="E101" s="13">
        <f>D101+E97*$F$82</f>
        <v/>
      </c>
      <c r="F101" s="13">
        <f>E101+F97*$F$82</f>
        <v/>
      </c>
      <c r="G101" s="13">
        <f>F101+G97*$F$82</f>
        <v/>
      </c>
      <c r="H101" s="13">
        <f>G101+H97*$F$82</f>
        <v/>
      </c>
      <c r="I101" s="13">
        <f>H101+I97*$F$82</f>
        <v/>
      </c>
      <c r="J101" s="13">
        <f>I101+J97*$F$82</f>
        <v/>
      </c>
      <c r="K101" s="13">
        <f>J101+K97*$F$82</f>
        <v/>
      </c>
      <c r="L101" s="13">
        <f>K101+L97*$F$82</f>
        <v/>
      </c>
      <c r="M101" s="13">
        <f>L101+M97*$F$82</f>
        <v/>
      </c>
      <c r="N101" s="13">
        <f>M101+N97*$F$82</f>
        <v/>
      </c>
      <c r="O101" s="13">
        <f>N101+O97*$F$82</f>
        <v/>
      </c>
      <c r="P101" s="13">
        <f>O101+P97*$F$82</f>
        <v/>
      </c>
      <c r="Q101" s="13">
        <f>P101+Q97*$F$82</f>
        <v/>
      </c>
      <c r="R101" s="13">
        <f>Q101+R97*$F$82</f>
        <v/>
      </c>
      <c r="S101" s="13">
        <f>R101+S97*$F$82</f>
        <v/>
      </c>
      <c r="T101" s="13">
        <f>S101+T97*$F$82</f>
        <v/>
      </c>
      <c r="U101" s="13">
        <f>T101+U97*$F$82</f>
        <v/>
      </c>
      <c r="V101" s="13">
        <f>U101+V97*$F$82</f>
        <v/>
      </c>
      <c r="W101" s="13">
        <f>V101+W97*$F$82</f>
        <v/>
      </c>
      <c r="X101" s="13">
        <f>W101+X97*$F$82</f>
        <v/>
      </c>
      <c r="Y101" s="13">
        <f>X101+Y97*$F$82</f>
        <v/>
      </c>
      <c r="Z101" s="13">
        <f>Y101+Z97*$F$82</f>
        <v/>
      </c>
      <c r="AA101" s="13">
        <f>Z101+AA97*$F$82</f>
        <v/>
      </c>
      <c r="AB101" s="13">
        <f>AA101+AB97*$F$82</f>
        <v/>
      </c>
      <c r="AC101" s="13">
        <f>AB101+AC97*$F$82</f>
        <v/>
      </c>
      <c r="AD101" s="13">
        <f>AC101+AD97*$F$82</f>
        <v/>
      </c>
      <c r="AE101" s="13">
        <f>AD101+AE97*$F$82</f>
        <v/>
      </c>
      <c r="AF101" s="13">
        <f>AE101+AF97*$F$82</f>
        <v/>
      </c>
      <c r="AG101" s="13">
        <f>AF101+AG97*$F$82</f>
        <v/>
      </c>
      <c r="AH101" s="13">
        <f>AG101+AH97*$F$82</f>
        <v/>
      </c>
      <c r="AI101" s="13">
        <f>AH101+AI97*$F$82</f>
        <v/>
      </c>
      <c r="AJ101" s="13">
        <f>AI101+AJ97*$F$82</f>
        <v/>
      </c>
      <c r="AK101" s="13">
        <f>AJ101+AK97*$F$82</f>
        <v/>
      </c>
      <c r="AL101" s="13">
        <f>AK101+AL97*$F$82</f>
        <v/>
      </c>
    </row>
    <row r="102">
      <c r="A102" s="3" t="inlineStr">
        <is>
          <t>Cliente medio (mix): contribuzione cumulata</t>
        </is>
      </c>
      <c r="B102" s="4" t="inlineStr">
        <is>
          <t>€</t>
        </is>
      </c>
      <c r="C102" s="13">
        <f>$C$8*C98+$C$9*C99+$C$10*C100+$C$11*C101</f>
        <v/>
      </c>
      <c r="D102" s="13">
        <f>$C$8*D98+$C$9*D99+$C$10*D100+$C$11*D101</f>
        <v/>
      </c>
      <c r="E102" s="13">
        <f>$C$8*E98+$C$9*E99+$C$10*E100+$C$11*E101</f>
        <v/>
      </c>
      <c r="F102" s="13">
        <f>$C$8*F98+$C$9*F99+$C$10*F100+$C$11*F101</f>
        <v/>
      </c>
      <c r="G102" s="13">
        <f>$C$8*G98+$C$9*G99+$C$10*G100+$C$11*G101</f>
        <v/>
      </c>
      <c r="H102" s="13">
        <f>$C$8*H98+$C$9*H99+$C$10*H100+$C$11*H101</f>
        <v/>
      </c>
      <c r="I102" s="13">
        <f>$C$8*I98+$C$9*I99+$C$10*I100+$C$11*I101</f>
        <v/>
      </c>
      <c r="J102" s="13">
        <f>$C$8*J98+$C$9*J99+$C$10*J100+$C$11*J101</f>
        <v/>
      </c>
      <c r="K102" s="13">
        <f>$C$8*K98+$C$9*K99+$C$10*K100+$C$11*K101</f>
        <v/>
      </c>
      <c r="L102" s="13">
        <f>$C$8*L98+$C$9*L99+$C$10*L100+$C$11*L101</f>
        <v/>
      </c>
      <c r="M102" s="13">
        <f>$C$8*M98+$C$9*M99+$C$10*M100+$C$11*M101</f>
        <v/>
      </c>
      <c r="N102" s="13">
        <f>$C$8*N98+$C$9*N99+$C$10*N100+$C$11*N101</f>
        <v/>
      </c>
      <c r="O102" s="13">
        <f>$C$8*O98+$C$9*O99+$C$10*O100+$C$11*O101</f>
        <v/>
      </c>
      <c r="P102" s="13">
        <f>$C$8*P98+$C$9*P99+$C$10*P100+$C$11*P101</f>
        <v/>
      </c>
      <c r="Q102" s="13">
        <f>$C$8*Q98+$C$9*Q99+$C$10*Q100+$C$11*Q101</f>
        <v/>
      </c>
      <c r="R102" s="13">
        <f>$C$8*R98+$C$9*R99+$C$10*R100+$C$11*R101</f>
        <v/>
      </c>
      <c r="S102" s="13">
        <f>$C$8*S98+$C$9*S99+$C$10*S100+$C$11*S101</f>
        <v/>
      </c>
      <c r="T102" s="13">
        <f>$C$8*T98+$C$9*T99+$C$10*T100+$C$11*T101</f>
        <v/>
      </c>
      <c r="U102" s="13">
        <f>$C$8*U98+$C$9*U99+$C$10*U100+$C$11*U101</f>
        <v/>
      </c>
      <c r="V102" s="13">
        <f>$C$8*V98+$C$9*V99+$C$10*V100+$C$11*V101</f>
        <v/>
      </c>
      <c r="W102" s="13">
        <f>$C$8*W98+$C$9*W99+$C$10*W100+$C$11*W101</f>
        <v/>
      </c>
      <c r="X102" s="13">
        <f>$C$8*X98+$C$9*X99+$C$10*X100+$C$11*X101</f>
        <v/>
      </c>
      <c r="Y102" s="13">
        <f>$C$8*Y98+$C$9*Y99+$C$10*Y100+$C$11*Y101</f>
        <v/>
      </c>
      <c r="Z102" s="13">
        <f>$C$8*Z98+$C$9*Z99+$C$10*Z100+$C$11*Z101</f>
        <v/>
      </c>
      <c r="AA102" s="13">
        <f>$C$8*AA98+$C$9*AA99+$C$10*AA100+$C$11*AA101</f>
        <v/>
      </c>
      <c r="AB102" s="13">
        <f>$C$8*AB98+$C$9*AB99+$C$10*AB100+$C$11*AB101</f>
        <v/>
      </c>
      <c r="AC102" s="13">
        <f>$C$8*AC98+$C$9*AC99+$C$10*AC100+$C$11*AC101</f>
        <v/>
      </c>
      <c r="AD102" s="13">
        <f>$C$8*AD98+$C$9*AD99+$C$10*AD100+$C$11*AD101</f>
        <v/>
      </c>
      <c r="AE102" s="13">
        <f>$C$8*AE98+$C$9*AE99+$C$10*AE100+$C$11*AE101</f>
        <v/>
      </c>
      <c r="AF102" s="13">
        <f>$C$8*AF98+$C$9*AF99+$C$10*AF100+$C$11*AF101</f>
        <v/>
      </c>
      <c r="AG102" s="13">
        <f>$C$8*AG98+$C$9*AG99+$C$10*AG100+$C$11*AG101</f>
        <v/>
      </c>
      <c r="AH102" s="13">
        <f>$C$8*AH98+$C$9*AH99+$C$10*AH100+$C$11*AH101</f>
        <v/>
      </c>
      <c r="AI102" s="13">
        <f>$C$8*AI98+$C$9*AI99+$C$10*AI100+$C$11*AI101</f>
        <v/>
      </c>
      <c r="AJ102" s="13">
        <f>$C$8*AJ98+$C$9*AJ99+$C$10*AJ100+$C$11*AJ101</f>
        <v/>
      </c>
      <c r="AK102" s="13">
        <f>$C$8*AK98+$C$9*AK99+$C$10*AK100+$C$11*AK101</f>
        <v/>
      </c>
      <c r="AL102" s="13">
        <f>$C$8*AL98+$C$9*AL99+$C$10*AL100+$C$11*AL101</f>
        <v/>
      </c>
    </row>
    <row r="104">
      <c r="A104" s="10" t="inlineStr">
        <is>
          <t>Clienti nuovi per mese</t>
        </is>
      </c>
    </row>
    <row r="105">
      <c r="A105" s="3" t="inlineStr">
        <is>
          <t>Mese</t>
        </is>
      </c>
      <c r="C105" t="n">
        <v>1</v>
      </c>
      <c r="D105" t="n">
        <v>2</v>
      </c>
      <c r="E105" t="n">
        <v>3</v>
      </c>
      <c r="F105" t="n">
        <v>4</v>
      </c>
      <c r="G105" t="n">
        <v>5</v>
      </c>
      <c r="H105" t="n">
        <v>6</v>
      </c>
      <c r="I105" t="n">
        <v>7</v>
      </c>
      <c r="J105" t="n">
        <v>8</v>
      </c>
      <c r="K105" t="n">
        <v>9</v>
      </c>
      <c r="L105" t="n">
        <v>10</v>
      </c>
      <c r="M105" t="n">
        <v>11</v>
      </c>
      <c r="N105" t="n">
        <v>12</v>
      </c>
      <c r="O105" t="n">
        <v>13</v>
      </c>
      <c r="P105" t="n">
        <v>14</v>
      </c>
      <c r="Q105" t="n">
        <v>15</v>
      </c>
      <c r="R105" t="n">
        <v>16</v>
      </c>
      <c r="S105" t="n">
        <v>17</v>
      </c>
      <c r="T105" t="n">
        <v>18</v>
      </c>
      <c r="U105" t="n">
        <v>19</v>
      </c>
      <c r="V105" t="n">
        <v>20</v>
      </c>
      <c r="W105" t="n">
        <v>21</v>
      </c>
      <c r="X105" t="n">
        <v>22</v>
      </c>
      <c r="Y105" t="n">
        <v>23</v>
      </c>
      <c r="Z105" t="n">
        <v>24</v>
      </c>
      <c r="AA105" t="n">
        <v>25</v>
      </c>
      <c r="AB105" t="n">
        <v>26</v>
      </c>
      <c r="AC105" t="n">
        <v>27</v>
      </c>
      <c r="AD105" t="n">
        <v>28</v>
      </c>
      <c r="AE105" t="n">
        <v>29</v>
      </c>
      <c r="AF105" t="n">
        <v>30</v>
      </c>
    </row>
    <row r="106">
      <c r="A106" s="3" t="inlineStr">
        <is>
          <t>Mesi dal lancio</t>
        </is>
      </c>
      <c r="C106">
        <f>C105-$C$6</f>
        <v/>
      </c>
      <c r="D106">
        <f>D105-$C$6</f>
        <v/>
      </c>
      <c r="E106">
        <f>E105-$C$6</f>
        <v/>
      </c>
      <c r="F106">
        <f>F105-$C$6</f>
        <v/>
      </c>
      <c r="G106">
        <f>G105-$C$6</f>
        <v/>
      </c>
      <c r="H106">
        <f>H105-$C$6</f>
        <v/>
      </c>
      <c r="I106">
        <f>I105-$C$6</f>
        <v/>
      </c>
      <c r="J106">
        <f>J105-$C$6</f>
        <v/>
      </c>
      <c r="K106">
        <f>K105-$C$6</f>
        <v/>
      </c>
      <c r="L106">
        <f>L105-$C$6</f>
        <v/>
      </c>
      <c r="M106">
        <f>M105-$C$6</f>
        <v/>
      </c>
      <c r="N106">
        <f>N105-$C$6</f>
        <v/>
      </c>
      <c r="O106">
        <f>O105-$C$6</f>
        <v/>
      </c>
      <c r="P106">
        <f>P105-$C$6</f>
        <v/>
      </c>
      <c r="Q106">
        <f>Q105-$C$6</f>
        <v/>
      </c>
      <c r="R106">
        <f>R105-$C$6</f>
        <v/>
      </c>
      <c r="S106">
        <f>S105-$C$6</f>
        <v/>
      </c>
      <c r="T106">
        <f>T105-$C$6</f>
        <v/>
      </c>
      <c r="U106">
        <f>U105-$C$6</f>
        <v/>
      </c>
      <c r="V106">
        <f>V105-$C$6</f>
        <v/>
      </c>
      <c r="W106">
        <f>W105-$C$6</f>
        <v/>
      </c>
      <c r="X106">
        <f>X105-$C$6</f>
        <v/>
      </c>
      <c r="Y106">
        <f>Y105-$C$6</f>
        <v/>
      </c>
      <c r="Z106">
        <f>Z105-$C$6</f>
        <v/>
      </c>
      <c r="AA106">
        <f>AA105-$C$6</f>
        <v/>
      </c>
      <c r="AB106">
        <f>AB105-$C$6</f>
        <v/>
      </c>
      <c r="AC106">
        <f>AC105-$C$6</f>
        <v/>
      </c>
      <c r="AD106">
        <f>AD105-$C$6</f>
        <v/>
      </c>
      <c r="AE106">
        <f>AE105-$C$6</f>
        <v/>
      </c>
      <c r="AF106">
        <f>AF105-$C$6</f>
        <v/>
      </c>
    </row>
    <row r="107">
      <c r="A107" s="3" t="inlineStr">
        <is>
          <t>Pubblicità</t>
        </is>
      </c>
      <c r="B107" s="4" t="inlineStr">
        <is>
          <t>€</t>
        </is>
      </c>
      <c r="C107" s="20">
        <f>IF(C106&lt;0,0,IF(C106&lt;$C$28,$C$27/$C$28,IF(C106&lt;$C$28+$C$31,$C$30/$C$31,IF(C106&lt;$C$28+$C$31+$C$34,$C$33/$C$34,$C$36))))</f>
        <v/>
      </c>
      <c r="D107" s="20">
        <f>IF(D106&lt;0,0,IF(D106&lt;$C$28,$C$27/$C$28,IF(D106&lt;$C$28+$C$31,$C$30/$C$31,IF(D106&lt;$C$28+$C$31+$C$34,$C$33/$C$34,$C$36))))</f>
        <v/>
      </c>
      <c r="E107" s="20">
        <f>IF(E106&lt;0,0,IF(E106&lt;$C$28,$C$27/$C$28,IF(E106&lt;$C$28+$C$31,$C$30/$C$31,IF(E106&lt;$C$28+$C$31+$C$34,$C$33/$C$34,$C$36))))</f>
        <v/>
      </c>
      <c r="F107" s="20">
        <f>IF(F106&lt;0,0,IF(F106&lt;$C$28,$C$27/$C$28,IF(F106&lt;$C$28+$C$31,$C$30/$C$31,IF(F106&lt;$C$28+$C$31+$C$34,$C$33/$C$34,$C$36))))</f>
        <v/>
      </c>
      <c r="G107" s="20">
        <f>IF(G106&lt;0,0,IF(G106&lt;$C$28,$C$27/$C$28,IF(G106&lt;$C$28+$C$31,$C$30/$C$31,IF(G106&lt;$C$28+$C$31+$C$34,$C$33/$C$34,$C$36))))</f>
        <v/>
      </c>
      <c r="H107" s="20">
        <f>IF(H106&lt;0,0,IF(H106&lt;$C$28,$C$27/$C$28,IF(H106&lt;$C$28+$C$31,$C$30/$C$31,IF(H106&lt;$C$28+$C$31+$C$34,$C$33/$C$34,$C$36))))</f>
        <v/>
      </c>
      <c r="I107" s="20">
        <f>IF(I106&lt;0,0,IF(I106&lt;$C$28,$C$27/$C$28,IF(I106&lt;$C$28+$C$31,$C$30/$C$31,IF(I106&lt;$C$28+$C$31+$C$34,$C$33/$C$34,$C$36))))</f>
        <v/>
      </c>
      <c r="J107" s="20">
        <f>IF(J106&lt;0,0,IF(J106&lt;$C$28,$C$27/$C$28,IF(J106&lt;$C$28+$C$31,$C$30/$C$31,IF(J106&lt;$C$28+$C$31+$C$34,$C$33/$C$34,$C$36))))</f>
        <v/>
      </c>
      <c r="K107" s="20">
        <f>IF(K106&lt;0,0,IF(K106&lt;$C$28,$C$27/$C$28,IF(K106&lt;$C$28+$C$31,$C$30/$C$31,IF(K106&lt;$C$28+$C$31+$C$34,$C$33/$C$34,$C$36))))</f>
        <v/>
      </c>
      <c r="L107" s="20">
        <f>IF(L106&lt;0,0,IF(L106&lt;$C$28,$C$27/$C$28,IF(L106&lt;$C$28+$C$31,$C$30/$C$31,IF(L106&lt;$C$28+$C$31+$C$34,$C$33/$C$34,$C$36))))</f>
        <v/>
      </c>
      <c r="M107" s="20">
        <f>IF(M106&lt;0,0,IF(M106&lt;$C$28,$C$27/$C$28,IF(M106&lt;$C$28+$C$31,$C$30/$C$31,IF(M106&lt;$C$28+$C$31+$C$34,$C$33/$C$34,$C$36))))</f>
        <v/>
      </c>
      <c r="N107" s="20">
        <f>IF(N106&lt;0,0,IF(N106&lt;$C$28,$C$27/$C$28,IF(N106&lt;$C$28+$C$31,$C$30/$C$31,IF(N106&lt;$C$28+$C$31+$C$34,$C$33/$C$34,$C$36))))</f>
        <v/>
      </c>
      <c r="O107" s="20">
        <f>IF(O106&lt;0,0,IF(O106&lt;$C$28,$C$27/$C$28,IF(O106&lt;$C$28+$C$31,$C$30/$C$31,IF(O106&lt;$C$28+$C$31+$C$34,$C$33/$C$34,$C$36))))</f>
        <v/>
      </c>
      <c r="P107" s="20">
        <f>IF(P106&lt;0,0,IF(P106&lt;$C$28,$C$27/$C$28,IF(P106&lt;$C$28+$C$31,$C$30/$C$31,IF(P106&lt;$C$28+$C$31+$C$34,$C$33/$C$34,$C$36))))</f>
        <v/>
      </c>
      <c r="Q107" s="20">
        <f>IF(Q106&lt;0,0,IF(Q106&lt;$C$28,$C$27/$C$28,IF(Q106&lt;$C$28+$C$31,$C$30/$C$31,IF(Q106&lt;$C$28+$C$31+$C$34,$C$33/$C$34,$C$36))))</f>
        <v/>
      </c>
      <c r="R107" s="20">
        <f>IF(R106&lt;0,0,IF(R106&lt;$C$28,$C$27/$C$28,IF(R106&lt;$C$28+$C$31,$C$30/$C$31,IF(R106&lt;$C$28+$C$31+$C$34,$C$33/$C$34,$C$36))))</f>
        <v/>
      </c>
      <c r="S107" s="20">
        <f>IF(S106&lt;0,0,IF(S106&lt;$C$28,$C$27/$C$28,IF(S106&lt;$C$28+$C$31,$C$30/$C$31,IF(S106&lt;$C$28+$C$31+$C$34,$C$33/$C$34,$C$36))))</f>
        <v/>
      </c>
      <c r="T107" s="20">
        <f>IF(T106&lt;0,0,IF(T106&lt;$C$28,$C$27/$C$28,IF(T106&lt;$C$28+$C$31,$C$30/$C$31,IF(T106&lt;$C$28+$C$31+$C$34,$C$33/$C$34,$C$36))))</f>
        <v/>
      </c>
      <c r="U107" s="20">
        <f>IF(U106&lt;0,0,IF(U106&lt;$C$28,$C$27/$C$28,IF(U106&lt;$C$28+$C$31,$C$30/$C$31,IF(U106&lt;$C$28+$C$31+$C$34,$C$33/$C$34,$C$36))))</f>
        <v/>
      </c>
      <c r="V107" s="20">
        <f>IF(V106&lt;0,0,IF(V106&lt;$C$28,$C$27/$C$28,IF(V106&lt;$C$28+$C$31,$C$30/$C$31,IF(V106&lt;$C$28+$C$31+$C$34,$C$33/$C$34,$C$36))))</f>
        <v/>
      </c>
      <c r="W107" s="20">
        <f>IF(W106&lt;0,0,IF(W106&lt;$C$28,$C$27/$C$28,IF(W106&lt;$C$28+$C$31,$C$30/$C$31,IF(W106&lt;$C$28+$C$31+$C$34,$C$33/$C$34,$C$36))))</f>
        <v/>
      </c>
      <c r="X107" s="20">
        <f>IF(X106&lt;0,0,IF(X106&lt;$C$28,$C$27/$C$28,IF(X106&lt;$C$28+$C$31,$C$30/$C$31,IF(X106&lt;$C$28+$C$31+$C$34,$C$33/$C$34,$C$36))))</f>
        <v/>
      </c>
      <c r="Y107" s="20">
        <f>IF(Y106&lt;0,0,IF(Y106&lt;$C$28,$C$27/$C$28,IF(Y106&lt;$C$28+$C$31,$C$30/$C$31,IF(Y106&lt;$C$28+$C$31+$C$34,$C$33/$C$34,$C$36))))</f>
        <v/>
      </c>
      <c r="Z107" s="20">
        <f>IF(Z106&lt;0,0,IF(Z106&lt;$C$28,$C$27/$C$28,IF(Z106&lt;$C$28+$C$31,$C$30/$C$31,IF(Z106&lt;$C$28+$C$31+$C$34,$C$33/$C$34,$C$36))))</f>
        <v/>
      </c>
      <c r="AA107" s="20">
        <f>IF(AA106&lt;0,0,IF(AA106&lt;$C$28,$C$27/$C$28,IF(AA106&lt;$C$28+$C$31,$C$30/$C$31,IF(AA106&lt;$C$28+$C$31+$C$34,$C$33/$C$34,$C$36))))</f>
        <v/>
      </c>
      <c r="AB107" s="20">
        <f>IF(AB106&lt;0,0,IF(AB106&lt;$C$28,$C$27/$C$28,IF(AB106&lt;$C$28+$C$31,$C$30/$C$31,IF(AB106&lt;$C$28+$C$31+$C$34,$C$33/$C$34,$C$36))))</f>
        <v/>
      </c>
      <c r="AC107" s="20">
        <f>IF(AC106&lt;0,0,IF(AC106&lt;$C$28,$C$27/$C$28,IF(AC106&lt;$C$28+$C$31,$C$30/$C$31,IF(AC106&lt;$C$28+$C$31+$C$34,$C$33/$C$34,$C$36))))</f>
        <v/>
      </c>
      <c r="AD107" s="20">
        <f>IF(AD106&lt;0,0,IF(AD106&lt;$C$28,$C$27/$C$28,IF(AD106&lt;$C$28+$C$31,$C$30/$C$31,IF(AD106&lt;$C$28+$C$31+$C$34,$C$33/$C$34,$C$36))))</f>
        <v/>
      </c>
      <c r="AE107" s="20">
        <f>IF(AE106&lt;0,0,IF(AE106&lt;$C$28,$C$27/$C$28,IF(AE106&lt;$C$28+$C$31,$C$30/$C$31,IF(AE106&lt;$C$28+$C$31+$C$34,$C$33/$C$34,$C$36))))</f>
        <v/>
      </c>
      <c r="AF107" s="20">
        <f>IF(AF106&lt;0,0,IF(AF106&lt;$C$28,$C$27/$C$28,IF(AF106&lt;$C$28+$C$31,$C$30/$C$31,IF(AF106&lt;$C$28+$C$31+$C$34,$C$33/$C$34,$C$36))))</f>
        <v/>
      </c>
    </row>
    <row r="108">
      <c r="A108" s="3" t="inlineStr">
        <is>
          <t>CAC pubblicitario</t>
        </is>
      </c>
      <c r="B108" s="4" t="inlineStr">
        <is>
          <t>€</t>
        </is>
      </c>
      <c r="C108" s="20">
        <f>IF(C106&lt;0,0,IF(C106&lt;$C$28,$C$29,IF(C106&lt;$C$28+$C$31,$C$32,IF(C106&lt;$C$28+$C$31+$C$34,$C$35,$C$37))))</f>
        <v/>
      </c>
      <c r="D108" s="20">
        <f>IF(D106&lt;0,0,IF(D106&lt;$C$28,$C$29,IF(D106&lt;$C$28+$C$31,$C$32,IF(D106&lt;$C$28+$C$31+$C$34,$C$35,$C$37))))</f>
        <v/>
      </c>
      <c r="E108" s="20">
        <f>IF(E106&lt;0,0,IF(E106&lt;$C$28,$C$29,IF(E106&lt;$C$28+$C$31,$C$32,IF(E106&lt;$C$28+$C$31+$C$34,$C$35,$C$37))))</f>
        <v/>
      </c>
      <c r="F108" s="20">
        <f>IF(F106&lt;0,0,IF(F106&lt;$C$28,$C$29,IF(F106&lt;$C$28+$C$31,$C$32,IF(F106&lt;$C$28+$C$31+$C$34,$C$35,$C$37))))</f>
        <v/>
      </c>
      <c r="G108" s="20">
        <f>IF(G106&lt;0,0,IF(G106&lt;$C$28,$C$29,IF(G106&lt;$C$28+$C$31,$C$32,IF(G106&lt;$C$28+$C$31+$C$34,$C$35,$C$37))))</f>
        <v/>
      </c>
      <c r="H108" s="20">
        <f>IF(H106&lt;0,0,IF(H106&lt;$C$28,$C$29,IF(H106&lt;$C$28+$C$31,$C$32,IF(H106&lt;$C$28+$C$31+$C$34,$C$35,$C$37))))</f>
        <v/>
      </c>
      <c r="I108" s="20">
        <f>IF(I106&lt;0,0,IF(I106&lt;$C$28,$C$29,IF(I106&lt;$C$28+$C$31,$C$32,IF(I106&lt;$C$28+$C$31+$C$34,$C$35,$C$37))))</f>
        <v/>
      </c>
      <c r="J108" s="20">
        <f>IF(J106&lt;0,0,IF(J106&lt;$C$28,$C$29,IF(J106&lt;$C$28+$C$31,$C$32,IF(J106&lt;$C$28+$C$31+$C$34,$C$35,$C$37))))</f>
        <v/>
      </c>
      <c r="K108" s="20">
        <f>IF(K106&lt;0,0,IF(K106&lt;$C$28,$C$29,IF(K106&lt;$C$28+$C$31,$C$32,IF(K106&lt;$C$28+$C$31+$C$34,$C$35,$C$37))))</f>
        <v/>
      </c>
      <c r="L108" s="20">
        <f>IF(L106&lt;0,0,IF(L106&lt;$C$28,$C$29,IF(L106&lt;$C$28+$C$31,$C$32,IF(L106&lt;$C$28+$C$31+$C$34,$C$35,$C$37))))</f>
        <v/>
      </c>
      <c r="M108" s="20">
        <f>IF(M106&lt;0,0,IF(M106&lt;$C$28,$C$29,IF(M106&lt;$C$28+$C$31,$C$32,IF(M106&lt;$C$28+$C$31+$C$34,$C$35,$C$37))))</f>
        <v/>
      </c>
      <c r="N108" s="20">
        <f>IF(N106&lt;0,0,IF(N106&lt;$C$28,$C$29,IF(N106&lt;$C$28+$C$31,$C$32,IF(N106&lt;$C$28+$C$31+$C$34,$C$35,$C$37))))</f>
        <v/>
      </c>
      <c r="O108" s="20">
        <f>IF(O106&lt;0,0,IF(O106&lt;$C$28,$C$29,IF(O106&lt;$C$28+$C$31,$C$32,IF(O106&lt;$C$28+$C$31+$C$34,$C$35,$C$37))))</f>
        <v/>
      </c>
      <c r="P108" s="20">
        <f>IF(P106&lt;0,0,IF(P106&lt;$C$28,$C$29,IF(P106&lt;$C$28+$C$31,$C$32,IF(P106&lt;$C$28+$C$31+$C$34,$C$35,$C$37))))</f>
        <v/>
      </c>
      <c r="Q108" s="20">
        <f>IF(Q106&lt;0,0,IF(Q106&lt;$C$28,$C$29,IF(Q106&lt;$C$28+$C$31,$C$32,IF(Q106&lt;$C$28+$C$31+$C$34,$C$35,$C$37))))</f>
        <v/>
      </c>
      <c r="R108" s="20">
        <f>IF(R106&lt;0,0,IF(R106&lt;$C$28,$C$29,IF(R106&lt;$C$28+$C$31,$C$32,IF(R106&lt;$C$28+$C$31+$C$34,$C$35,$C$37))))</f>
        <v/>
      </c>
      <c r="S108" s="20">
        <f>IF(S106&lt;0,0,IF(S106&lt;$C$28,$C$29,IF(S106&lt;$C$28+$C$31,$C$32,IF(S106&lt;$C$28+$C$31+$C$34,$C$35,$C$37))))</f>
        <v/>
      </c>
      <c r="T108" s="20">
        <f>IF(T106&lt;0,0,IF(T106&lt;$C$28,$C$29,IF(T106&lt;$C$28+$C$31,$C$32,IF(T106&lt;$C$28+$C$31+$C$34,$C$35,$C$37))))</f>
        <v/>
      </c>
      <c r="U108" s="20">
        <f>IF(U106&lt;0,0,IF(U106&lt;$C$28,$C$29,IF(U106&lt;$C$28+$C$31,$C$32,IF(U106&lt;$C$28+$C$31+$C$34,$C$35,$C$37))))</f>
        <v/>
      </c>
      <c r="V108" s="20">
        <f>IF(V106&lt;0,0,IF(V106&lt;$C$28,$C$29,IF(V106&lt;$C$28+$C$31,$C$32,IF(V106&lt;$C$28+$C$31+$C$34,$C$35,$C$37))))</f>
        <v/>
      </c>
      <c r="W108" s="20">
        <f>IF(W106&lt;0,0,IF(W106&lt;$C$28,$C$29,IF(W106&lt;$C$28+$C$31,$C$32,IF(W106&lt;$C$28+$C$31+$C$34,$C$35,$C$37))))</f>
        <v/>
      </c>
      <c r="X108" s="20">
        <f>IF(X106&lt;0,0,IF(X106&lt;$C$28,$C$29,IF(X106&lt;$C$28+$C$31,$C$32,IF(X106&lt;$C$28+$C$31+$C$34,$C$35,$C$37))))</f>
        <v/>
      </c>
      <c r="Y108" s="20">
        <f>IF(Y106&lt;0,0,IF(Y106&lt;$C$28,$C$29,IF(Y106&lt;$C$28+$C$31,$C$32,IF(Y106&lt;$C$28+$C$31+$C$34,$C$35,$C$37))))</f>
        <v/>
      </c>
      <c r="Z108" s="20">
        <f>IF(Z106&lt;0,0,IF(Z106&lt;$C$28,$C$29,IF(Z106&lt;$C$28+$C$31,$C$32,IF(Z106&lt;$C$28+$C$31+$C$34,$C$35,$C$37))))</f>
        <v/>
      </c>
      <c r="AA108" s="20">
        <f>IF(AA106&lt;0,0,IF(AA106&lt;$C$28,$C$29,IF(AA106&lt;$C$28+$C$31,$C$32,IF(AA106&lt;$C$28+$C$31+$C$34,$C$35,$C$37))))</f>
        <v/>
      </c>
      <c r="AB108" s="20">
        <f>IF(AB106&lt;0,0,IF(AB106&lt;$C$28,$C$29,IF(AB106&lt;$C$28+$C$31,$C$32,IF(AB106&lt;$C$28+$C$31+$C$34,$C$35,$C$37))))</f>
        <v/>
      </c>
      <c r="AC108" s="20">
        <f>IF(AC106&lt;0,0,IF(AC106&lt;$C$28,$C$29,IF(AC106&lt;$C$28+$C$31,$C$32,IF(AC106&lt;$C$28+$C$31+$C$34,$C$35,$C$37))))</f>
        <v/>
      </c>
      <c r="AD108" s="20">
        <f>IF(AD106&lt;0,0,IF(AD106&lt;$C$28,$C$29,IF(AD106&lt;$C$28+$C$31,$C$32,IF(AD106&lt;$C$28+$C$31+$C$34,$C$35,$C$37))))</f>
        <v/>
      </c>
      <c r="AE108" s="20">
        <f>IF(AE106&lt;0,0,IF(AE106&lt;$C$28,$C$29,IF(AE106&lt;$C$28+$C$31,$C$32,IF(AE106&lt;$C$28+$C$31+$C$34,$C$35,$C$37))))</f>
        <v/>
      </c>
      <c r="AF108" s="20">
        <f>IF(AF106&lt;0,0,IF(AF106&lt;$C$28,$C$29,IF(AF106&lt;$C$28+$C$31,$C$32,IF(AF106&lt;$C$28+$C$31+$C$34,$C$35,$C$37))))</f>
        <v/>
      </c>
    </row>
    <row r="109">
      <c r="A109" s="3" t="inlineStr">
        <is>
          <t>Nuovi clienti da pubblicità</t>
        </is>
      </c>
      <c r="C109" s="24">
        <f>IF(C107&gt;0,C107/C108,0)</f>
        <v/>
      </c>
      <c r="D109" s="24">
        <f>IF(D107&gt;0,D107/D108,0)</f>
        <v/>
      </c>
      <c r="E109" s="24">
        <f>IF(E107&gt;0,E107/E108,0)</f>
        <v/>
      </c>
      <c r="F109" s="24">
        <f>IF(F107&gt;0,F107/F108,0)</f>
        <v/>
      </c>
      <c r="G109" s="24">
        <f>IF(G107&gt;0,G107/G108,0)</f>
        <v/>
      </c>
      <c r="H109" s="24">
        <f>IF(H107&gt;0,H107/H108,0)</f>
        <v/>
      </c>
      <c r="I109" s="24">
        <f>IF(I107&gt;0,I107/I108,0)</f>
        <v/>
      </c>
      <c r="J109" s="24">
        <f>IF(J107&gt;0,J107/J108,0)</f>
        <v/>
      </c>
      <c r="K109" s="24">
        <f>IF(K107&gt;0,K107/K108,0)</f>
        <v/>
      </c>
      <c r="L109" s="24">
        <f>IF(L107&gt;0,L107/L108,0)</f>
        <v/>
      </c>
      <c r="M109" s="24">
        <f>IF(M107&gt;0,M107/M108,0)</f>
        <v/>
      </c>
      <c r="N109" s="24">
        <f>IF(N107&gt;0,N107/N108,0)</f>
        <v/>
      </c>
      <c r="O109" s="24">
        <f>IF(O107&gt;0,O107/O108,0)</f>
        <v/>
      </c>
      <c r="P109" s="24">
        <f>IF(P107&gt;0,P107/P108,0)</f>
        <v/>
      </c>
      <c r="Q109" s="24">
        <f>IF(Q107&gt;0,Q107/Q108,0)</f>
        <v/>
      </c>
      <c r="R109" s="24">
        <f>IF(R107&gt;0,R107/R108,0)</f>
        <v/>
      </c>
      <c r="S109" s="24">
        <f>IF(S107&gt;0,S107/S108,0)</f>
        <v/>
      </c>
      <c r="T109" s="24">
        <f>IF(T107&gt;0,T107/T108,0)</f>
        <v/>
      </c>
      <c r="U109" s="24">
        <f>IF(U107&gt;0,U107/U108,0)</f>
        <v/>
      </c>
      <c r="V109" s="24">
        <f>IF(V107&gt;0,V107/V108,0)</f>
        <v/>
      </c>
      <c r="W109" s="24">
        <f>IF(W107&gt;0,W107/W108,0)</f>
        <v/>
      </c>
      <c r="X109" s="24">
        <f>IF(X107&gt;0,X107/X108,0)</f>
        <v/>
      </c>
      <c r="Y109" s="24">
        <f>IF(Y107&gt;0,Y107/Y108,0)</f>
        <v/>
      </c>
      <c r="Z109" s="24">
        <f>IF(Z107&gt;0,Z107/Z108,0)</f>
        <v/>
      </c>
      <c r="AA109" s="24">
        <f>IF(AA107&gt;0,AA107/AA108,0)</f>
        <v/>
      </c>
      <c r="AB109" s="24">
        <f>IF(AB107&gt;0,AB107/AB108,0)</f>
        <v/>
      </c>
      <c r="AC109" s="24">
        <f>IF(AC107&gt;0,AC107/AC108,0)</f>
        <v/>
      </c>
      <c r="AD109" s="24">
        <f>IF(AD107&gt;0,AD107/AD108,0)</f>
        <v/>
      </c>
      <c r="AE109" s="24">
        <f>IF(AE107&gt;0,AE107/AE108,0)</f>
        <v/>
      </c>
      <c r="AF109" s="24">
        <f>IF(AF107&gt;0,AF107/AF108,0)</f>
        <v/>
      </c>
    </row>
    <row r="110">
      <c r="A110" s="3" t="inlineStr">
        <is>
          <t>Nuovi clienti da canali non pagati</t>
        </is>
      </c>
      <c r="C110" s="24">
        <f>IF(C106&gt;=0,$C$26,0)</f>
        <v/>
      </c>
      <c r="D110" s="24">
        <f>IF(D106&gt;=0,$C$26,0)</f>
        <v/>
      </c>
      <c r="E110" s="24">
        <f>IF(E106&gt;=0,$C$26,0)</f>
        <v/>
      </c>
      <c r="F110" s="24">
        <f>IF(F106&gt;=0,$C$26,0)</f>
        <v/>
      </c>
      <c r="G110" s="24">
        <f>IF(G106&gt;=0,$C$26,0)</f>
        <v/>
      </c>
      <c r="H110" s="24">
        <f>IF(H106&gt;=0,$C$26,0)</f>
        <v/>
      </c>
      <c r="I110" s="24">
        <f>IF(I106&gt;=0,$C$26,0)</f>
        <v/>
      </c>
      <c r="J110" s="24">
        <f>IF(J106&gt;=0,$C$26,0)</f>
        <v/>
      </c>
      <c r="K110" s="24">
        <f>IF(K106&gt;=0,$C$26,0)</f>
        <v/>
      </c>
      <c r="L110" s="24">
        <f>IF(L106&gt;=0,$C$26,0)</f>
        <v/>
      </c>
      <c r="M110" s="24">
        <f>IF(M106&gt;=0,$C$26,0)</f>
        <v/>
      </c>
      <c r="N110" s="24">
        <f>IF(N106&gt;=0,$C$26,0)</f>
        <v/>
      </c>
      <c r="O110" s="24">
        <f>IF(O106&gt;=0,$C$26,0)</f>
        <v/>
      </c>
      <c r="P110" s="24">
        <f>IF(P106&gt;=0,$C$26,0)</f>
        <v/>
      </c>
      <c r="Q110" s="24">
        <f>IF(Q106&gt;=0,$C$26,0)</f>
        <v/>
      </c>
      <c r="R110" s="24">
        <f>IF(R106&gt;=0,$C$26,0)</f>
        <v/>
      </c>
      <c r="S110" s="24">
        <f>IF(S106&gt;=0,$C$26,0)</f>
        <v/>
      </c>
      <c r="T110" s="24">
        <f>IF(T106&gt;=0,$C$26,0)</f>
        <v/>
      </c>
      <c r="U110" s="24">
        <f>IF(U106&gt;=0,$C$26,0)</f>
        <v/>
      </c>
      <c r="V110" s="24">
        <f>IF(V106&gt;=0,$C$26,0)</f>
        <v/>
      </c>
      <c r="W110" s="24">
        <f>IF(W106&gt;=0,$C$26,0)</f>
        <v/>
      </c>
      <c r="X110" s="24">
        <f>IF(X106&gt;=0,$C$26,0)</f>
        <v/>
      </c>
      <c r="Y110" s="24">
        <f>IF(Y106&gt;=0,$C$26,0)</f>
        <v/>
      </c>
      <c r="Z110" s="24">
        <f>IF(Z106&gt;=0,$C$26,0)</f>
        <v/>
      </c>
      <c r="AA110" s="24">
        <f>IF(AA106&gt;=0,$C$26,0)</f>
        <v/>
      </c>
      <c r="AB110" s="24">
        <f>IF(AB106&gt;=0,$C$26,0)</f>
        <v/>
      </c>
      <c r="AC110" s="24">
        <f>IF(AC106&gt;=0,$C$26,0)</f>
        <v/>
      </c>
      <c r="AD110" s="24">
        <f>IF(AD106&gt;=0,$C$26,0)</f>
        <v/>
      </c>
      <c r="AE110" s="24">
        <f>IF(AE106&gt;=0,$C$26,0)</f>
        <v/>
      </c>
      <c r="AF110" s="24">
        <f>IF(AF106&gt;=0,$C$26,0)</f>
        <v/>
      </c>
    </row>
    <row r="111">
      <c r="A111" s="3" t="inlineStr">
        <is>
          <t>Nuovi clienti totali</t>
        </is>
      </c>
      <c r="C111" s="24">
        <f>C109+C110</f>
        <v/>
      </c>
      <c r="D111" s="24">
        <f>D109+D110</f>
        <v/>
      </c>
      <c r="E111" s="24">
        <f>E109+E110</f>
        <v/>
      </c>
      <c r="F111" s="24">
        <f>F109+F110</f>
        <v/>
      </c>
      <c r="G111" s="24">
        <f>G109+G110</f>
        <v/>
      </c>
      <c r="H111" s="24">
        <f>H109+H110</f>
        <v/>
      </c>
      <c r="I111" s="24">
        <f>I109+I110</f>
        <v/>
      </c>
      <c r="J111" s="24">
        <f>J109+J110</f>
        <v/>
      </c>
      <c r="K111" s="24">
        <f>K109+K110</f>
        <v/>
      </c>
      <c r="L111" s="24">
        <f>L109+L110</f>
        <v/>
      </c>
      <c r="M111" s="24">
        <f>M109+M110</f>
        <v/>
      </c>
      <c r="N111" s="24">
        <f>N109+N110</f>
        <v/>
      </c>
      <c r="O111" s="24">
        <f>O109+O110</f>
        <v/>
      </c>
      <c r="P111" s="24">
        <f>P109+P110</f>
        <v/>
      </c>
      <c r="Q111" s="24">
        <f>Q109+Q110</f>
        <v/>
      </c>
      <c r="R111" s="24">
        <f>R109+R110</f>
        <v/>
      </c>
      <c r="S111" s="24">
        <f>S109+S110</f>
        <v/>
      </c>
      <c r="T111" s="24">
        <f>T109+T110</f>
        <v/>
      </c>
      <c r="U111" s="24">
        <f>U109+U110</f>
        <v/>
      </c>
      <c r="V111" s="24">
        <f>V109+V110</f>
        <v/>
      </c>
      <c r="W111" s="24">
        <f>W109+W110</f>
        <v/>
      </c>
      <c r="X111" s="24">
        <f>X109+X110</f>
        <v/>
      </c>
      <c r="Y111" s="24">
        <f>Y109+Y110</f>
        <v/>
      </c>
      <c r="Z111" s="24">
        <f>Z109+Z110</f>
        <v/>
      </c>
      <c r="AA111" s="24">
        <f>AA109+AA110</f>
        <v/>
      </c>
      <c r="AB111" s="24">
        <f>AB109+AB110</f>
        <v/>
      </c>
      <c r="AC111" s="24">
        <f>AC109+AC110</f>
        <v/>
      </c>
      <c r="AD111" s="24">
        <f>AD109+AD110</f>
        <v/>
      </c>
      <c r="AE111" s="24">
        <f>AE109+AE110</f>
        <v/>
      </c>
      <c r="AF111" s="24">
        <f>AF109+AF110</f>
        <v/>
      </c>
    </row>
    <row r="112">
      <c r="A112" s="3" t="inlineStr">
        <is>
          <t>Nuovi clienti: Percorso 6</t>
        </is>
      </c>
      <c r="C112" s="24">
        <f>C111*$C$8</f>
        <v/>
      </c>
      <c r="D112" s="24">
        <f>D111*$C$8</f>
        <v/>
      </c>
      <c r="E112" s="24">
        <f>E111*$C$8</f>
        <v/>
      </c>
      <c r="F112" s="24">
        <f>F111*$C$8</f>
        <v/>
      </c>
      <c r="G112" s="24">
        <f>G111*$C$8</f>
        <v/>
      </c>
      <c r="H112" s="24">
        <f>H111*$C$8</f>
        <v/>
      </c>
      <c r="I112" s="24">
        <f>I111*$C$8</f>
        <v/>
      </c>
      <c r="J112" s="24">
        <f>J111*$C$8</f>
        <v/>
      </c>
      <c r="K112" s="24">
        <f>K111*$C$8</f>
        <v/>
      </c>
      <c r="L112" s="24">
        <f>L111*$C$8</f>
        <v/>
      </c>
      <c r="M112" s="24">
        <f>M111*$C$8</f>
        <v/>
      </c>
      <c r="N112" s="24">
        <f>N111*$C$8</f>
        <v/>
      </c>
      <c r="O112" s="24">
        <f>O111*$C$8</f>
        <v/>
      </c>
      <c r="P112" s="24">
        <f>P111*$C$8</f>
        <v/>
      </c>
      <c r="Q112" s="24">
        <f>Q111*$C$8</f>
        <v/>
      </c>
      <c r="R112" s="24">
        <f>R111*$C$8</f>
        <v/>
      </c>
      <c r="S112" s="24">
        <f>S111*$C$8</f>
        <v/>
      </c>
      <c r="T112" s="24">
        <f>T111*$C$8</f>
        <v/>
      </c>
      <c r="U112" s="24">
        <f>U111*$C$8</f>
        <v/>
      </c>
      <c r="V112" s="24">
        <f>V111*$C$8</f>
        <v/>
      </c>
      <c r="W112" s="24">
        <f>W111*$C$8</f>
        <v/>
      </c>
      <c r="X112" s="24">
        <f>X111*$C$8</f>
        <v/>
      </c>
      <c r="Y112" s="24">
        <f>Y111*$C$8</f>
        <v/>
      </c>
      <c r="Z112" s="24">
        <f>Z111*$C$8</f>
        <v/>
      </c>
      <c r="AA112" s="24">
        <f>AA111*$C$8</f>
        <v/>
      </c>
      <c r="AB112" s="24">
        <f>AB111*$C$8</f>
        <v/>
      </c>
      <c r="AC112" s="24">
        <f>AC111*$C$8</f>
        <v/>
      </c>
      <c r="AD112" s="24">
        <f>AD111*$C$8</f>
        <v/>
      </c>
      <c r="AE112" s="24">
        <f>AE111*$C$8</f>
        <v/>
      </c>
      <c r="AF112" s="24">
        <f>AF111*$C$8</f>
        <v/>
      </c>
    </row>
    <row r="113">
      <c r="A113" s="3" t="inlineStr">
        <is>
          <t>Nuovi clienti: Percorso 3</t>
        </is>
      </c>
      <c r="C113" s="24">
        <f>C111*$C$9</f>
        <v/>
      </c>
      <c r="D113" s="24">
        <f>D111*$C$9</f>
        <v/>
      </c>
      <c r="E113" s="24">
        <f>E111*$C$9</f>
        <v/>
      </c>
      <c r="F113" s="24">
        <f>F111*$C$9</f>
        <v/>
      </c>
      <c r="G113" s="24">
        <f>G111*$C$9</f>
        <v/>
      </c>
      <c r="H113" s="24">
        <f>H111*$C$9</f>
        <v/>
      </c>
      <c r="I113" s="24">
        <f>I111*$C$9</f>
        <v/>
      </c>
      <c r="J113" s="24">
        <f>J111*$C$9</f>
        <v/>
      </c>
      <c r="K113" s="24">
        <f>K111*$C$9</f>
        <v/>
      </c>
      <c r="L113" s="24">
        <f>L111*$C$9</f>
        <v/>
      </c>
      <c r="M113" s="24">
        <f>M111*$C$9</f>
        <v/>
      </c>
      <c r="N113" s="24">
        <f>N111*$C$9</f>
        <v/>
      </c>
      <c r="O113" s="24">
        <f>O111*$C$9</f>
        <v/>
      </c>
      <c r="P113" s="24">
        <f>P111*$C$9</f>
        <v/>
      </c>
      <c r="Q113" s="24">
        <f>Q111*$C$9</f>
        <v/>
      </c>
      <c r="R113" s="24">
        <f>R111*$C$9</f>
        <v/>
      </c>
      <c r="S113" s="24">
        <f>S111*$C$9</f>
        <v/>
      </c>
      <c r="T113" s="24">
        <f>T111*$C$9</f>
        <v/>
      </c>
      <c r="U113" s="24">
        <f>U111*$C$9</f>
        <v/>
      </c>
      <c r="V113" s="24">
        <f>V111*$C$9</f>
        <v/>
      </c>
      <c r="W113" s="24">
        <f>W111*$C$9</f>
        <v/>
      </c>
      <c r="X113" s="24">
        <f>X111*$C$9</f>
        <v/>
      </c>
      <c r="Y113" s="24">
        <f>Y111*$C$9</f>
        <v/>
      </c>
      <c r="Z113" s="24">
        <f>Z111*$C$9</f>
        <v/>
      </c>
      <c r="AA113" s="24">
        <f>AA111*$C$9</f>
        <v/>
      </c>
      <c r="AB113" s="24">
        <f>AB111*$C$9</f>
        <v/>
      </c>
      <c r="AC113" s="24">
        <f>AC111*$C$9</f>
        <v/>
      </c>
      <c r="AD113" s="24">
        <f>AD111*$C$9</f>
        <v/>
      </c>
      <c r="AE113" s="24">
        <f>AE111*$C$9</f>
        <v/>
      </c>
      <c r="AF113" s="24">
        <f>AF111*$C$9</f>
        <v/>
      </c>
    </row>
    <row r="114">
      <c r="A114" s="3" t="inlineStr">
        <is>
          <t>Nuovi clienti: Abbonamento</t>
        </is>
      </c>
      <c r="C114" s="24">
        <f>C111*$C$10</f>
        <v/>
      </c>
      <c r="D114" s="24">
        <f>D111*$C$10</f>
        <v/>
      </c>
      <c r="E114" s="24">
        <f>E111*$C$10</f>
        <v/>
      </c>
      <c r="F114" s="24">
        <f>F111*$C$10</f>
        <v/>
      </c>
      <c r="G114" s="24">
        <f>G111*$C$10</f>
        <v/>
      </c>
      <c r="H114" s="24">
        <f>H111*$C$10</f>
        <v/>
      </c>
      <c r="I114" s="24">
        <f>I111*$C$10</f>
        <v/>
      </c>
      <c r="J114" s="24">
        <f>J111*$C$10</f>
        <v/>
      </c>
      <c r="K114" s="24">
        <f>K111*$C$10</f>
        <v/>
      </c>
      <c r="L114" s="24">
        <f>L111*$C$10</f>
        <v/>
      </c>
      <c r="M114" s="24">
        <f>M111*$C$10</f>
        <v/>
      </c>
      <c r="N114" s="24">
        <f>N111*$C$10</f>
        <v/>
      </c>
      <c r="O114" s="24">
        <f>O111*$C$10</f>
        <v/>
      </c>
      <c r="P114" s="24">
        <f>P111*$C$10</f>
        <v/>
      </c>
      <c r="Q114" s="24">
        <f>Q111*$C$10</f>
        <v/>
      </c>
      <c r="R114" s="24">
        <f>R111*$C$10</f>
        <v/>
      </c>
      <c r="S114" s="24">
        <f>S111*$C$10</f>
        <v/>
      </c>
      <c r="T114" s="24">
        <f>T111*$C$10</f>
        <v/>
      </c>
      <c r="U114" s="24">
        <f>U111*$C$10</f>
        <v/>
      </c>
      <c r="V114" s="24">
        <f>V111*$C$10</f>
        <v/>
      </c>
      <c r="W114" s="24">
        <f>W111*$C$10</f>
        <v/>
      </c>
      <c r="X114" s="24">
        <f>X111*$C$10</f>
        <v/>
      </c>
      <c r="Y114" s="24">
        <f>Y111*$C$10</f>
        <v/>
      </c>
      <c r="Z114" s="24">
        <f>Z111*$C$10</f>
        <v/>
      </c>
      <c r="AA114" s="24">
        <f>AA111*$C$10</f>
        <v/>
      </c>
      <c r="AB114" s="24">
        <f>AB111*$C$10</f>
        <v/>
      </c>
      <c r="AC114" s="24">
        <f>AC111*$C$10</f>
        <v/>
      </c>
      <c r="AD114" s="24">
        <f>AD111*$C$10</f>
        <v/>
      </c>
      <c r="AE114" s="24">
        <f>AE111*$C$10</f>
        <v/>
      </c>
      <c r="AF114" s="24">
        <f>AF111*$C$10</f>
        <v/>
      </c>
    </row>
    <row r="115">
      <c r="A115" s="3" t="inlineStr">
        <is>
          <t>Nuovi clienti: Singolo</t>
        </is>
      </c>
      <c r="C115" s="24">
        <f>C111*$C$11</f>
        <v/>
      </c>
      <c r="D115" s="24">
        <f>D111*$C$11</f>
        <v/>
      </c>
      <c r="E115" s="24">
        <f>E111*$C$11</f>
        <v/>
      </c>
      <c r="F115" s="24">
        <f>F111*$C$11</f>
        <v/>
      </c>
      <c r="G115" s="24">
        <f>G111*$C$11</f>
        <v/>
      </c>
      <c r="H115" s="24">
        <f>H111*$C$11</f>
        <v/>
      </c>
      <c r="I115" s="24">
        <f>I111*$C$11</f>
        <v/>
      </c>
      <c r="J115" s="24">
        <f>J111*$C$11</f>
        <v/>
      </c>
      <c r="K115" s="24">
        <f>K111*$C$11</f>
        <v/>
      </c>
      <c r="L115" s="24">
        <f>L111*$C$11</f>
        <v/>
      </c>
      <c r="M115" s="24">
        <f>M111*$C$11</f>
        <v/>
      </c>
      <c r="N115" s="24">
        <f>N111*$C$11</f>
        <v/>
      </c>
      <c r="O115" s="24">
        <f>O111*$C$11</f>
        <v/>
      </c>
      <c r="P115" s="24">
        <f>P111*$C$11</f>
        <v/>
      </c>
      <c r="Q115" s="24">
        <f>Q111*$C$11</f>
        <v/>
      </c>
      <c r="R115" s="24">
        <f>R111*$C$11</f>
        <v/>
      </c>
      <c r="S115" s="24">
        <f>S111*$C$11</f>
        <v/>
      </c>
      <c r="T115" s="24">
        <f>T111*$C$11</f>
        <v/>
      </c>
      <c r="U115" s="24">
        <f>U111*$C$11</f>
        <v/>
      </c>
      <c r="V115" s="24">
        <f>V111*$C$11</f>
        <v/>
      </c>
      <c r="W115" s="24">
        <f>W111*$C$11</f>
        <v/>
      </c>
      <c r="X115" s="24">
        <f>X111*$C$11</f>
        <v/>
      </c>
      <c r="Y115" s="24">
        <f>Y111*$C$11</f>
        <v/>
      </c>
      <c r="Z115" s="24">
        <f>Z111*$C$11</f>
        <v/>
      </c>
      <c r="AA115" s="24">
        <f>AA111*$C$11</f>
        <v/>
      </c>
      <c r="AB115" s="24">
        <f>AB111*$C$11</f>
        <v/>
      </c>
      <c r="AC115" s="24">
        <f>AC111*$C$11</f>
        <v/>
      </c>
      <c r="AD115" s="24">
        <f>AD111*$C$11</f>
        <v/>
      </c>
      <c r="AE115" s="24">
        <f>AE111*$C$11</f>
        <v/>
      </c>
      <c r="AF115" s="24">
        <f>AF111*$C$11</f>
        <v/>
      </c>
    </row>
    <row r="116">
      <c r="A116" s="3" t="inlineStr">
        <is>
          <t>Creatività e gestione campagne</t>
        </is>
      </c>
      <c r="B116" s="4" t="inlineStr">
        <is>
          <t>€</t>
        </is>
      </c>
      <c r="C116" s="20">
        <f>IF(C107&gt;0,$C$38,0)</f>
        <v/>
      </c>
      <c r="D116" s="20">
        <f>IF(D107&gt;0,$C$38,0)</f>
        <v/>
      </c>
      <c r="E116" s="20">
        <f>IF(E107&gt;0,$C$38,0)</f>
        <v/>
      </c>
      <c r="F116" s="20">
        <f>IF(F107&gt;0,$C$38,0)</f>
        <v/>
      </c>
      <c r="G116" s="20">
        <f>IF(G107&gt;0,$C$38,0)</f>
        <v/>
      </c>
      <c r="H116" s="20">
        <f>IF(H107&gt;0,$C$38,0)</f>
        <v/>
      </c>
      <c r="I116" s="20">
        <f>IF(I107&gt;0,$C$38,0)</f>
        <v/>
      </c>
      <c r="J116" s="20">
        <f>IF(J107&gt;0,$C$38,0)</f>
        <v/>
      </c>
      <c r="K116" s="20">
        <f>IF(K107&gt;0,$C$38,0)</f>
        <v/>
      </c>
      <c r="L116" s="20">
        <f>IF(L107&gt;0,$C$38,0)</f>
        <v/>
      </c>
      <c r="M116" s="20">
        <f>IF(M107&gt;0,$C$38,0)</f>
        <v/>
      </c>
      <c r="N116" s="20">
        <f>IF(N107&gt;0,$C$38,0)</f>
        <v/>
      </c>
      <c r="O116" s="20">
        <f>IF(O107&gt;0,$C$38,0)</f>
        <v/>
      </c>
      <c r="P116" s="20">
        <f>IF(P107&gt;0,$C$38,0)</f>
        <v/>
      </c>
      <c r="Q116" s="20">
        <f>IF(Q107&gt;0,$C$38,0)</f>
        <v/>
      </c>
      <c r="R116" s="20">
        <f>IF(R107&gt;0,$C$38,0)</f>
        <v/>
      </c>
      <c r="S116" s="20">
        <f>IF(S107&gt;0,$C$38,0)</f>
        <v/>
      </c>
      <c r="T116" s="20">
        <f>IF(T107&gt;0,$C$38,0)</f>
        <v/>
      </c>
      <c r="U116" s="20">
        <f>IF(U107&gt;0,$C$38,0)</f>
        <v/>
      </c>
      <c r="V116" s="20">
        <f>IF(V107&gt;0,$C$38,0)</f>
        <v/>
      </c>
      <c r="W116" s="20">
        <f>IF(W107&gt;0,$C$38,0)</f>
        <v/>
      </c>
      <c r="X116" s="20">
        <f>IF(X107&gt;0,$C$38,0)</f>
        <v/>
      </c>
      <c r="Y116" s="20">
        <f>IF(Y107&gt;0,$C$38,0)</f>
        <v/>
      </c>
      <c r="Z116" s="20">
        <f>IF(Z107&gt;0,$C$38,0)</f>
        <v/>
      </c>
      <c r="AA116" s="20">
        <f>IF(AA107&gt;0,$C$38,0)</f>
        <v/>
      </c>
      <c r="AB116" s="20">
        <f>IF(AB107&gt;0,$C$38,0)</f>
        <v/>
      </c>
      <c r="AC116" s="20">
        <f>IF(AC107&gt;0,$C$38,0)</f>
        <v/>
      </c>
      <c r="AD116" s="20">
        <f>IF(AD107&gt;0,$C$38,0)</f>
        <v/>
      </c>
      <c r="AE116" s="20">
        <f>IF(AE107&gt;0,$C$38,0)</f>
        <v/>
      </c>
      <c r="AF116" s="20">
        <f>IF(AF107&gt;0,$C$38,0)</f>
        <v/>
      </c>
    </row>
    <row r="118">
      <c r="A118" s="10" t="inlineStr">
        <is>
          <t>Percorso 6: ordini per coorte (righe = mese di acquisizione, colonne = mese di calendario)</t>
        </is>
      </c>
    </row>
    <row r="119">
      <c r="A119" s="4" t="inlineStr">
        <is>
          <t>Coorte del mese 1</t>
        </is>
      </c>
      <c r="C119" s="24">
        <f>$C$112*INDEX($C$93:$AL$93,1,1)</f>
        <v/>
      </c>
      <c r="D119" s="24">
        <f>$C$112*INDEX($C$93:$AL$93,1,2)</f>
        <v/>
      </c>
      <c r="E119" s="24">
        <f>$C$112*INDEX($C$93:$AL$93,1,3)</f>
        <v/>
      </c>
      <c r="F119" s="24">
        <f>$C$112*INDEX($C$93:$AL$93,1,4)</f>
        <v/>
      </c>
      <c r="G119" s="24">
        <f>$C$112*INDEX($C$93:$AL$93,1,5)</f>
        <v/>
      </c>
      <c r="H119" s="24">
        <f>$C$112*INDEX($C$93:$AL$93,1,6)</f>
        <v/>
      </c>
      <c r="I119" s="24">
        <f>$C$112*INDEX($C$93:$AL$93,1,7)</f>
        <v/>
      </c>
      <c r="J119" s="24">
        <f>$C$112*INDEX($C$93:$AL$93,1,8)</f>
        <v/>
      </c>
      <c r="K119" s="24">
        <f>$C$112*INDEX($C$93:$AL$93,1,9)</f>
        <v/>
      </c>
      <c r="L119" s="24">
        <f>$C$112*INDEX($C$93:$AL$93,1,10)</f>
        <v/>
      </c>
      <c r="M119" s="24">
        <f>$C$112*INDEX($C$93:$AL$93,1,11)</f>
        <v/>
      </c>
      <c r="N119" s="24">
        <f>$C$112*INDEX($C$93:$AL$93,1,12)</f>
        <v/>
      </c>
      <c r="O119" s="24">
        <f>$C$112*INDEX($C$93:$AL$93,1,13)</f>
        <v/>
      </c>
      <c r="P119" s="24">
        <f>$C$112*INDEX($C$93:$AL$93,1,14)</f>
        <v/>
      </c>
      <c r="Q119" s="24">
        <f>$C$112*INDEX($C$93:$AL$93,1,15)</f>
        <v/>
      </c>
      <c r="R119" s="24">
        <f>$C$112*INDEX($C$93:$AL$93,1,16)</f>
        <v/>
      </c>
      <c r="S119" s="24">
        <f>$C$112*INDEX($C$93:$AL$93,1,17)</f>
        <v/>
      </c>
      <c r="T119" s="24">
        <f>$C$112*INDEX($C$93:$AL$93,1,18)</f>
        <v/>
      </c>
      <c r="U119" s="24">
        <f>$C$112*INDEX($C$93:$AL$93,1,19)</f>
        <v/>
      </c>
      <c r="V119" s="24">
        <f>$C$112*INDEX($C$93:$AL$93,1,20)</f>
        <v/>
      </c>
      <c r="W119" s="24">
        <f>$C$112*INDEX($C$93:$AL$93,1,21)</f>
        <v/>
      </c>
      <c r="X119" s="24">
        <f>$C$112*INDEX($C$93:$AL$93,1,22)</f>
        <v/>
      </c>
      <c r="Y119" s="24">
        <f>$C$112*INDEX($C$93:$AL$93,1,23)</f>
        <v/>
      </c>
      <c r="Z119" s="24">
        <f>$C$112*INDEX($C$93:$AL$93,1,24)</f>
        <v/>
      </c>
      <c r="AA119" s="24">
        <f>$C$112*INDEX($C$93:$AL$93,1,25)</f>
        <v/>
      </c>
      <c r="AB119" s="24">
        <f>$C$112*INDEX($C$93:$AL$93,1,26)</f>
        <v/>
      </c>
      <c r="AC119" s="24">
        <f>$C$112*INDEX($C$93:$AL$93,1,27)</f>
        <v/>
      </c>
      <c r="AD119" s="24">
        <f>$C$112*INDEX($C$93:$AL$93,1,28)</f>
        <v/>
      </c>
      <c r="AE119" s="24">
        <f>$C$112*INDEX($C$93:$AL$93,1,29)</f>
        <v/>
      </c>
      <c r="AF119" s="24">
        <f>$C$112*INDEX($C$93:$AL$93,1,30)</f>
        <v/>
      </c>
    </row>
    <row r="120">
      <c r="A120" s="4" t="inlineStr">
        <is>
          <t>Coorte del mese 2</t>
        </is>
      </c>
      <c r="C120" s="24" t="n">
        <v>0</v>
      </c>
      <c r="D120" s="24">
        <f>$D$112*INDEX($C$93:$AL$93,1,1)</f>
        <v/>
      </c>
      <c r="E120" s="24">
        <f>$D$112*INDEX($C$93:$AL$93,1,2)</f>
        <v/>
      </c>
      <c r="F120" s="24">
        <f>$D$112*INDEX($C$93:$AL$93,1,3)</f>
        <v/>
      </c>
      <c r="G120" s="24">
        <f>$D$112*INDEX($C$93:$AL$93,1,4)</f>
        <v/>
      </c>
      <c r="H120" s="24">
        <f>$D$112*INDEX($C$93:$AL$93,1,5)</f>
        <v/>
      </c>
      <c r="I120" s="24">
        <f>$D$112*INDEX($C$93:$AL$93,1,6)</f>
        <v/>
      </c>
      <c r="J120" s="24">
        <f>$D$112*INDEX($C$93:$AL$93,1,7)</f>
        <v/>
      </c>
      <c r="K120" s="24">
        <f>$D$112*INDEX($C$93:$AL$93,1,8)</f>
        <v/>
      </c>
      <c r="L120" s="24">
        <f>$D$112*INDEX($C$93:$AL$93,1,9)</f>
        <v/>
      </c>
      <c r="M120" s="24">
        <f>$D$112*INDEX($C$93:$AL$93,1,10)</f>
        <v/>
      </c>
      <c r="N120" s="24">
        <f>$D$112*INDEX($C$93:$AL$93,1,11)</f>
        <v/>
      </c>
      <c r="O120" s="24">
        <f>$D$112*INDEX($C$93:$AL$93,1,12)</f>
        <v/>
      </c>
      <c r="P120" s="24">
        <f>$D$112*INDEX($C$93:$AL$93,1,13)</f>
        <v/>
      </c>
      <c r="Q120" s="24">
        <f>$D$112*INDEX($C$93:$AL$93,1,14)</f>
        <v/>
      </c>
      <c r="R120" s="24">
        <f>$D$112*INDEX($C$93:$AL$93,1,15)</f>
        <v/>
      </c>
      <c r="S120" s="24">
        <f>$D$112*INDEX($C$93:$AL$93,1,16)</f>
        <v/>
      </c>
      <c r="T120" s="24">
        <f>$D$112*INDEX($C$93:$AL$93,1,17)</f>
        <v/>
      </c>
      <c r="U120" s="24">
        <f>$D$112*INDEX($C$93:$AL$93,1,18)</f>
        <v/>
      </c>
      <c r="V120" s="24">
        <f>$D$112*INDEX($C$93:$AL$93,1,19)</f>
        <v/>
      </c>
      <c r="W120" s="24">
        <f>$D$112*INDEX($C$93:$AL$93,1,20)</f>
        <v/>
      </c>
      <c r="X120" s="24">
        <f>$D$112*INDEX($C$93:$AL$93,1,21)</f>
        <v/>
      </c>
      <c r="Y120" s="24">
        <f>$D$112*INDEX($C$93:$AL$93,1,22)</f>
        <v/>
      </c>
      <c r="Z120" s="24">
        <f>$D$112*INDEX($C$93:$AL$93,1,23)</f>
        <v/>
      </c>
      <c r="AA120" s="24">
        <f>$D$112*INDEX($C$93:$AL$93,1,24)</f>
        <v/>
      </c>
      <c r="AB120" s="24">
        <f>$D$112*INDEX($C$93:$AL$93,1,25)</f>
        <v/>
      </c>
      <c r="AC120" s="24">
        <f>$D$112*INDEX($C$93:$AL$93,1,26)</f>
        <v/>
      </c>
      <c r="AD120" s="24">
        <f>$D$112*INDEX($C$93:$AL$93,1,27)</f>
        <v/>
      </c>
      <c r="AE120" s="24">
        <f>$D$112*INDEX($C$93:$AL$93,1,28)</f>
        <v/>
      </c>
      <c r="AF120" s="24">
        <f>$D$112*INDEX($C$93:$AL$93,1,29)</f>
        <v/>
      </c>
    </row>
    <row r="121">
      <c r="A121" s="4" t="inlineStr">
        <is>
          <t>Coorte del mese 3</t>
        </is>
      </c>
      <c r="C121" s="24" t="n">
        <v>0</v>
      </c>
      <c r="D121" s="24" t="n">
        <v>0</v>
      </c>
      <c r="E121" s="24">
        <f>$E$112*INDEX($C$93:$AL$93,1,1)</f>
        <v/>
      </c>
      <c r="F121" s="24">
        <f>$E$112*INDEX($C$93:$AL$93,1,2)</f>
        <v/>
      </c>
      <c r="G121" s="24">
        <f>$E$112*INDEX($C$93:$AL$93,1,3)</f>
        <v/>
      </c>
      <c r="H121" s="24">
        <f>$E$112*INDEX($C$93:$AL$93,1,4)</f>
        <v/>
      </c>
      <c r="I121" s="24">
        <f>$E$112*INDEX($C$93:$AL$93,1,5)</f>
        <v/>
      </c>
      <c r="J121" s="24">
        <f>$E$112*INDEX($C$93:$AL$93,1,6)</f>
        <v/>
      </c>
      <c r="K121" s="24">
        <f>$E$112*INDEX($C$93:$AL$93,1,7)</f>
        <v/>
      </c>
      <c r="L121" s="24">
        <f>$E$112*INDEX($C$93:$AL$93,1,8)</f>
        <v/>
      </c>
      <c r="M121" s="24">
        <f>$E$112*INDEX($C$93:$AL$93,1,9)</f>
        <v/>
      </c>
      <c r="N121" s="24">
        <f>$E$112*INDEX($C$93:$AL$93,1,10)</f>
        <v/>
      </c>
      <c r="O121" s="24">
        <f>$E$112*INDEX($C$93:$AL$93,1,11)</f>
        <v/>
      </c>
      <c r="P121" s="24">
        <f>$E$112*INDEX($C$93:$AL$93,1,12)</f>
        <v/>
      </c>
      <c r="Q121" s="24">
        <f>$E$112*INDEX($C$93:$AL$93,1,13)</f>
        <v/>
      </c>
      <c r="R121" s="24">
        <f>$E$112*INDEX($C$93:$AL$93,1,14)</f>
        <v/>
      </c>
      <c r="S121" s="24">
        <f>$E$112*INDEX($C$93:$AL$93,1,15)</f>
        <v/>
      </c>
      <c r="T121" s="24">
        <f>$E$112*INDEX($C$93:$AL$93,1,16)</f>
        <v/>
      </c>
      <c r="U121" s="24">
        <f>$E$112*INDEX($C$93:$AL$93,1,17)</f>
        <v/>
      </c>
      <c r="V121" s="24">
        <f>$E$112*INDEX($C$93:$AL$93,1,18)</f>
        <v/>
      </c>
      <c r="W121" s="24">
        <f>$E$112*INDEX($C$93:$AL$93,1,19)</f>
        <v/>
      </c>
      <c r="X121" s="24">
        <f>$E$112*INDEX($C$93:$AL$93,1,20)</f>
        <v/>
      </c>
      <c r="Y121" s="24">
        <f>$E$112*INDEX($C$93:$AL$93,1,21)</f>
        <v/>
      </c>
      <c r="Z121" s="24">
        <f>$E$112*INDEX($C$93:$AL$93,1,22)</f>
        <v/>
      </c>
      <c r="AA121" s="24">
        <f>$E$112*INDEX($C$93:$AL$93,1,23)</f>
        <v/>
      </c>
      <c r="AB121" s="24">
        <f>$E$112*INDEX($C$93:$AL$93,1,24)</f>
        <v/>
      </c>
      <c r="AC121" s="24">
        <f>$E$112*INDEX($C$93:$AL$93,1,25)</f>
        <v/>
      </c>
      <c r="AD121" s="24">
        <f>$E$112*INDEX($C$93:$AL$93,1,26)</f>
        <v/>
      </c>
      <c r="AE121" s="24">
        <f>$E$112*INDEX($C$93:$AL$93,1,27)</f>
        <v/>
      </c>
      <c r="AF121" s="24">
        <f>$E$112*INDEX($C$93:$AL$93,1,28)</f>
        <v/>
      </c>
    </row>
    <row r="122">
      <c r="A122" s="4" t="inlineStr">
        <is>
          <t>Coorte del mese 4</t>
        </is>
      </c>
      <c r="C122" s="24" t="n">
        <v>0</v>
      </c>
      <c r="D122" s="24" t="n">
        <v>0</v>
      </c>
      <c r="E122" s="24" t="n">
        <v>0</v>
      </c>
      <c r="F122" s="24">
        <f>$F$112*INDEX($C$93:$AL$93,1,1)</f>
        <v/>
      </c>
      <c r="G122" s="24">
        <f>$F$112*INDEX($C$93:$AL$93,1,2)</f>
        <v/>
      </c>
      <c r="H122" s="24">
        <f>$F$112*INDEX($C$93:$AL$93,1,3)</f>
        <v/>
      </c>
      <c r="I122" s="24">
        <f>$F$112*INDEX($C$93:$AL$93,1,4)</f>
        <v/>
      </c>
      <c r="J122" s="24">
        <f>$F$112*INDEX($C$93:$AL$93,1,5)</f>
        <v/>
      </c>
      <c r="K122" s="24">
        <f>$F$112*INDEX($C$93:$AL$93,1,6)</f>
        <v/>
      </c>
      <c r="L122" s="24">
        <f>$F$112*INDEX($C$93:$AL$93,1,7)</f>
        <v/>
      </c>
      <c r="M122" s="24">
        <f>$F$112*INDEX($C$93:$AL$93,1,8)</f>
        <v/>
      </c>
      <c r="N122" s="24">
        <f>$F$112*INDEX($C$93:$AL$93,1,9)</f>
        <v/>
      </c>
      <c r="O122" s="24">
        <f>$F$112*INDEX($C$93:$AL$93,1,10)</f>
        <v/>
      </c>
      <c r="P122" s="24">
        <f>$F$112*INDEX($C$93:$AL$93,1,11)</f>
        <v/>
      </c>
      <c r="Q122" s="24">
        <f>$F$112*INDEX($C$93:$AL$93,1,12)</f>
        <v/>
      </c>
      <c r="R122" s="24">
        <f>$F$112*INDEX($C$93:$AL$93,1,13)</f>
        <v/>
      </c>
      <c r="S122" s="24">
        <f>$F$112*INDEX($C$93:$AL$93,1,14)</f>
        <v/>
      </c>
      <c r="T122" s="24">
        <f>$F$112*INDEX($C$93:$AL$93,1,15)</f>
        <v/>
      </c>
      <c r="U122" s="24">
        <f>$F$112*INDEX($C$93:$AL$93,1,16)</f>
        <v/>
      </c>
      <c r="V122" s="24">
        <f>$F$112*INDEX($C$93:$AL$93,1,17)</f>
        <v/>
      </c>
      <c r="W122" s="24">
        <f>$F$112*INDEX($C$93:$AL$93,1,18)</f>
        <v/>
      </c>
      <c r="X122" s="24">
        <f>$F$112*INDEX($C$93:$AL$93,1,19)</f>
        <v/>
      </c>
      <c r="Y122" s="24">
        <f>$F$112*INDEX($C$93:$AL$93,1,20)</f>
        <v/>
      </c>
      <c r="Z122" s="24">
        <f>$F$112*INDEX($C$93:$AL$93,1,21)</f>
        <v/>
      </c>
      <c r="AA122" s="24">
        <f>$F$112*INDEX($C$93:$AL$93,1,22)</f>
        <v/>
      </c>
      <c r="AB122" s="24">
        <f>$F$112*INDEX($C$93:$AL$93,1,23)</f>
        <v/>
      </c>
      <c r="AC122" s="24">
        <f>$F$112*INDEX($C$93:$AL$93,1,24)</f>
        <v/>
      </c>
      <c r="AD122" s="24">
        <f>$F$112*INDEX($C$93:$AL$93,1,25)</f>
        <v/>
      </c>
      <c r="AE122" s="24">
        <f>$F$112*INDEX($C$93:$AL$93,1,26)</f>
        <v/>
      </c>
      <c r="AF122" s="24">
        <f>$F$112*INDEX($C$93:$AL$93,1,27)</f>
        <v/>
      </c>
    </row>
    <row r="123">
      <c r="A123" s="4" t="inlineStr">
        <is>
          <t>Coorte del mese 5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>
        <f>$G$112*INDEX($C$93:$AL$93,1,1)</f>
        <v/>
      </c>
      <c r="H123" s="24">
        <f>$G$112*INDEX($C$93:$AL$93,1,2)</f>
        <v/>
      </c>
      <c r="I123" s="24">
        <f>$G$112*INDEX($C$93:$AL$93,1,3)</f>
        <v/>
      </c>
      <c r="J123" s="24">
        <f>$G$112*INDEX($C$93:$AL$93,1,4)</f>
        <v/>
      </c>
      <c r="K123" s="24">
        <f>$G$112*INDEX($C$93:$AL$93,1,5)</f>
        <v/>
      </c>
      <c r="L123" s="24">
        <f>$G$112*INDEX($C$93:$AL$93,1,6)</f>
        <v/>
      </c>
      <c r="M123" s="24">
        <f>$G$112*INDEX($C$93:$AL$93,1,7)</f>
        <v/>
      </c>
      <c r="N123" s="24">
        <f>$G$112*INDEX($C$93:$AL$93,1,8)</f>
        <v/>
      </c>
      <c r="O123" s="24">
        <f>$G$112*INDEX($C$93:$AL$93,1,9)</f>
        <v/>
      </c>
      <c r="P123" s="24">
        <f>$G$112*INDEX($C$93:$AL$93,1,10)</f>
        <v/>
      </c>
      <c r="Q123" s="24">
        <f>$G$112*INDEX($C$93:$AL$93,1,11)</f>
        <v/>
      </c>
      <c r="R123" s="24">
        <f>$G$112*INDEX($C$93:$AL$93,1,12)</f>
        <v/>
      </c>
      <c r="S123" s="24">
        <f>$G$112*INDEX($C$93:$AL$93,1,13)</f>
        <v/>
      </c>
      <c r="T123" s="24">
        <f>$G$112*INDEX($C$93:$AL$93,1,14)</f>
        <v/>
      </c>
      <c r="U123" s="24">
        <f>$G$112*INDEX($C$93:$AL$93,1,15)</f>
        <v/>
      </c>
      <c r="V123" s="24">
        <f>$G$112*INDEX($C$93:$AL$93,1,16)</f>
        <v/>
      </c>
      <c r="W123" s="24">
        <f>$G$112*INDEX($C$93:$AL$93,1,17)</f>
        <v/>
      </c>
      <c r="X123" s="24">
        <f>$G$112*INDEX($C$93:$AL$93,1,18)</f>
        <v/>
      </c>
      <c r="Y123" s="24">
        <f>$G$112*INDEX($C$93:$AL$93,1,19)</f>
        <v/>
      </c>
      <c r="Z123" s="24">
        <f>$G$112*INDEX($C$93:$AL$93,1,20)</f>
        <v/>
      </c>
      <c r="AA123" s="24">
        <f>$G$112*INDEX($C$93:$AL$93,1,21)</f>
        <v/>
      </c>
      <c r="AB123" s="24">
        <f>$G$112*INDEX($C$93:$AL$93,1,22)</f>
        <v/>
      </c>
      <c r="AC123" s="24">
        <f>$G$112*INDEX($C$93:$AL$93,1,23)</f>
        <v/>
      </c>
      <c r="AD123" s="24">
        <f>$G$112*INDEX($C$93:$AL$93,1,24)</f>
        <v/>
      </c>
      <c r="AE123" s="24">
        <f>$G$112*INDEX($C$93:$AL$93,1,25)</f>
        <v/>
      </c>
      <c r="AF123" s="24">
        <f>$G$112*INDEX($C$93:$AL$93,1,26)</f>
        <v/>
      </c>
    </row>
    <row r="124">
      <c r="A124" s="4" t="inlineStr">
        <is>
          <t>Coorte del mese 6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>
        <f>$H$112*INDEX($C$93:$AL$93,1,1)</f>
        <v/>
      </c>
      <c r="I124" s="24">
        <f>$H$112*INDEX($C$93:$AL$93,1,2)</f>
        <v/>
      </c>
      <c r="J124" s="24">
        <f>$H$112*INDEX($C$93:$AL$93,1,3)</f>
        <v/>
      </c>
      <c r="K124" s="24">
        <f>$H$112*INDEX($C$93:$AL$93,1,4)</f>
        <v/>
      </c>
      <c r="L124" s="24">
        <f>$H$112*INDEX($C$93:$AL$93,1,5)</f>
        <v/>
      </c>
      <c r="M124" s="24">
        <f>$H$112*INDEX($C$93:$AL$93,1,6)</f>
        <v/>
      </c>
      <c r="N124" s="24">
        <f>$H$112*INDEX($C$93:$AL$93,1,7)</f>
        <v/>
      </c>
      <c r="O124" s="24">
        <f>$H$112*INDEX($C$93:$AL$93,1,8)</f>
        <v/>
      </c>
      <c r="P124" s="24">
        <f>$H$112*INDEX($C$93:$AL$93,1,9)</f>
        <v/>
      </c>
      <c r="Q124" s="24">
        <f>$H$112*INDEX($C$93:$AL$93,1,10)</f>
        <v/>
      </c>
      <c r="R124" s="24">
        <f>$H$112*INDEX($C$93:$AL$93,1,11)</f>
        <v/>
      </c>
      <c r="S124" s="24">
        <f>$H$112*INDEX($C$93:$AL$93,1,12)</f>
        <v/>
      </c>
      <c r="T124" s="24">
        <f>$H$112*INDEX($C$93:$AL$93,1,13)</f>
        <v/>
      </c>
      <c r="U124" s="24">
        <f>$H$112*INDEX($C$93:$AL$93,1,14)</f>
        <v/>
      </c>
      <c r="V124" s="24">
        <f>$H$112*INDEX($C$93:$AL$93,1,15)</f>
        <v/>
      </c>
      <c r="W124" s="24">
        <f>$H$112*INDEX($C$93:$AL$93,1,16)</f>
        <v/>
      </c>
      <c r="X124" s="24">
        <f>$H$112*INDEX($C$93:$AL$93,1,17)</f>
        <v/>
      </c>
      <c r="Y124" s="24">
        <f>$H$112*INDEX($C$93:$AL$93,1,18)</f>
        <v/>
      </c>
      <c r="Z124" s="24">
        <f>$H$112*INDEX($C$93:$AL$93,1,19)</f>
        <v/>
      </c>
      <c r="AA124" s="24">
        <f>$H$112*INDEX($C$93:$AL$93,1,20)</f>
        <v/>
      </c>
      <c r="AB124" s="24">
        <f>$H$112*INDEX($C$93:$AL$93,1,21)</f>
        <v/>
      </c>
      <c r="AC124" s="24">
        <f>$H$112*INDEX($C$93:$AL$93,1,22)</f>
        <v/>
      </c>
      <c r="AD124" s="24">
        <f>$H$112*INDEX($C$93:$AL$93,1,23)</f>
        <v/>
      </c>
      <c r="AE124" s="24">
        <f>$H$112*INDEX($C$93:$AL$93,1,24)</f>
        <v/>
      </c>
      <c r="AF124" s="24">
        <f>$H$112*INDEX($C$93:$AL$93,1,25)</f>
        <v/>
      </c>
    </row>
    <row r="125">
      <c r="A125" s="4" t="inlineStr">
        <is>
          <t>Coorte del mese 7</t>
        </is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>
        <f>$I$112*INDEX($C$93:$AL$93,1,1)</f>
        <v/>
      </c>
      <c r="J125" s="24">
        <f>$I$112*INDEX($C$93:$AL$93,1,2)</f>
        <v/>
      </c>
      <c r="K125" s="24">
        <f>$I$112*INDEX($C$93:$AL$93,1,3)</f>
        <v/>
      </c>
      <c r="L125" s="24">
        <f>$I$112*INDEX($C$93:$AL$93,1,4)</f>
        <v/>
      </c>
      <c r="M125" s="24">
        <f>$I$112*INDEX($C$93:$AL$93,1,5)</f>
        <v/>
      </c>
      <c r="N125" s="24">
        <f>$I$112*INDEX($C$93:$AL$93,1,6)</f>
        <v/>
      </c>
      <c r="O125" s="24">
        <f>$I$112*INDEX($C$93:$AL$93,1,7)</f>
        <v/>
      </c>
      <c r="P125" s="24">
        <f>$I$112*INDEX($C$93:$AL$93,1,8)</f>
        <v/>
      </c>
      <c r="Q125" s="24">
        <f>$I$112*INDEX($C$93:$AL$93,1,9)</f>
        <v/>
      </c>
      <c r="R125" s="24">
        <f>$I$112*INDEX($C$93:$AL$93,1,10)</f>
        <v/>
      </c>
      <c r="S125" s="24">
        <f>$I$112*INDEX($C$93:$AL$93,1,11)</f>
        <v/>
      </c>
      <c r="T125" s="24">
        <f>$I$112*INDEX($C$93:$AL$93,1,12)</f>
        <v/>
      </c>
      <c r="U125" s="24">
        <f>$I$112*INDEX($C$93:$AL$93,1,13)</f>
        <v/>
      </c>
      <c r="V125" s="24">
        <f>$I$112*INDEX($C$93:$AL$93,1,14)</f>
        <v/>
      </c>
      <c r="W125" s="24">
        <f>$I$112*INDEX($C$93:$AL$93,1,15)</f>
        <v/>
      </c>
      <c r="X125" s="24">
        <f>$I$112*INDEX($C$93:$AL$93,1,16)</f>
        <v/>
      </c>
      <c r="Y125" s="24">
        <f>$I$112*INDEX($C$93:$AL$93,1,17)</f>
        <v/>
      </c>
      <c r="Z125" s="24">
        <f>$I$112*INDEX($C$93:$AL$93,1,18)</f>
        <v/>
      </c>
      <c r="AA125" s="24">
        <f>$I$112*INDEX($C$93:$AL$93,1,19)</f>
        <v/>
      </c>
      <c r="AB125" s="24">
        <f>$I$112*INDEX($C$93:$AL$93,1,20)</f>
        <v/>
      </c>
      <c r="AC125" s="24">
        <f>$I$112*INDEX($C$93:$AL$93,1,21)</f>
        <v/>
      </c>
      <c r="AD125" s="24">
        <f>$I$112*INDEX($C$93:$AL$93,1,22)</f>
        <v/>
      </c>
      <c r="AE125" s="24">
        <f>$I$112*INDEX($C$93:$AL$93,1,23)</f>
        <v/>
      </c>
      <c r="AF125" s="24">
        <f>$I$112*INDEX($C$93:$AL$93,1,24)</f>
        <v/>
      </c>
    </row>
    <row r="126">
      <c r="A126" s="4" t="inlineStr">
        <is>
          <t>Coorte del mese 8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>
        <f>$J$112*INDEX($C$93:$AL$93,1,1)</f>
        <v/>
      </c>
      <c r="K126" s="24">
        <f>$J$112*INDEX($C$93:$AL$93,1,2)</f>
        <v/>
      </c>
      <c r="L126" s="24">
        <f>$J$112*INDEX($C$93:$AL$93,1,3)</f>
        <v/>
      </c>
      <c r="M126" s="24">
        <f>$J$112*INDEX($C$93:$AL$93,1,4)</f>
        <v/>
      </c>
      <c r="N126" s="24">
        <f>$J$112*INDEX($C$93:$AL$93,1,5)</f>
        <v/>
      </c>
      <c r="O126" s="24">
        <f>$J$112*INDEX($C$93:$AL$93,1,6)</f>
        <v/>
      </c>
      <c r="P126" s="24">
        <f>$J$112*INDEX($C$93:$AL$93,1,7)</f>
        <v/>
      </c>
      <c r="Q126" s="24">
        <f>$J$112*INDEX($C$93:$AL$93,1,8)</f>
        <v/>
      </c>
      <c r="R126" s="24">
        <f>$J$112*INDEX($C$93:$AL$93,1,9)</f>
        <v/>
      </c>
      <c r="S126" s="24">
        <f>$J$112*INDEX($C$93:$AL$93,1,10)</f>
        <v/>
      </c>
      <c r="T126" s="24">
        <f>$J$112*INDEX($C$93:$AL$93,1,11)</f>
        <v/>
      </c>
      <c r="U126" s="24">
        <f>$J$112*INDEX($C$93:$AL$93,1,12)</f>
        <v/>
      </c>
      <c r="V126" s="24">
        <f>$J$112*INDEX($C$93:$AL$93,1,13)</f>
        <v/>
      </c>
      <c r="W126" s="24">
        <f>$J$112*INDEX($C$93:$AL$93,1,14)</f>
        <v/>
      </c>
      <c r="X126" s="24">
        <f>$J$112*INDEX($C$93:$AL$93,1,15)</f>
        <v/>
      </c>
      <c r="Y126" s="24">
        <f>$J$112*INDEX($C$93:$AL$93,1,16)</f>
        <v/>
      </c>
      <c r="Z126" s="24">
        <f>$J$112*INDEX($C$93:$AL$93,1,17)</f>
        <v/>
      </c>
      <c r="AA126" s="24">
        <f>$J$112*INDEX($C$93:$AL$93,1,18)</f>
        <v/>
      </c>
      <c r="AB126" s="24">
        <f>$J$112*INDEX($C$93:$AL$93,1,19)</f>
        <v/>
      </c>
      <c r="AC126" s="24">
        <f>$J$112*INDEX($C$93:$AL$93,1,20)</f>
        <v/>
      </c>
      <c r="AD126" s="24">
        <f>$J$112*INDEX($C$93:$AL$93,1,21)</f>
        <v/>
      </c>
      <c r="AE126" s="24">
        <f>$J$112*INDEX($C$93:$AL$93,1,22)</f>
        <v/>
      </c>
      <c r="AF126" s="24">
        <f>$J$112*INDEX($C$93:$AL$93,1,23)</f>
        <v/>
      </c>
    </row>
    <row r="127">
      <c r="A127" s="4" t="inlineStr">
        <is>
          <t>Coorte del mese 9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>
        <f>$K$112*INDEX($C$93:$AL$93,1,1)</f>
        <v/>
      </c>
      <c r="L127" s="24">
        <f>$K$112*INDEX($C$93:$AL$93,1,2)</f>
        <v/>
      </c>
      <c r="M127" s="24">
        <f>$K$112*INDEX($C$93:$AL$93,1,3)</f>
        <v/>
      </c>
      <c r="N127" s="24">
        <f>$K$112*INDEX($C$93:$AL$93,1,4)</f>
        <v/>
      </c>
      <c r="O127" s="24">
        <f>$K$112*INDEX($C$93:$AL$93,1,5)</f>
        <v/>
      </c>
      <c r="P127" s="24">
        <f>$K$112*INDEX($C$93:$AL$93,1,6)</f>
        <v/>
      </c>
      <c r="Q127" s="24">
        <f>$K$112*INDEX($C$93:$AL$93,1,7)</f>
        <v/>
      </c>
      <c r="R127" s="24">
        <f>$K$112*INDEX($C$93:$AL$93,1,8)</f>
        <v/>
      </c>
      <c r="S127" s="24">
        <f>$K$112*INDEX($C$93:$AL$93,1,9)</f>
        <v/>
      </c>
      <c r="T127" s="24">
        <f>$K$112*INDEX($C$93:$AL$93,1,10)</f>
        <v/>
      </c>
      <c r="U127" s="24">
        <f>$K$112*INDEX($C$93:$AL$93,1,11)</f>
        <v/>
      </c>
      <c r="V127" s="24">
        <f>$K$112*INDEX($C$93:$AL$93,1,12)</f>
        <v/>
      </c>
      <c r="W127" s="24">
        <f>$K$112*INDEX($C$93:$AL$93,1,13)</f>
        <v/>
      </c>
      <c r="X127" s="24">
        <f>$K$112*INDEX($C$93:$AL$93,1,14)</f>
        <v/>
      </c>
      <c r="Y127" s="24">
        <f>$K$112*INDEX($C$93:$AL$93,1,15)</f>
        <v/>
      </c>
      <c r="Z127" s="24">
        <f>$K$112*INDEX($C$93:$AL$93,1,16)</f>
        <v/>
      </c>
      <c r="AA127" s="24">
        <f>$K$112*INDEX($C$93:$AL$93,1,17)</f>
        <v/>
      </c>
      <c r="AB127" s="24">
        <f>$K$112*INDEX($C$93:$AL$93,1,18)</f>
        <v/>
      </c>
      <c r="AC127" s="24">
        <f>$K$112*INDEX($C$93:$AL$93,1,19)</f>
        <v/>
      </c>
      <c r="AD127" s="24">
        <f>$K$112*INDEX($C$93:$AL$93,1,20)</f>
        <v/>
      </c>
      <c r="AE127" s="24">
        <f>$K$112*INDEX($C$93:$AL$93,1,21)</f>
        <v/>
      </c>
      <c r="AF127" s="24">
        <f>$K$112*INDEX($C$93:$AL$93,1,22)</f>
        <v/>
      </c>
    </row>
    <row r="128">
      <c r="A128" s="4" t="inlineStr">
        <is>
          <t>Coorte del mese 10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>
        <f>$L$112*INDEX($C$93:$AL$93,1,1)</f>
        <v/>
      </c>
      <c r="M128" s="24">
        <f>$L$112*INDEX($C$93:$AL$93,1,2)</f>
        <v/>
      </c>
      <c r="N128" s="24">
        <f>$L$112*INDEX($C$93:$AL$93,1,3)</f>
        <v/>
      </c>
      <c r="O128" s="24">
        <f>$L$112*INDEX($C$93:$AL$93,1,4)</f>
        <v/>
      </c>
      <c r="P128" s="24">
        <f>$L$112*INDEX($C$93:$AL$93,1,5)</f>
        <v/>
      </c>
      <c r="Q128" s="24">
        <f>$L$112*INDEX($C$93:$AL$93,1,6)</f>
        <v/>
      </c>
      <c r="R128" s="24">
        <f>$L$112*INDEX($C$93:$AL$93,1,7)</f>
        <v/>
      </c>
      <c r="S128" s="24">
        <f>$L$112*INDEX($C$93:$AL$93,1,8)</f>
        <v/>
      </c>
      <c r="T128" s="24">
        <f>$L$112*INDEX($C$93:$AL$93,1,9)</f>
        <v/>
      </c>
      <c r="U128" s="24">
        <f>$L$112*INDEX($C$93:$AL$93,1,10)</f>
        <v/>
      </c>
      <c r="V128" s="24">
        <f>$L$112*INDEX($C$93:$AL$93,1,11)</f>
        <v/>
      </c>
      <c r="W128" s="24">
        <f>$L$112*INDEX($C$93:$AL$93,1,12)</f>
        <v/>
      </c>
      <c r="X128" s="24">
        <f>$L$112*INDEX($C$93:$AL$93,1,13)</f>
        <v/>
      </c>
      <c r="Y128" s="24">
        <f>$L$112*INDEX($C$93:$AL$93,1,14)</f>
        <v/>
      </c>
      <c r="Z128" s="24">
        <f>$L$112*INDEX($C$93:$AL$93,1,15)</f>
        <v/>
      </c>
      <c r="AA128" s="24">
        <f>$L$112*INDEX($C$93:$AL$93,1,16)</f>
        <v/>
      </c>
      <c r="AB128" s="24">
        <f>$L$112*INDEX($C$93:$AL$93,1,17)</f>
        <v/>
      </c>
      <c r="AC128" s="24">
        <f>$L$112*INDEX($C$93:$AL$93,1,18)</f>
        <v/>
      </c>
      <c r="AD128" s="24">
        <f>$L$112*INDEX($C$93:$AL$93,1,19)</f>
        <v/>
      </c>
      <c r="AE128" s="24">
        <f>$L$112*INDEX($C$93:$AL$93,1,20)</f>
        <v/>
      </c>
      <c r="AF128" s="24">
        <f>$L$112*INDEX($C$93:$AL$93,1,21)</f>
        <v/>
      </c>
    </row>
    <row r="129">
      <c r="A129" s="4" t="inlineStr">
        <is>
          <t>Coorte del mese 11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>
        <f>$M$112*INDEX($C$93:$AL$93,1,1)</f>
        <v/>
      </c>
      <c r="N129" s="24">
        <f>$M$112*INDEX($C$93:$AL$93,1,2)</f>
        <v/>
      </c>
      <c r="O129" s="24">
        <f>$M$112*INDEX($C$93:$AL$93,1,3)</f>
        <v/>
      </c>
      <c r="P129" s="24">
        <f>$M$112*INDEX($C$93:$AL$93,1,4)</f>
        <v/>
      </c>
      <c r="Q129" s="24">
        <f>$M$112*INDEX($C$93:$AL$93,1,5)</f>
        <v/>
      </c>
      <c r="R129" s="24">
        <f>$M$112*INDEX($C$93:$AL$93,1,6)</f>
        <v/>
      </c>
      <c r="S129" s="24">
        <f>$M$112*INDEX($C$93:$AL$93,1,7)</f>
        <v/>
      </c>
      <c r="T129" s="24">
        <f>$M$112*INDEX($C$93:$AL$93,1,8)</f>
        <v/>
      </c>
      <c r="U129" s="24">
        <f>$M$112*INDEX($C$93:$AL$93,1,9)</f>
        <v/>
      </c>
      <c r="V129" s="24">
        <f>$M$112*INDEX($C$93:$AL$93,1,10)</f>
        <v/>
      </c>
      <c r="W129" s="24">
        <f>$M$112*INDEX($C$93:$AL$93,1,11)</f>
        <v/>
      </c>
      <c r="X129" s="24">
        <f>$M$112*INDEX($C$93:$AL$93,1,12)</f>
        <v/>
      </c>
      <c r="Y129" s="24">
        <f>$M$112*INDEX($C$93:$AL$93,1,13)</f>
        <v/>
      </c>
      <c r="Z129" s="24">
        <f>$M$112*INDEX($C$93:$AL$93,1,14)</f>
        <v/>
      </c>
      <c r="AA129" s="24">
        <f>$M$112*INDEX($C$93:$AL$93,1,15)</f>
        <v/>
      </c>
      <c r="AB129" s="24">
        <f>$M$112*INDEX($C$93:$AL$93,1,16)</f>
        <v/>
      </c>
      <c r="AC129" s="24">
        <f>$M$112*INDEX($C$93:$AL$93,1,17)</f>
        <v/>
      </c>
      <c r="AD129" s="24">
        <f>$M$112*INDEX($C$93:$AL$93,1,18)</f>
        <v/>
      </c>
      <c r="AE129" s="24">
        <f>$M$112*INDEX($C$93:$AL$93,1,19)</f>
        <v/>
      </c>
      <c r="AF129" s="24">
        <f>$M$112*INDEX($C$93:$AL$93,1,20)</f>
        <v/>
      </c>
    </row>
    <row r="130">
      <c r="A130" s="4" t="inlineStr">
        <is>
          <t>Coorte del mese 12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>
        <f>$N$112*INDEX($C$93:$AL$93,1,1)</f>
        <v/>
      </c>
      <c r="O130" s="24">
        <f>$N$112*INDEX($C$93:$AL$93,1,2)</f>
        <v/>
      </c>
      <c r="P130" s="24">
        <f>$N$112*INDEX($C$93:$AL$93,1,3)</f>
        <v/>
      </c>
      <c r="Q130" s="24">
        <f>$N$112*INDEX($C$93:$AL$93,1,4)</f>
        <v/>
      </c>
      <c r="R130" s="24">
        <f>$N$112*INDEX($C$93:$AL$93,1,5)</f>
        <v/>
      </c>
      <c r="S130" s="24">
        <f>$N$112*INDEX($C$93:$AL$93,1,6)</f>
        <v/>
      </c>
      <c r="T130" s="24">
        <f>$N$112*INDEX($C$93:$AL$93,1,7)</f>
        <v/>
      </c>
      <c r="U130" s="24">
        <f>$N$112*INDEX($C$93:$AL$93,1,8)</f>
        <v/>
      </c>
      <c r="V130" s="24">
        <f>$N$112*INDEX($C$93:$AL$93,1,9)</f>
        <v/>
      </c>
      <c r="W130" s="24">
        <f>$N$112*INDEX($C$93:$AL$93,1,10)</f>
        <v/>
      </c>
      <c r="X130" s="24">
        <f>$N$112*INDEX($C$93:$AL$93,1,11)</f>
        <v/>
      </c>
      <c r="Y130" s="24">
        <f>$N$112*INDEX($C$93:$AL$93,1,12)</f>
        <v/>
      </c>
      <c r="Z130" s="24">
        <f>$N$112*INDEX($C$93:$AL$93,1,13)</f>
        <v/>
      </c>
      <c r="AA130" s="24">
        <f>$N$112*INDEX($C$93:$AL$93,1,14)</f>
        <v/>
      </c>
      <c r="AB130" s="24">
        <f>$N$112*INDEX($C$93:$AL$93,1,15)</f>
        <v/>
      </c>
      <c r="AC130" s="24">
        <f>$N$112*INDEX($C$93:$AL$93,1,16)</f>
        <v/>
      </c>
      <c r="AD130" s="24">
        <f>$N$112*INDEX($C$93:$AL$93,1,17)</f>
        <v/>
      </c>
      <c r="AE130" s="24">
        <f>$N$112*INDEX($C$93:$AL$93,1,18)</f>
        <v/>
      </c>
      <c r="AF130" s="24">
        <f>$N$112*INDEX($C$93:$AL$93,1,19)</f>
        <v/>
      </c>
    </row>
    <row r="131">
      <c r="A131" s="4" t="inlineStr">
        <is>
          <t>Coorte del mese 13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>
        <f>$O$112*INDEX($C$93:$AL$93,1,1)</f>
        <v/>
      </c>
      <c r="P131" s="24">
        <f>$O$112*INDEX($C$93:$AL$93,1,2)</f>
        <v/>
      </c>
      <c r="Q131" s="24">
        <f>$O$112*INDEX($C$93:$AL$93,1,3)</f>
        <v/>
      </c>
      <c r="R131" s="24">
        <f>$O$112*INDEX($C$93:$AL$93,1,4)</f>
        <v/>
      </c>
      <c r="S131" s="24">
        <f>$O$112*INDEX($C$93:$AL$93,1,5)</f>
        <v/>
      </c>
      <c r="T131" s="24">
        <f>$O$112*INDEX($C$93:$AL$93,1,6)</f>
        <v/>
      </c>
      <c r="U131" s="24">
        <f>$O$112*INDEX($C$93:$AL$93,1,7)</f>
        <v/>
      </c>
      <c r="V131" s="24">
        <f>$O$112*INDEX($C$93:$AL$93,1,8)</f>
        <v/>
      </c>
      <c r="W131" s="24">
        <f>$O$112*INDEX($C$93:$AL$93,1,9)</f>
        <v/>
      </c>
      <c r="X131" s="24">
        <f>$O$112*INDEX($C$93:$AL$93,1,10)</f>
        <v/>
      </c>
      <c r="Y131" s="24">
        <f>$O$112*INDEX($C$93:$AL$93,1,11)</f>
        <v/>
      </c>
      <c r="Z131" s="24">
        <f>$O$112*INDEX($C$93:$AL$93,1,12)</f>
        <v/>
      </c>
      <c r="AA131" s="24">
        <f>$O$112*INDEX($C$93:$AL$93,1,13)</f>
        <v/>
      </c>
      <c r="AB131" s="24">
        <f>$O$112*INDEX($C$93:$AL$93,1,14)</f>
        <v/>
      </c>
      <c r="AC131" s="24">
        <f>$O$112*INDEX($C$93:$AL$93,1,15)</f>
        <v/>
      </c>
      <c r="AD131" s="24">
        <f>$O$112*INDEX($C$93:$AL$93,1,16)</f>
        <v/>
      </c>
      <c r="AE131" s="24">
        <f>$O$112*INDEX($C$93:$AL$93,1,17)</f>
        <v/>
      </c>
      <c r="AF131" s="24">
        <f>$O$112*INDEX($C$93:$AL$93,1,18)</f>
        <v/>
      </c>
    </row>
    <row r="132">
      <c r="A132" s="4" t="inlineStr">
        <is>
          <t>Coorte del mese 14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>
        <f>$P$112*INDEX($C$93:$AL$93,1,1)</f>
        <v/>
      </c>
      <c r="Q132" s="24">
        <f>$P$112*INDEX($C$93:$AL$93,1,2)</f>
        <v/>
      </c>
      <c r="R132" s="24">
        <f>$P$112*INDEX($C$93:$AL$93,1,3)</f>
        <v/>
      </c>
      <c r="S132" s="24">
        <f>$P$112*INDEX($C$93:$AL$93,1,4)</f>
        <v/>
      </c>
      <c r="T132" s="24">
        <f>$P$112*INDEX($C$93:$AL$93,1,5)</f>
        <v/>
      </c>
      <c r="U132" s="24">
        <f>$P$112*INDEX($C$93:$AL$93,1,6)</f>
        <v/>
      </c>
      <c r="V132" s="24">
        <f>$P$112*INDEX($C$93:$AL$93,1,7)</f>
        <v/>
      </c>
      <c r="W132" s="24">
        <f>$P$112*INDEX($C$93:$AL$93,1,8)</f>
        <v/>
      </c>
      <c r="X132" s="24">
        <f>$P$112*INDEX($C$93:$AL$93,1,9)</f>
        <v/>
      </c>
      <c r="Y132" s="24">
        <f>$P$112*INDEX($C$93:$AL$93,1,10)</f>
        <v/>
      </c>
      <c r="Z132" s="24">
        <f>$P$112*INDEX($C$93:$AL$93,1,11)</f>
        <v/>
      </c>
      <c r="AA132" s="24">
        <f>$P$112*INDEX($C$93:$AL$93,1,12)</f>
        <v/>
      </c>
      <c r="AB132" s="24">
        <f>$P$112*INDEX($C$93:$AL$93,1,13)</f>
        <v/>
      </c>
      <c r="AC132" s="24">
        <f>$P$112*INDEX($C$93:$AL$93,1,14)</f>
        <v/>
      </c>
      <c r="AD132" s="24">
        <f>$P$112*INDEX($C$93:$AL$93,1,15)</f>
        <v/>
      </c>
      <c r="AE132" s="24">
        <f>$P$112*INDEX($C$93:$AL$93,1,16)</f>
        <v/>
      </c>
      <c r="AF132" s="24">
        <f>$P$112*INDEX($C$93:$AL$93,1,17)</f>
        <v/>
      </c>
    </row>
    <row r="133">
      <c r="A133" s="4" t="inlineStr">
        <is>
          <t>Coorte del mese 15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>
        <f>$Q$112*INDEX($C$93:$AL$93,1,1)</f>
        <v/>
      </c>
      <c r="R133" s="24">
        <f>$Q$112*INDEX($C$93:$AL$93,1,2)</f>
        <v/>
      </c>
      <c r="S133" s="24">
        <f>$Q$112*INDEX($C$93:$AL$93,1,3)</f>
        <v/>
      </c>
      <c r="T133" s="24">
        <f>$Q$112*INDEX($C$93:$AL$93,1,4)</f>
        <v/>
      </c>
      <c r="U133" s="24">
        <f>$Q$112*INDEX($C$93:$AL$93,1,5)</f>
        <v/>
      </c>
      <c r="V133" s="24">
        <f>$Q$112*INDEX($C$93:$AL$93,1,6)</f>
        <v/>
      </c>
      <c r="W133" s="24">
        <f>$Q$112*INDEX($C$93:$AL$93,1,7)</f>
        <v/>
      </c>
      <c r="X133" s="24">
        <f>$Q$112*INDEX($C$93:$AL$93,1,8)</f>
        <v/>
      </c>
      <c r="Y133" s="24">
        <f>$Q$112*INDEX($C$93:$AL$93,1,9)</f>
        <v/>
      </c>
      <c r="Z133" s="24">
        <f>$Q$112*INDEX($C$93:$AL$93,1,10)</f>
        <v/>
      </c>
      <c r="AA133" s="24">
        <f>$Q$112*INDEX($C$93:$AL$93,1,11)</f>
        <v/>
      </c>
      <c r="AB133" s="24">
        <f>$Q$112*INDEX($C$93:$AL$93,1,12)</f>
        <v/>
      </c>
      <c r="AC133" s="24">
        <f>$Q$112*INDEX($C$93:$AL$93,1,13)</f>
        <v/>
      </c>
      <c r="AD133" s="24">
        <f>$Q$112*INDEX($C$93:$AL$93,1,14)</f>
        <v/>
      </c>
      <c r="AE133" s="24">
        <f>$Q$112*INDEX($C$93:$AL$93,1,15)</f>
        <v/>
      </c>
      <c r="AF133" s="24">
        <f>$Q$112*INDEX($C$93:$AL$93,1,16)</f>
        <v/>
      </c>
    </row>
    <row r="134">
      <c r="A134" s="4" t="inlineStr">
        <is>
          <t>Coorte del mese 16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>
        <f>$R$112*INDEX($C$93:$AL$93,1,1)</f>
        <v/>
      </c>
      <c r="S134" s="24">
        <f>$R$112*INDEX($C$93:$AL$93,1,2)</f>
        <v/>
      </c>
      <c r="T134" s="24">
        <f>$R$112*INDEX($C$93:$AL$93,1,3)</f>
        <v/>
      </c>
      <c r="U134" s="24">
        <f>$R$112*INDEX($C$93:$AL$93,1,4)</f>
        <v/>
      </c>
      <c r="V134" s="24">
        <f>$R$112*INDEX($C$93:$AL$93,1,5)</f>
        <v/>
      </c>
      <c r="W134" s="24">
        <f>$R$112*INDEX($C$93:$AL$93,1,6)</f>
        <v/>
      </c>
      <c r="X134" s="24">
        <f>$R$112*INDEX($C$93:$AL$93,1,7)</f>
        <v/>
      </c>
      <c r="Y134" s="24">
        <f>$R$112*INDEX($C$93:$AL$93,1,8)</f>
        <v/>
      </c>
      <c r="Z134" s="24">
        <f>$R$112*INDEX($C$93:$AL$93,1,9)</f>
        <v/>
      </c>
      <c r="AA134" s="24">
        <f>$R$112*INDEX($C$93:$AL$93,1,10)</f>
        <v/>
      </c>
      <c r="AB134" s="24">
        <f>$R$112*INDEX($C$93:$AL$93,1,11)</f>
        <v/>
      </c>
      <c r="AC134" s="24">
        <f>$R$112*INDEX($C$93:$AL$93,1,12)</f>
        <v/>
      </c>
      <c r="AD134" s="24">
        <f>$R$112*INDEX($C$93:$AL$93,1,13)</f>
        <v/>
      </c>
      <c r="AE134" s="24">
        <f>$R$112*INDEX($C$93:$AL$93,1,14)</f>
        <v/>
      </c>
      <c r="AF134" s="24">
        <f>$R$112*INDEX($C$93:$AL$93,1,15)</f>
        <v/>
      </c>
    </row>
    <row r="135">
      <c r="A135" s="4" t="inlineStr">
        <is>
          <t>Coorte del mese 17</t>
        </is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>
        <f>$S$112*INDEX($C$93:$AL$93,1,1)</f>
        <v/>
      </c>
      <c r="T135" s="24">
        <f>$S$112*INDEX($C$93:$AL$93,1,2)</f>
        <v/>
      </c>
      <c r="U135" s="24">
        <f>$S$112*INDEX($C$93:$AL$93,1,3)</f>
        <v/>
      </c>
      <c r="V135" s="24">
        <f>$S$112*INDEX($C$93:$AL$93,1,4)</f>
        <v/>
      </c>
      <c r="W135" s="24">
        <f>$S$112*INDEX($C$93:$AL$93,1,5)</f>
        <v/>
      </c>
      <c r="X135" s="24">
        <f>$S$112*INDEX($C$93:$AL$93,1,6)</f>
        <v/>
      </c>
      <c r="Y135" s="24">
        <f>$S$112*INDEX($C$93:$AL$93,1,7)</f>
        <v/>
      </c>
      <c r="Z135" s="24">
        <f>$S$112*INDEX($C$93:$AL$93,1,8)</f>
        <v/>
      </c>
      <c r="AA135" s="24">
        <f>$S$112*INDEX($C$93:$AL$93,1,9)</f>
        <v/>
      </c>
      <c r="AB135" s="24">
        <f>$S$112*INDEX($C$93:$AL$93,1,10)</f>
        <v/>
      </c>
      <c r="AC135" s="24">
        <f>$S$112*INDEX($C$93:$AL$93,1,11)</f>
        <v/>
      </c>
      <c r="AD135" s="24">
        <f>$S$112*INDEX($C$93:$AL$93,1,12)</f>
        <v/>
      </c>
      <c r="AE135" s="24">
        <f>$S$112*INDEX($C$93:$AL$93,1,13)</f>
        <v/>
      </c>
      <c r="AF135" s="24">
        <f>$S$112*INDEX($C$93:$AL$93,1,14)</f>
        <v/>
      </c>
    </row>
    <row r="136">
      <c r="A136" s="4" t="inlineStr">
        <is>
          <t>Coorte del mese 18</t>
        </is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>
        <f>$T$112*INDEX($C$93:$AL$93,1,1)</f>
        <v/>
      </c>
      <c r="U136" s="24">
        <f>$T$112*INDEX($C$93:$AL$93,1,2)</f>
        <v/>
      </c>
      <c r="V136" s="24">
        <f>$T$112*INDEX($C$93:$AL$93,1,3)</f>
        <v/>
      </c>
      <c r="W136" s="24">
        <f>$T$112*INDEX($C$93:$AL$93,1,4)</f>
        <v/>
      </c>
      <c r="X136" s="24">
        <f>$T$112*INDEX($C$93:$AL$93,1,5)</f>
        <v/>
      </c>
      <c r="Y136" s="24">
        <f>$T$112*INDEX($C$93:$AL$93,1,6)</f>
        <v/>
      </c>
      <c r="Z136" s="24">
        <f>$T$112*INDEX($C$93:$AL$93,1,7)</f>
        <v/>
      </c>
      <c r="AA136" s="24">
        <f>$T$112*INDEX($C$93:$AL$93,1,8)</f>
        <v/>
      </c>
      <c r="AB136" s="24">
        <f>$T$112*INDEX($C$93:$AL$93,1,9)</f>
        <v/>
      </c>
      <c r="AC136" s="24">
        <f>$T$112*INDEX($C$93:$AL$93,1,10)</f>
        <v/>
      </c>
      <c r="AD136" s="24">
        <f>$T$112*INDEX($C$93:$AL$93,1,11)</f>
        <v/>
      </c>
      <c r="AE136" s="24">
        <f>$T$112*INDEX($C$93:$AL$93,1,12)</f>
        <v/>
      </c>
      <c r="AF136" s="24">
        <f>$T$112*INDEX($C$93:$AL$93,1,13)</f>
        <v/>
      </c>
    </row>
    <row r="137">
      <c r="A137" s="4" t="inlineStr">
        <is>
          <t>Coorte del mese 19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>
        <f>$U$112*INDEX($C$93:$AL$93,1,1)</f>
        <v/>
      </c>
      <c r="V137" s="24">
        <f>$U$112*INDEX($C$93:$AL$93,1,2)</f>
        <v/>
      </c>
      <c r="W137" s="24">
        <f>$U$112*INDEX($C$93:$AL$93,1,3)</f>
        <v/>
      </c>
      <c r="X137" s="24">
        <f>$U$112*INDEX($C$93:$AL$93,1,4)</f>
        <v/>
      </c>
      <c r="Y137" s="24">
        <f>$U$112*INDEX($C$93:$AL$93,1,5)</f>
        <v/>
      </c>
      <c r="Z137" s="24">
        <f>$U$112*INDEX($C$93:$AL$93,1,6)</f>
        <v/>
      </c>
      <c r="AA137" s="24">
        <f>$U$112*INDEX($C$93:$AL$93,1,7)</f>
        <v/>
      </c>
      <c r="AB137" s="24">
        <f>$U$112*INDEX($C$93:$AL$93,1,8)</f>
        <v/>
      </c>
      <c r="AC137" s="24">
        <f>$U$112*INDEX($C$93:$AL$93,1,9)</f>
        <v/>
      </c>
      <c r="AD137" s="24">
        <f>$U$112*INDEX($C$93:$AL$93,1,10)</f>
        <v/>
      </c>
      <c r="AE137" s="24">
        <f>$U$112*INDEX($C$93:$AL$93,1,11)</f>
        <v/>
      </c>
      <c r="AF137" s="24">
        <f>$U$112*INDEX($C$93:$AL$93,1,12)</f>
        <v/>
      </c>
    </row>
    <row r="138">
      <c r="A138" s="4" t="inlineStr">
        <is>
          <t>Coorte del mese 20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>
        <f>$V$112*INDEX($C$93:$AL$93,1,1)</f>
        <v/>
      </c>
      <c r="W138" s="24">
        <f>$V$112*INDEX($C$93:$AL$93,1,2)</f>
        <v/>
      </c>
      <c r="X138" s="24">
        <f>$V$112*INDEX($C$93:$AL$93,1,3)</f>
        <v/>
      </c>
      <c r="Y138" s="24">
        <f>$V$112*INDEX($C$93:$AL$93,1,4)</f>
        <v/>
      </c>
      <c r="Z138" s="24">
        <f>$V$112*INDEX($C$93:$AL$93,1,5)</f>
        <v/>
      </c>
      <c r="AA138" s="24">
        <f>$V$112*INDEX($C$93:$AL$93,1,6)</f>
        <v/>
      </c>
      <c r="AB138" s="24">
        <f>$V$112*INDEX($C$93:$AL$93,1,7)</f>
        <v/>
      </c>
      <c r="AC138" s="24">
        <f>$V$112*INDEX($C$93:$AL$93,1,8)</f>
        <v/>
      </c>
      <c r="AD138" s="24">
        <f>$V$112*INDEX($C$93:$AL$93,1,9)</f>
        <v/>
      </c>
      <c r="AE138" s="24">
        <f>$V$112*INDEX($C$93:$AL$93,1,10)</f>
        <v/>
      </c>
      <c r="AF138" s="24">
        <f>$V$112*INDEX($C$93:$AL$93,1,11)</f>
        <v/>
      </c>
    </row>
    <row r="139">
      <c r="A139" s="4" t="inlineStr">
        <is>
          <t>Coorte del mese 21</t>
        </is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>
        <f>$W$112*INDEX($C$93:$AL$93,1,1)</f>
        <v/>
      </c>
      <c r="X139" s="24">
        <f>$W$112*INDEX($C$93:$AL$93,1,2)</f>
        <v/>
      </c>
      <c r="Y139" s="24">
        <f>$W$112*INDEX($C$93:$AL$93,1,3)</f>
        <v/>
      </c>
      <c r="Z139" s="24">
        <f>$W$112*INDEX($C$93:$AL$93,1,4)</f>
        <v/>
      </c>
      <c r="AA139" s="24">
        <f>$W$112*INDEX($C$93:$AL$93,1,5)</f>
        <v/>
      </c>
      <c r="AB139" s="24">
        <f>$W$112*INDEX($C$93:$AL$93,1,6)</f>
        <v/>
      </c>
      <c r="AC139" s="24">
        <f>$W$112*INDEX($C$93:$AL$93,1,7)</f>
        <v/>
      </c>
      <c r="AD139" s="24">
        <f>$W$112*INDEX($C$93:$AL$93,1,8)</f>
        <v/>
      </c>
      <c r="AE139" s="24">
        <f>$W$112*INDEX($C$93:$AL$93,1,9)</f>
        <v/>
      </c>
      <c r="AF139" s="24">
        <f>$W$112*INDEX($C$93:$AL$93,1,10)</f>
        <v/>
      </c>
    </row>
    <row r="140">
      <c r="A140" s="4" t="inlineStr">
        <is>
          <t>Coorte del mese 22</t>
        </is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>
        <f>$X$112*INDEX($C$93:$AL$93,1,1)</f>
        <v/>
      </c>
      <c r="Y140" s="24">
        <f>$X$112*INDEX($C$93:$AL$93,1,2)</f>
        <v/>
      </c>
      <c r="Z140" s="24">
        <f>$X$112*INDEX($C$93:$AL$93,1,3)</f>
        <v/>
      </c>
      <c r="AA140" s="24">
        <f>$X$112*INDEX($C$93:$AL$93,1,4)</f>
        <v/>
      </c>
      <c r="AB140" s="24">
        <f>$X$112*INDEX($C$93:$AL$93,1,5)</f>
        <v/>
      </c>
      <c r="AC140" s="24">
        <f>$X$112*INDEX($C$93:$AL$93,1,6)</f>
        <v/>
      </c>
      <c r="AD140" s="24">
        <f>$X$112*INDEX($C$93:$AL$93,1,7)</f>
        <v/>
      </c>
      <c r="AE140" s="24">
        <f>$X$112*INDEX($C$93:$AL$93,1,8)</f>
        <v/>
      </c>
      <c r="AF140" s="24">
        <f>$X$112*INDEX($C$93:$AL$93,1,9)</f>
        <v/>
      </c>
    </row>
    <row r="141">
      <c r="A141" s="4" t="inlineStr">
        <is>
          <t>Coorte del mese 23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4">
        <f>$Y$112*INDEX($C$93:$AL$93,1,1)</f>
        <v/>
      </c>
      <c r="Z141" s="24">
        <f>$Y$112*INDEX($C$93:$AL$93,1,2)</f>
        <v/>
      </c>
      <c r="AA141" s="24">
        <f>$Y$112*INDEX($C$93:$AL$93,1,3)</f>
        <v/>
      </c>
      <c r="AB141" s="24">
        <f>$Y$112*INDEX($C$93:$AL$93,1,4)</f>
        <v/>
      </c>
      <c r="AC141" s="24">
        <f>$Y$112*INDEX($C$93:$AL$93,1,5)</f>
        <v/>
      </c>
      <c r="AD141" s="24">
        <f>$Y$112*INDEX($C$93:$AL$93,1,6)</f>
        <v/>
      </c>
      <c r="AE141" s="24">
        <f>$Y$112*INDEX($C$93:$AL$93,1,7)</f>
        <v/>
      </c>
      <c r="AF141" s="24">
        <f>$Y$112*INDEX($C$93:$AL$93,1,8)</f>
        <v/>
      </c>
    </row>
    <row r="142">
      <c r="A142" s="4" t="inlineStr">
        <is>
          <t>Coorte del mese 24</t>
        </is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>
        <f>$Z$112*INDEX($C$93:$AL$93,1,1)</f>
        <v/>
      </c>
      <c r="AA142" s="24">
        <f>$Z$112*INDEX($C$93:$AL$93,1,2)</f>
        <v/>
      </c>
      <c r="AB142" s="24">
        <f>$Z$112*INDEX($C$93:$AL$93,1,3)</f>
        <v/>
      </c>
      <c r="AC142" s="24">
        <f>$Z$112*INDEX($C$93:$AL$93,1,4)</f>
        <v/>
      </c>
      <c r="AD142" s="24">
        <f>$Z$112*INDEX($C$93:$AL$93,1,5)</f>
        <v/>
      </c>
      <c r="AE142" s="24">
        <f>$Z$112*INDEX($C$93:$AL$93,1,6)</f>
        <v/>
      </c>
      <c r="AF142" s="24">
        <f>$Z$112*INDEX($C$93:$AL$93,1,7)</f>
        <v/>
      </c>
    </row>
    <row r="143">
      <c r="A143" s="4" t="inlineStr">
        <is>
          <t>Coorte del mese 25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>
        <f>$AA$112*INDEX($C$93:$AL$93,1,1)</f>
        <v/>
      </c>
      <c r="AB143" s="24">
        <f>$AA$112*INDEX($C$93:$AL$93,1,2)</f>
        <v/>
      </c>
      <c r="AC143" s="24">
        <f>$AA$112*INDEX($C$93:$AL$93,1,3)</f>
        <v/>
      </c>
      <c r="AD143" s="24">
        <f>$AA$112*INDEX($C$93:$AL$93,1,4)</f>
        <v/>
      </c>
      <c r="AE143" s="24">
        <f>$AA$112*INDEX($C$93:$AL$93,1,5)</f>
        <v/>
      </c>
      <c r="AF143" s="24">
        <f>$AA$112*INDEX($C$93:$AL$93,1,6)</f>
        <v/>
      </c>
    </row>
    <row r="144">
      <c r="A144" s="4" t="inlineStr">
        <is>
          <t>Coorte del mese 26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>
        <f>$AB$112*INDEX($C$93:$AL$93,1,1)</f>
        <v/>
      </c>
      <c r="AC144" s="24">
        <f>$AB$112*INDEX($C$93:$AL$93,1,2)</f>
        <v/>
      </c>
      <c r="AD144" s="24">
        <f>$AB$112*INDEX($C$93:$AL$93,1,3)</f>
        <v/>
      </c>
      <c r="AE144" s="24">
        <f>$AB$112*INDEX($C$93:$AL$93,1,4)</f>
        <v/>
      </c>
      <c r="AF144" s="24">
        <f>$AB$112*INDEX($C$93:$AL$93,1,5)</f>
        <v/>
      </c>
    </row>
    <row r="145">
      <c r="A145" s="4" t="inlineStr">
        <is>
          <t>Coorte del mese 27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4" t="n">
        <v>0</v>
      </c>
      <c r="Z145" s="24" t="n">
        <v>0</v>
      </c>
      <c r="AA145" s="24" t="n">
        <v>0</v>
      </c>
      <c r="AB145" s="24" t="n">
        <v>0</v>
      </c>
      <c r="AC145" s="24">
        <f>$AC$112*INDEX($C$93:$AL$93,1,1)</f>
        <v/>
      </c>
      <c r="AD145" s="24">
        <f>$AC$112*INDEX($C$93:$AL$93,1,2)</f>
        <v/>
      </c>
      <c r="AE145" s="24">
        <f>$AC$112*INDEX($C$93:$AL$93,1,3)</f>
        <v/>
      </c>
      <c r="AF145" s="24">
        <f>$AC$112*INDEX($C$93:$AL$93,1,4)</f>
        <v/>
      </c>
    </row>
    <row r="146">
      <c r="A146" s="4" t="inlineStr">
        <is>
          <t>Coorte del mese 28</t>
        </is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>
        <f>$AD$112*INDEX($C$93:$AL$93,1,1)</f>
        <v/>
      </c>
      <c r="AE146" s="24">
        <f>$AD$112*INDEX($C$93:$AL$93,1,2)</f>
        <v/>
      </c>
      <c r="AF146" s="24">
        <f>$AD$112*INDEX($C$93:$AL$93,1,3)</f>
        <v/>
      </c>
    </row>
    <row r="147">
      <c r="A147" s="4" t="inlineStr">
        <is>
          <t>Coorte del mese 29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>
        <f>$AE$112*INDEX($C$93:$AL$93,1,1)</f>
        <v/>
      </c>
      <c r="AF147" s="24">
        <f>$AE$112*INDEX($C$93:$AL$93,1,2)</f>
        <v/>
      </c>
    </row>
    <row r="148">
      <c r="A148" s="4" t="inlineStr">
        <is>
          <t>Coorte del mese 30</t>
        </is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>
        <f>$AF$112*INDEX($C$93:$AL$93,1,1)</f>
        <v/>
      </c>
    </row>
    <row r="149">
      <c r="A149" s="3" t="inlineStr">
        <is>
          <t>Totale percorso 6: ordini</t>
        </is>
      </c>
      <c r="C149" s="25">
        <f>SUM(C119:C148)</f>
        <v/>
      </c>
      <c r="D149" s="25">
        <f>SUM(D119:D148)</f>
        <v/>
      </c>
      <c r="E149" s="25">
        <f>SUM(E119:E148)</f>
        <v/>
      </c>
      <c r="F149" s="25">
        <f>SUM(F119:F148)</f>
        <v/>
      </c>
      <c r="G149" s="25">
        <f>SUM(G119:G148)</f>
        <v/>
      </c>
      <c r="H149" s="25">
        <f>SUM(H119:H148)</f>
        <v/>
      </c>
      <c r="I149" s="25">
        <f>SUM(I119:I148)</f>
        <v/>
      </c>
      <c r="J149" s="25">
        <f>SUM(J119:J148)</f>
        <v/>
      </c>
      <c r="K149" s="25">
        <f>SUM(K119:K148)</f>
        <v/>
      </c>
      <c r="L149" s="25">
        <f>SUM(L119:L148)</f>
        <v/>
      </c>
      <c r="M149" s="25">
        <f>SUM(M119:M148)</f>
        <v/>
      </c>
      <c r="N149" s="25">
        <f>SUM(N119:N148)</f>
        <v/>
      </c>
      <c r="O149" s="25">
        <f>SUM(O119:O148)</f>
        <v/>
      </c>
      <c r="P149" s="25">
        <f>SUM(P119:P148)</f>
        <v/>
      </c>
      <c r="Q149" s="25">
        <f>SUM(Q119:Q148)</f>
        <v/>
      </c>
      <c r="R149" s="25">
        <f>SUM(R119:R148)</f>
        <v/>
      </c>
      <c r="S149" s="25">
        <f>SUM(S119:S148)</f>
        <v/>
      </c>
      <c r="T149" s="25">
        <f>SUM(T119:T148)</f>
        <v/>
      </c>
      <c r="U149" s="25">
        <f>SUM(U119:U148)</f>
        <v/>
      </c>
      <c r="V149" s="25">
        <f>SUM(V119:V148)</f>
        <v/>
      </c>
      <c r="W149" s="25">
        <f>SUM(W119:W148)</f>
        <v/>
      </c>
      <c r="X149" s="25">
        <f>SUM(X119:X148)</f>
        <v/>
      </c>
      <c r="Y149" s="25">
        <f>SUM(Y119:Y148)</f>
        <v/>
      </c>
      <c r="Z149" s="25">
        <f>SUM(Z119:Z148)</f>
        <v/>
      </c>
      <c r="AA149" s="25">
        <f>SUM(AA119:AA148)</f>
        <v/>
      </c>
      <c r="AB149" s="25">
        <f>SUM(AB119:AB148)</f>
        <v/>
      </c>
      <c r="AC149" s="25">
        <f>SUM(AC119:AC148)</f>
        <v/>
      </c>
      <c r="AD149" s="25">
        <f>SUM(AD119:AD148)</f>
        <v/>
      </c>
      <c r="AE149" s="25">
        <f>SUM(AE119:AE148)</f>
        <v/>
      </c>
      <c r="AF149" s="25">
        <f>SUM(AF119:AF148)</f>
        <v/>
      </c>
    </row>
    <row r="151">
      <c r="A151" s="10" t="inlineStr">
        <is>
          <t>Percorso 6: rimborsi per coorte (righe = mese di acquisizione, colonne = mese di calendario)</t>
        </is>
      </c>
    </row>
    <row r="152">
      <c r="A152" s="4" t="inlineStr">
        <is>
          <t>Coorte del mese 1</t>
        </is>
      </c>
      <c r="C152" s="24">
        <f>$C$112*INDEX($C$94:$AL$94,1,1)</f>
        <v/>
      </c>
      <c r="D152" s="24">
        <f>$C$112*INDEX($C$94:$AL$94,1,2)</f>
        <v/>
      </c>
      <c r="E152" s="24">
        <f>$C$112*INDEX($C$94:$AL$94,1,3)</f>
        <v/>
      </c>
      <c r="F152" s="24">
        <f>$C$112*INDEX($C$94:$AL$94,1,4)</f>
        <v/>
      </c>
      <c r="G152" s="24">
        <f>$C$112*INDEX($C$94:$AL$94,1,5)</f>
        <v/>
      </c>
      <c r="H152" s="24">
        <f>$C$112*INDEX($C$94:$AL$94,1,6)</f>
        <v/>
      </c>
      <c r="I152" s="24">
        <f>$C$112*INDEX($C$94:$AL$94,1,7)</f>
        <v/>
      </c>
      <c r="J152" s="24">
        <f>$C$112*INDEX($C$94:$AL$94,1,8)</f>
        <v/>
      </c>
      <c r="K152" s="24">
        <f>$C$112*INDEX($C$94:$AL$94,1,9)</f>
        <v/>
      </c>
      <c r="L152" s="24">
        <f>$C$112*INDEX($C$94:$AL$94,1,10)</f>
        <v/>
      </c>
      <c r="M152" s="24">
        <f>$C$112*INDEX($C$94:$AL$94,1,11)</f>
        <v/>
      </c>
      <c r="N152" s="24">
        <f>$C$112*INDEX($C$94:$AL$94,1,12)</f>
        <v/>
      </c>
      <c r="O152" s="24">
        <f>$C$112*INDEX($C$94:$AL$94,1,13)</f>
        <v/>
      </c>
      <c r="P152" s="24">
        <f>$C$112*INDEX($C$94:$AL$94,1,14)</f>
        <v/>
      </c>
      <c r="Q152" s="24">
        <f>$C$112*INDEX($C$94:$AL$94,1,15)</f>
        <v/>
      </c>
      <c r="R152" s="24">
        <f>$C$112*INDEX($C$94:$AL$94,1,16)</f>
        <v/>
      </c>
      <c r="S152" s="24">
        <f>$C$112*INDEX($C$94:$AL$94,1,17)</f>
        <v/>
      </c>
      <c r="T152" s="24">
        <f>$C$112*INDEX($C$94:$AL$94,1,18)</f>
        <v/>
      </c>
      <c r="U152" s="24">
        <f>$C$112*INDEX($C$94:$AL$94,1,19)</f>
        <v/>
      </c>
      <c r="V152" s="24">
        <f>$C$112*INDEX($C$94:$AL$94,1,20)</f>
        <v/>
      </c>
      <c r="W152" s="24">
        <f>$C$112*INDEX($C$94:$AL$94,1,21)</f>
        <v/>
      </c>
      <c r="X152" s="24">
        <f>$C$112*INDEX($C$94:$AL$94,1,22)</f>
        <v/>
      </c>
      <c r="Y152" s="24">
        <f>$C$112*INDEX($C$94:$AL$94,1,23)</f>
        <v/>
      </c>
      <c r="Z152" s="24">
        <f>$C$112*INDEX($C$94:$AL$94,1,24)</f>
        <v/>
      </c>
      <c r="AA152" s="24">
        <f>$C$112*INDEX($C$94:$AL$94,1,25)</f>
        <v/>
      </c>
      <c r="AB152" s="24">
        <f>$C$112*INDEX($C$94:$AL$94,1,26)</f>
        <v/>
      </c>
      <c r="AC152" s="24">
        <f>$C$112*INDEX($C$94:$AL$94,1,27)</f>
        <v/>
      </c>
      <c r="AD152" s="24">
        <f>$C$112*INDEX($C$94:$AL$94,1,28)</f>
        <v/>
      </c>
      <c r="AE152" s="24">
        <f>$C$112*INDEX($C$94:$AL$94,1,29)</f>
        <v/>
      </c>
      <c r="AF152" s="24">
        <f>$C$112*INDEX($C$94:$AL$94,1,30)</f>
        <v/>
      </c>
    </row>
    <row r="153">
      <c r="A153" s="4" t="inlineStr">
        <is>
          <t>Coorte del mese 2</t>
        </is>
      </c>
      <c r="C153" s="24" t="n">
        <v>0</v>
      </c>
      <c r="D153" s="24">
        <f>$D$112*INDEX($C$94:$AL$94,1,1)</f>
        <v/>
      </c>
      <c r="E153" s="24">
        <f>$D$112*INDEX($C$94:$AL$94,1,2)</f>
        <v/>
      </c>
      <c r="F153" s="24">
        <f>$D$112*INDEX($C$94:$AL$94,1,3)</f>
        <v/>
      </c>
      <c r="G153" s="24">
        <f>$D$112*INDEX($C$94:$AL$94,1,4)</f>
        <v/>
      </c>
      <c r="H153" s="24">
        <f>$D$112*INDEX($C$94:$AL$94,1,5)</f>
        <v/>
      </c>
      <c r="I153" s="24">
        <f>$D$112*INDEX($C$94:$AL$94,1,6)</f>
        <v/>
      </c>
      <c r="J153" s="24">
        <f>$D$112*INDEX($C$94:$AL$94,1,7)</f>
        <v/>
      </c>
      <c r="K153" s="24">
        <f>$D$112*INDEX($C$94:$AL$94,1,8)</f>
        <v/>
      </c>
      <c r="L153" s="24">
        <f>$D$112*INDEX($C$94:$AL$94,1,9)</f>
        <v/>
      </c>
      <c r="M153" s="24">
        <f>$D$112*INDEX($C$94:$AL$94,1,10)</f>
        <v/>
      </c>
      <c r="N153" s="24">
        <f>$D$112*INDEX($C$94:$AL$94,1,11)</f>
        <v/>
      </c>
      <c r="O153" s="24">
        <f>$D$112*INDEX($C$94:$AL$94,1,12)</f>
        <v/>
      </c>
      <c r="P153" s="24">
        <f>$D$112*INDEX($C$94:$AL$94,1,13)</f>
        <v/>
      </c>
      <c r="Q153" s="24">
        <f>$D$112*INDEX($C$94:$AL$94,1,14)</f>
        <v/>
      </c>
      <c r="R153" s="24">
        <f>$D$112*INDEX($C$94:$AL$94,1,15)</f>
        <v/>
      </c>
      <c r="S153" s="24">
        <f>$D$112*INDEX($C$94:$AL$94,1,16)</f>
        <v/>
      </c>
      <c r="T153" s="24">
        <f>$D$112*INDEX($C$94:$AL$94,1,17)</f>
        <v/>
      </c>
      <c r="U153" s="24">
        <f>$D$112*INDEX($C$94:$AL$94,1,18)</f>
        <v/>
      </c>
      <c r="V153" s="24">
        <f>$D$112*INDEX($C$94:$AL$94,1,19)</f>
        <v/>
      </c>
      <c r="W153" s="24">
        <f>$D$112*INDEX($C$94:$AL$94,1,20)</f>
        <v/>
      </c>
      <c r="X153" s="24">
        <f>$D$112*INDEX($C$94:$AL$94,1,21)</f>
        <v/>
      </c>
      <c r="Y153" s="24">
        <f>$D$112*INDEX($C$94:$AL$94,1,22)</f>
        <v/>
      </c>
      <c r="Z153" s="24">
        <f>$D$112*INDEX($C$94:$AL$94,1,23)</f>
        <v/>
      </c>
      <c r="AA153" s="24">
        <f>$D$112*INDEX($C$94:$AL$94,1,24)</f>
        <v/>
      </c>
      <c r="AB153" s="24">
        <f>$D$112*INDEX($C$94:$AL$94,1,25)</f>
        <v/>
      </c>
      <c r="AC153" s="24">
        <f>$D$112*INDEX($C$94:$AL$94,1,26)</f>
        <v/>
      </c>
      <c r="AD153" s="24">
        <f>$D$112*INDEX($C$94:$AL$94,1,27)</f>
        <v/>
      </c>
      <c r="AE153" s="24">
        <f>$D$112*INDEX($C$94:$AL$94,1,28)</f>
        <v/>
      </c>
      <c r="AF153" s="24">
        <f>$D$112*INDEX($C$94:$AL$94,1,29)</f>
        <v/>
      </c>
    </row>
    <row r="154">
      <c r="A154" s="4" t="inlineStr">
        <is>
          <t>Coorte del mese 3</t>
        </is>
      </c>
      <c r="C154" s="24" t="n">
        <v>0</v>
      </c>
      <c r="D154" s="24" t="n">
        <v>0</v>
      </c>
      <c r="E154" s="24">
        <f>$E$112*INDEX($C$94:$AL$94,1,1)</f>
        <v/>
      </c>
      <c r="F154" s="24">
        <f>$E$112*INDEX($C$94:$AL$94,1,2)</f>
        <v/>
      </c>
      <c r="G154" s="24">
        <f>$E$112*INDEX($C$94:$AL$94,1,3)</f>
        <v/>
      </c>
      <c r="H154" s="24">
        <f>$E$112*INDEX($C$94:$AL$94,1,4)</f>
        <v/>
      </c>
      <c r="I154" s="24">
        <f>$E$112*INDEX($C$94:$AL$94,1,5)</f>
        <v/>
      </c>
      <c r="J154" s="24">
        <f>$E$112*INDEX($C$94:$AL$94,1,6)</f>
        <v/>
      </c>
      <c r="K154" s="24">
        <f>$E$112*INDEX($C$94:$AL$94,1,7)</f>
        <v/>
      </c>
      <c r="L154" s="24">
        <f>$E$112*INDEX($C$94:$AL$94,1,8)</f>
        <v/>
      </c>
      <c r="M154" s="24">
        <f>$E$112*INDEX($C$94:$AL$94,1,9)</f>
        <v/>
      </c>
      <c r="N154" s="24">
        <f>$E$112*INDEX($C$94:$AL$94,1,10)</f>
        <v/>
      </c>
      <c r="O154" s="24">
        <f>$E$112*INDEX($C$94:$AL$94,1,11)</f>
        <v/>
      </c>
      <c r="P154" s="24">
        <f>$E$112*INDEX($C$94:$AL$94,1,12)</f>
        <v/>
      </c>
      <c r="Q154" s="24">
        <f>$E$112*INDEX($C$94:$AL$94,1,13)</f>
        <v/>
      </c>
      <c r="R154" s="24">
        <f>$E$112*INDEX($C$94:$AL$94,1,14)</f>
        <v/>
      </c>
      <c r="S154" s="24">
        <f>$E$112*INDEX($C$94:$AL$94,1,15)</f>
        <v/>
      </c>
      <c r="T154" s="24">
        <f>$E$112*INDEX($C$94:$AL$94,1,16)</f>
        <v/>
      </c>
      <c r="U154" s="24">
        <f>$E$112*INDEX($C$94:$AL$94,1,17)</f>
        <v/>
      </c>
      <c r="V154" s="24">
        <f>$E$112*INDEX($C$94:$AL$94,1,18)</f>
        <v/>
      </c>
      <c r="W154" s="24">
        <f>$E$112*INDEX($C$94:$AL$94,1,19)</f>
        <v/>
      </c>
      <c r="X154" s="24">
        <f>$E$112*INDEX($C$94:$AL$94,1,20)</f>
        <v/>
      </c>
      <c r="Y154" s="24">
        <f>$E$112*INDEX($C$94:$AL$94,1,21)</f>
        <v/>
      </c>
      <c r="Z154" s="24">
        <f>$E$112*INDEX($C$94:$AL$94,1,22)</f>
        <v/>
      </c>
      <c r="AA154" s="24">
        <f>$E$112*INDEX($C$94:$AL$94,1,23)</f>
        <v/>
      </c>
      <c r="AB154" s="24">
        <f>$E$112*INDEX($C$94:$AL$94,1,24)</f>
        <v/>
      </c>
      <c r="AC154" s="24">
        <f>$E$112*INDEX($C$94:$AL$94,1,25)</f>
        <v/>
      </c>
      <c r="AD154" s="24">
        <f>$E$112*INDEX($C$94:$AL$94,1,26)</f>
        <v/>
      </c>
      <c r="AE154" s="24">
        <f>$E$112*INDEX($C$94:$AL$94,1,27)</f>
        <v/>
      </c>
      <c r="AF154" s="24">
        <f>$E$112*INDEX($C$94:$AL$94,1,28)</f>
        <v/>
      </c>
    </row>
    <row r="155">
      <c r="A155" s="4" t="inlineStr">
        <is>
          <t>Coorte del mese 4</t>
        </is>
      </c>
      <c r="C155" s="24" t="n">
        <v>0</v>
      </c>
      <c r="D155" s="24" t="n">
        <v>0</v>
      </c>
      <c r="E155" s="24" t="n">
        <v>0</v>
      </c>
      <c r="F155" s="24">
        <f>$F$112*INDEX($C$94:$AL$94,1,1)</f>
        <v/>
      </c>
      <c r="G155" s="24">
        <f>$F$112*INDEX($C$94:$AL$94,1,2)</f>
        <v/>
      </c>
      <c r="H155" s="24">
        <f>$F$112*INDEX($C$94:$AL$94,1,3)</f>
        <v/>
      </c>
      <c r="I155" s="24">
        <f>$F$112*INDEX($C$94:$AL$94,1,4)</f>
        <v/>
      </c>
      <c r="J155" s="24">
        <f>$F$112*INDEX($C$94:$AL$94,1,5)</f>
        <v/>
      </c>
      <c r="K155" s="24">
        <f>$F$112*INDEX($C$94:$AL$94,1,6)</f>
        <v/>
      </c>
      <c r="L155" s="24">
        <f>$F$112*INDEX($C$94:$AL$94,1,7)</f>
        <v/>
      </c>
      <c r="M155" s="24">
        <f>$F$112*INDEX($C$94:$AL$94,1,8)</f>
        <v/>
      </c>
      <c r="N155" s="24">
        <f>$F$112*INDEX($C$94:$AL$94,1,9)</f>
        <v/>
      </c>
      <c r="O155" s="24">
        <f>$F$112*INDEX($C$94:$AL$94,1,10)</f>
        <v/>
      </c>
      <c r="P155" s="24">
        <f>$F$112*INDEX($C$94:$AL$94,1,11)</f>
        <v/>
      </c>
      <c r="Q155" s="24">
        <f>$F$112*INDEX($C$94:$AL$94,1,12)</f>
        <v/>
      </c>
      <c r="R155" s="24">
        <f>$F$112*INDEX($C$94:$AL$94,1,13)</f>
        <v/>
      </c>
      <c r="S155" s="24">
        <f>$F$112*INDEX($C$94:$AL$94,1,14)</f>
        <v/>
      </c>
      <c r="T155" s="24">
        <f>$F$112*INDEX($C$94:$AL$94,1,15)</f>
        <v/>
      </c>
      <c r="U155" s="24">
        <f>$F$112*INDEX($C$94:$AL$94,1,16)</f>
        <v/>
      </c>
      <c r="V155" s="24">
        <f>$F$112*INDEX($C$94:$AL$94,1,17)</f>
        <v/>
      </c>
      <c r="W155" s="24">
        <f>$F$112*INDEX($C$94:$AL$94,1,18)</f>
        <v/>
      </c>
      <c r="X155" s="24">
        <f>$F$112*INDEX($C$94:$AL$94,1,19)</f>
        <v/>
      </c>
      <c r="Y155" s="24">
        <f>$F$112*INDEX($C$94:$AL$94,1,20)</f>
        <v/>
      </c>
      <c r="Z155" s="24">
        <f>$F$112*INDEX($C$94:$AL$94,1,21)</f>
        <v/>
      </c>
      <c r="AA155" s="24">
        <f>$F$112*INDEX($C$94:$AL$94,1,22)</f>
        <v/>
      </c>
      <c r="AB155" s="24">
        <f>$F$112*INDEX($C$94:$AL$94,1,23)</f>
        <v/>
      </c>
      <c r="AC155" s="24">
        <f>$F$112*INDEX($C$94:$AL$94,1,24)</f>
        <v/>
      </c>
      <c r="AD155" s="24">
        <f>$F$112*INDEX($C$94:$AL$94,1,25)</f>
        <v/>
      </c>
      <c r="AE155" s="24">
        <f>$F$112*INDEX($C$94:$AL$94,1,26)</f>
        <v/>
      </c>
      <c r="AF155" s="24">
        <f>$F$112*INDEX($C$94:$AL$94,1,27)</f>
        <v/>
      </c>
    </row>
    <row r="156">
      <c r="A156" s="4" t="inlineStr">
        <is>
          <t>Coorte del mese 5</t>
        </is>
      </c>
      <c r="C156" s="24" t="n">
        <v>0</v>
      </c>
      <c r="D156" s="24" t="n">
        <v>0</v>
      </c>
      <c r="E156" s="24" t="n">
        <v>0</v>
      </c>
      <c r="F156" s="24" t="n">
        <v>0</v>
      </c>
      <c r="G156" s="24">
        <f>$G$112*INDEX($C$94:$AL$94,1,1)</f>
        <v/>
      </c>
      <c r="H156" s="24">
        <f>$G$112*INDEX($C$94:$AL$94,1,2)</f>
        <v/>
      </c>
      <c r="I156" s="24">
        <f>$G$112*INDEX($C$94:$AL$94,1,3)</f>
        <v/>
      </c>
      <c r="J156" s="24">
        <f>$G$112*INDEX($C$94:$AL$94,1,4)</f>
        <v/>
      </c>
      <c r="K156" s="24">
        <f>$G$112*INDEX($C$94:$AL$94,1,5)</f>
        <v/>
      </c>
      <c r="L156" s="24">
        <f>$G$112*INDEX($C$94:$AL$94,1,6)</f>
        <v/>
      </c>
      <c r="M156" s="24">
        <f>$G$112*INDEX($C$94:$AL$94,1,7)</f>
        <v/>
      </c>
      <c r="N156" s="24">
        <f>$G$112*INDEX($C$94:$AL$94,1,8)</f>
        <v/>
      </c>
      <c r="O156" s="24">
        <f>$G$112*INDEX($C$94:$AL$94,1,9)</f>
        <v/>
      </c>
      <c r="P156" s="24">
        <f>$G$112*INDEX($C$94:$AL$94,1,10)</f>
        <v/>
      </c>
      <c r="Q156" s="24">
        <f>$G$112*INDEX($C$94:$AL$94,1,11)</f>
        <v/>
      </c>
      <c r="R156" s="24">
        <f>$G$112*INDEX($C$94:$AL$94,1,12)</f>
        <v/>
      </c>
      <c r="S156" s="24">
        <f>$G$112*INDEX($C$94:$AL$94,1,13)</f>
        <v/>
      </c>
      <c r="T156" s="24">
        <f>$G$112*INDEX($C$94:$AL$94,1,14)</f>
        <v/>
      </c>
      <c r="U156" s="24">
        <f>$G$112*INDEX($C$94:$AL$94,1,15)</f>
        <v/>
      </c>
      <c r="V156" s="24">
        <f>$G$112*INDEX($C$94:$AL$94,1,16)</f>
        <v/>
      </c>
      <c r="W156" s="24">
        <f>$G$112*INDEX($C$94:$AL$94,1,17)</f>
        <v/>
      </c>
      <c r="X156" s="24">
        <f>$G$112*INDEX($C$94:$AL$94,1,18)</f>
        <v/>
      </c>
      <c r="Y156" s="24">
        <f>$G$112*INDEX($C$94:$AL$94,1,19)</f>
        <v/>
      </c>
      <c r="Z156" s="24">
        <f>$G$112*INDEX($C$94:$AL$94,1,20)</f>
        <v/>
      </c>
      <c r="AA156" s="24">
        <f>$G$112*INDEX($C$94:$AL$94,1,21)</f>
        <v/>
      </c>
      <c r="AB156" s="24">
        <f>$G$112*INDEX($C$94:$AL$94,1,22)</f>
        <v/>
      </c>
      <c r="AC156" s="24">
        <f>$G$112*INDEX($C$94:$AL$94,1,23)</f>
        <v/>
      </c>
      <c r="AD156" s="24">
        <f>$G$112*INDEX($C$94:$AL$94,1,24)</f>
        <v/>
      </c>
      <c r="AE156" s="24">
        <f>$G$112*INDEX($C$94:$AL$94,1,25)</f>
        <v/>
      </c>
      <c r="AF156" s="24">
        <f>$G$112*INDEX($C$94:$AL$94,1,26)</f>
        <v/>
      </c>
    </row>
    <row r="157">
      <c r="A157" s="4" t="inlineStr">
        <is>
          <t>Coorte del mese 6</t>
        </is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>
        <f>$H$112*INDEX($C$94:$AL$94,1,1)</f>
        <v/>
      </c>
      <c r="I157" s="24">
        <f>$H$112*INDEX($C$94:$AL$94,1,2)</f>
        <v/>
      </c>
      <c r="J157" s="24">
        <f>$H$112*INDEX($C$94:$AL$94,1,3)</f>
        <v/>
      </c>
      <c r="K157" s="24">
        <f>$H$112*INDEX($C$94:$AL$94,1,4)</f>
        <v/>
      </c>
      <c r="L157" s="24">
        <f>$H$112*INDEX($C$94:$AL$94,1,5)</f>
        <v/>
      </c>
      <c r="M157" s="24">
        <f>$H$112*INDEX($C$94:$AL$94,1,6)</f>
        <v/>
      </c>
      <c r="N157" s="24">
        <f>$H$112*INDEX($C$94:$AL$94,1,7)</f>
        <v/>
      </c>
      <c r="O157" s="24">
        <f>$H$112*INDEX($C$94:$AL$94,1,8)</f>
        <v/>
      </c>
      <c r="P157" s="24">
        <f>$H$112*INDEX($C$94:$AL$94,1,9)</f>
        <v/>
      </c>
      <c r="Q157" s="24">
        <f>$H$112*INDEX($C$94:$AL$94,1,10)</f>
        <v/>
      </c>
      <c r="R157" s="24">
        <f>$H$112*INDEX($C$94:$AL$94,1,11)</f>
        <v/>
      </c>
      <c r="S157" s="24">
        <f>$H$112*INDEX($C$94:$AL$94,1,12)</f>
        <v/>
      </c>
      <c r="T157" s="24">
        <f>$H$112*INDEX($C$94:$AL$94,1,13)</f>
        <v/>
      </c>
      <c r="U157" s="24">
        <f>$H$112*INDEX($C$94:$AL$94,1,14)</f>
        <v/>
      </c>
      <c r="V157" s="24">
        <f>$H$112*INDEX($C$94:$AL$94,1,15)</f>
        <v/>
      </c>
      <c r="W157" s="24">
        <f>$H$112*INDEX($C$94:$AL$94,1,16)</f>
        <v/>
      </c>
      <c r="X157" s="24">
        <f>$H$112*INDEX($C$94:$AL$94,1,17)</f>
        <v/>
      </c>
      <c r="Y157" s="24">
        <f>$H$112*INDEX($C$94:$AL$94,1,18)</f>
        <v/>
      </c>
      <c r="Z157" s="24">
        <f>$H$112*INDEX($C$94:$AL$94,1,19)</f>
        <v/>
      </c>
      <c r="AA157" s="24">
        <f>$H$112*INDEX($C$94:$AL$94,1,20)</f>
        <v/>
      </c>
      <c r="AB157" s="24">
        <f>$H$112*INDEX($C$94:$AL$94,1,21)</f>
        <v/>
      </c>
      <c r="AC157" s="24">
        <f>$H$112*INDEX($C$94:$AL$94,1,22)</f>
        <v/>
      </c>
      <c r="AD157" s="24">
        <f>$H$112*INDEX($C$94:$AL$94,1,23)</f>
        <v/>
      </c>
      <c r="AE157" s="24">
        <f>$H$112*INDEX($C$94:$AL$94,1,24)</f>
        <v/>
      </c>
      <c r="AF157" s="24">
        <f>$H$112*INDEX($C$94:$AL$94,1,25)</f>
        <v/>
      </c>
    </row>
    <row r="158">
      <c r="A158" s="4" t="inlineStr">
        <is>
          <t>Coorte del mese 7</t>
        </is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>
        <f>$I$112*INDEX($C$94:$AL$94,1,1)</f>
        <v/>
      </c>
      <c r="J158" s="24">
        <f>$I$112*INDEX($C$94:$AL$94,1,2)</f>
        <v/>
      </c>
      <c r="K158" s="24">
        <f>$I$112*INDEX($C$94:$AL$94,1,3)</f>
        <v/>
      </c>
      <c r="L158" s="24">
        <f>$I$112*INDEX($C$94:$AL$94,1,4)</f>
        <v/>
      </c>
      <c r="M158" s="24">
        <f>$I$112*INDEX($C$94:$AL$94,1,5)</f>
        <v/>
      </c>
      <c r="N158" s="24">
        <f>$I$112*INDEX($C$94:$AL$94,1,6)</f>
        <v/>
      </c>
      <c r="O158" s="24">
        <f>$I$112*INDEX($C$94:$AL$94,1,7)</f>
        <v/>
      </c>
      <c r="P158" s="24">
        <f>$I$112*INDEX($C$94:$AL$94,1,8)</f>
        <v/>
      </c>
      <c r="Q158" s="24">
        <f>$I$112*INDEX($C$94:$AL$94,1,9)</f>
        <v/>
      </c>
      <c r="R158" s="24">
        <f>$I$112*INDEX($C$94:$AL$94,1,10)</f>
        <v/>
      </c>
      <c r="S158" s="24">
        <f>$I$112*INDEX($C$94:$AL$94,1,11)</f>
        <v/>
      </c>
      <c r="T158" s="24">
        <f>$I$112*INDEX($C$94:$AL$94,1,12)</f>
        <v/>
      </c>
      <c r="U158" s="24">
        <f>$I$112*INDEX($C$94:$AL$94,1,13)</f>
        <v/>
      </c>
      <c r="V158" s="24">
        <f>$I$112*INDEX($C$94:$AL$94,1,14)</f>
        <v/>
      </c>
      <c r="W158" s="24">
        <f>$I$112*INDEX($C$94:$AL$94,1,15)</f>
        <v/>
      </c>
      <c r="X158" s="24">
        <f>$I$112*INDEX($C$94:$AL$94,1,16)</f>
        <v/>
      </c>
      <c r="Y158" s="24">
        <f>$I$112*INDEX($C$94:$AL$94,1,17)</f>
        <v/>
      </c>
      <c r="Z158" s="24">
        <f>$I$112*INDEX($C$94:$AL$94,1,18)</f>
        <v/>
      </c>
      <c r="AA158" s="24">
        <f>$I$112*INDEX($C$94:$AL$94,1,19)</f>
        <v/>
      </c>
      <c r="AB158" s="24">
        <f>$I$112*INDEX($C$94:$AL$94,1,20)</f>
        <v/>
      </c>
      <c r="AC158" s="24">
        <f>$I$112*INDEX($C$94:$AL$94,1,21)</f>
        <v/>
      </c>
      <c r="AD158" s="24">
        <f>$I$112*INDEX($C$94:$AL$94,1,22)</f>
        <v/>
      </c>
      <c r="AE158" s="24">
        <f>$I$112*INDEX($C$94:$AL$94,1,23)</f>
        <v/>
      </c>
      <c r="AF158" s="24">
        <f>$I$112*INDEX($C$94:$AL$94,1,24)</f>
        <v/>
      </c>
    </row>
    <row r="159">
      <c r="A159" s="4" t="inlineStr">
        <is>
          <t>Coorte del mese 8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>
        <f>$J$112*INDEX($C$94:$AL$94,1,1)</f>
        <v/>
      </c>
      <c r="K159" s="24">
        <f>$J$112*INDEX($C$94:$AL$94,1,2)</f>
        <v/>
      </c>
      <c r="L159" s="24">
        <f>$J$112*INDEX($C$94:$AL$94,1,3)</f>
        <v/>
      </c>
      <c r="M159" s="24">
        <f>$J$112*INDEX($C$94:$AL$94,1,4)</f>
        <v/>
      </c>
      <c r="N159" s="24">
        <f>$J$112*INDEX($C$94:$AL$94,1,5)</f>
        <v/>
      </c>
      <c r="O159" s="24">
        <f>$J$112*INDEX($C$94:$AL$94,1,6)</f>
        <v/>
      </c>
      <c r="P159" s="24">
        <f>$J$112*INDEX($C$94:$AL$94,1,7)</f>
        <v/>
      </c>
      <c r="Q159" s="24">
        <f>$J$112*INDEX($C$94:$AL$94,1,8)</f>
        <v/>
      </c>
      <c r="R159" s="24">
        <f>$J$112*INDEX($C$94:$AL$94,1,9)</f>
        <v/>
      </c>
      <c r="S159" s="24">
        <f>$J$112*INDEX($C$94:$AL$94,1,10)</f>
        <v/>
      </c>
      <c r="T159" s="24">
        <f>$J$112*INDEX($C$94:$AL$94,1,11)</f>
        <v/>
      </c>
      <c r="U159" s="24">
        <f>$J$112*INDEX($C$94:$AL$94,1,12)</f>
        <v/>
      </c>
      <c r="V159" s="24">
        <f>$J$112*INDEX($C$94:$AL$94,1,13)</f>
        <v/>
      </c>
      <c r="W159" s="24">
        <f>$J$112*INDEX($C$94:$AL$94,1,14)</f>
        <v/>
      </c>
      <c r="X159" s="24">
        <f>$J$112*INDEX($C$94:$AL$94,1,15)</f>
        <v/>
      </c>
      <c r="Y159" s="24">
        <f>$J$112*INDEX($C$94:$AL$94,1,16)</f>
        <v/>
      </c>
      <c r="Z159" s="24">
        <f>$J$112*INDEX($C$94:$AL$94,1,17)</f>
        <v/>
      </c>
      <c r="AA159" s="24">
        <f>$J$112*INDEX($C$94:$AL$94,1,18)</f>
        <v/>
      </c>
      <c r="AB159" s="24">
        <f>$J$112*INDEX($C$94:$AL$94,1,19)</f>
        <v/>
      </c>
      <c r="AC159" s="24">
        <f>$J$112*INDEX($C$94:$AL$94,1,20)</f>
        <v/>
      </c>
      <c r="AD159" s="24">
        <f>$J$112*INDEX($C$94:$AL$94,1,21)</f>
        <v/>
      </c>
      <c r="AE159" s="24">
        <f>$J$112*INDEX($C$94:$AL$94,1,22)</f>
        <v/>
      </c>
      <c r="AF159" s="24">
        <f>$J$112*INDEX($C$94:$AL$94,1,23)</f>
        <v/>
      </c>
    </row>
    <row r="160">
      <c r="A160" s="4" t="inlineStr">
        <is>
          <t>Coorte del mese 9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>
        <f>$K$112*INDEX($C$94:$AL$94,1,1)</f>
        <v/>
      </c>
      <c r="L160" s="24">
        <f>$K$112*INDEX($C$94:$AL$94,1,2)</f>
        <v/>
      </c>
      <c r="M160" s="24">
        <f>$K$112*INDEX($C$94:$AL$94,1,3)</f>
        <v/>
      </c>
      <c r="N160" s="24">
        <f>$K$112*INDEX($C$94:$AL$94,1,4)</f>
        <v/>
      </c>
      <c r="O160" s="24">
        <f>$K$112*INDEX($C$94:$AL$94,1,5)</f>
        <v/>
      </c>
      <c r="P160" s="24">
        <f>$K$112*INDEX($C$94:$AL$94,1,6)</f>
        <v/>
      </c>
      <c r="Q160" s="24">
        <f>$K$112*INDEX($C$94:$AL$94,1,7)</f>
        <v/>
      </c>
      <c r="R160" s="24">
        <f>$K$112*INDEX($C$94:$AL$94,1,8)</f>
        <v/>
      </c>
      <c r="S160" s="24">
        <f>$K$112*INDEX($C$94:$AL$94,1,9)</f>
        <v/>
      </c>
      <c r="T160" s="24">
        <f>$K$112*INDEX($C$94:$AL$94,1,10)</f>
        <v/>
      </c>
      <c r="U160" s="24">
        <f>$K$112*INDEX($C$94:$AL$94,1,11)</f>
        <v/>
      </c>
      <c r="V160" s="24">
        <f>$K$112*INDEX($C$94:$AL$94,1,12)</f>
        <v/>
      </c>
      <c r="W160" s="24">
        <f>$K$112*INDEX($C$94:$AL$94,1,13)</f>
        <v/>
      </c>
      <c r="X160" s="24">
        <f>$K$112*INDEX($C$94:$AL$94,1,14)</f>
        <v/>
      </c>
      <c r="Y160" s="24">
        <f>$K$112*INDEX($C$94:$AL$94,1,15)</f>
        <v/>
      </c>
      <c r="Z160" s="24">
        <f>$K$112*INDEX($C$94:$AL$94,1,16)</f>
        <v/>
      </c>
      <c r="AA160" s="24">
        <f>$K$112*INDEX($C$94:$AL$94,1,17)</f>
        <v/>
      </c>
      <c r="AB160" s="24">
        <f>$K$112*INDEX($C$94:$AL$94,1,18)</f>
        <v/>
      </c>
      <c r="AC160" s="24">
        <f>$K$112*INDEX($C$94:$AL$94,1,19)</f>
        <v/>
      </c>
      <c r="AD160" s="24">
        <f>$K$112*INDEX($C$94:$AL$94,1,20)</f>
        <v/>
      </c>
      <c r="AE160" s="24">
        <f>$K$112*INDEX($C$94:$AL$94,1,21)</f>
        <v/>
      </c>
      <c r="AF160" s="24">
        <f>$K$112*INDEX($C$94:$AL$94,1,22)</f>
        <v/>
      </c>
    </row>
    <row r="161">
      <c r="A161" s="4" t="inlineStr">
        <is>
          <t>Coorte del mese 10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>
        <f>$L$112*INDEX($C$94:$AL$94,1,1)</f>
        <v/>
      </c>
      <c r="M161" s="24">
        <f>$L$112*INDEX($C$94:$AL$94,1,2)</f>
        <v/>
      </c>
      <c r="N161" s="24">
        <f>$L$112*INDEX($C$94:$AL$94,1,3)</f>
        <v/>
      </c>
      <c r="O161" s="24">
        <f>$L$112*INDEX($C$94:$AL$94,1,4)</f>
        <v/>
      </c>
      <c r="P161" s="24">
        <f>$L$112*INDEX($C$94:$AL$94,1,5)</f>
        <v/>
      </c>
      <c r="Q161" s="24">
        <f>$L$112*INDEX($C$94:$AL$94,1,6)</f>
        <v/>
      </c>
      <c r="R161" s="24">
        <f>$L$112*INDEX($C$94:$AL$94,1,7)</f>
        <v/>
      </c>
      <c r="S161" s="24">
        <f>$L$112*INDEX($C$94:$AL$94,1,8)</f>
        <v/>
      </c>
      <c r="T161" s="24">
        <f>$L$112*INDEX($C$94:$AL$94,1,9)</f>
        <v/>
      </c>
      <c r="U161" s="24">
        <f>$L$112*INDEX($C$94:$AL$94,1,10)</f>
        <v/>
      </c>
      <c r="V161" s="24">
        <f>$L$112*INDEX($C$94:$AL$94,1,11)</f>
        <v/>
      </c>
      <c r="W161" s="24">
        <f>$L$112*INDEX($C$94:$AL$94,1,12)</f>
        <v/>
      </c>
      <c r="X161" s="24">
        <f>$L$112*INDEX($C$94:$AL$94,1,13)</f>
        <v/>
      </c>
      <c r="Y161" s="24">
        <f>$L$112*INDEX($C$94:$AL$94,1,14)</f>
        <v/>
      </c>
      <c r="Z161" s="24">
        <f>$L$112*INDEX($C$94:$AL$94,1,15)</f>
        <v/>
      </c>
      <c r="AA161" s="24">
        <f>$L$112*INDEX($C$94:$AL$94,1,16)</f>
        <v/>
      </c>
      <c r="AB161" s="24">
        <f>$L$112*INDEX($C$94:$AL$94,1,17)</f>
        <v/>
      </c>
      <c r="AC161" s="24">
        <f>$L$112*INDEX($C$94:$AL$94,1,18)</f>
        <v/>
      </c>
      <c r="AD161" s="24">
        <f>$L$112*INDEX($C$94:$AL$94,1,19)</f>
        <v/>
      </c>
      <c r="AE161" s="24">
        <f>$L$112*INDEX($C$94:$AL$94,1,20)</f>
        <v/>
      </c>
      <c r="AF161" s="24">
        <f>$L$112*INDEX($C$94:$AL$94,1,21)</f>
        <v/>
      </c>
    </row>
    <row r="162">
      <c r="A162" s="4" t="inlineStr">
        <is>
          <t>Coorte del mese 11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>
        <f>$M$112*INDEX($C$94:$AL$94,1,1)</f>
        <v/>
      </c>
      <c r="N162" s="24">
        <f>$M$112*INDEX($C$94:$AL$94,1,2)</f>
        <v/>
      </c>
      <c r="O162" s="24">
        <f>$M$112*INDEX($C$94:$AL$94,1,3)</f>
        <v/>
      </c>
      <c r="P162" s="24">
        <f>$M$112*INDEX($C$94:$AL$94,1,4)</f>
        <v/>
      </c>
      <c r="Q162" s="24">
        <f>$M$112*INDEX($C$94:$AL$94,1,5)</f>
        <v/>
      </c>
      <c r="R162" s="24">
        <f>$M$112*INDEX($C$94:$AL$94,1,6)</f>
        <v/>
      </c>
      <c r="S162" s="24">
        <f>$M$112*INDEX($C$94:$AL$94,1,7)</f>
        <v/>
      </c>
      <c r="T162" s="24">
        <f>$M$112*INDEX($C$94:$AL$94,1,8)</f>
        <v/>
      </c>
      <c r="U162" s="24">
        <f>$M$112*INDEX($C$94:$AL$94,1,9)</f>
        <v/>
      </c>
      <c r="V162" s="24">
        <f>$M$112*INDEX($C$94:$AL$94,1,10)</f>
        <v/>
      </c>
      <c r="W162" s="24">
        <f>$M$112*INDEX($C$94:$AL$94,1,11)</f>
        <v/>
      </c>
      <c r="X162" s="24">
        <f>$M$112*INDEX($C$94:$AL$94,1,12)</f>
        <v/>
      </c>
      <c r="Y162" s="24">
        <f>$M$112*INDEX($C$94:$AL$94,1,13)</f>
        <v/>
      </c>
      <c r="Z162" s="24">
        <f>$M$112*INDEX($C$94:$AL$94,1,14)</f>
        <v/>
      </c>
      <c r="AA162" s="24">
        <f>$M$112*INDEX($C$94:$AL$94,1,15)</f>
        <v/>
      </c>
      <c r="AB162" s="24">
        <f>$M$112*INDEX($C$94:$AL$94,1,16)</f>
        <v/>
      </c>
      <c r="AC162" s="24">
        <f>$M$112*INDEX($C$94:$AL$94,1,17)</f>
        <v/>
      </c>
      <c r="AD162" s="24">
        <f>$M$112*INDEX($C$94:$AL$94,1,18)</f>
        <v/>
      </c>
      <c r="AE162" s="24">
        <f>$M$112*INDEX($C$94:$AL$94,1,19)</f>
        <v/>
      </c>
      <c r="AF162" s="24">
        <f>$M$112*INDEX($C$94:$AL$94,1,20)</f>
        <v/>
      </c>
    </row>
    <row r="163">
      <c r="A163" s="4" t="inlineStr">
        <is>
          <t>Coorte del mese 12</t>
        </is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>
        <f>$N$112*INDEX($C$94:$AL$94,1,1)</f>
        <v/>
      </c>
      <c r="O163" s="24">
        <f>$N$112*INDEX($C$94:$AL$94,1,2)</f>
        <v/>
      </c>
      <c r="P163" s="24">
        <f>$N$112*INDEX($C$94:$AL$94,1,3)</f>
        <v/>
      </c>
      <c r="Q163" s="24">
        <f>$N$112*INDEX($C$94:$AL$94,1,4)</f>
        <v/>
      </c>
      <c r="R163" s="24">
        <f>$N$112*INDEX($C$94:$AL$94,1,5)</f>
        <v/>
      </c>
      <c r="S163" s="24">
        <f>$N$112*INDEX($C$94:$AL$94,1,6)</f>
        <v/>
      </c>
      <c r="T163" s="24">
        <f>$N$112*INDEX($C$94:$AL$94,1,7)</f>
        <v/>
      </c>
      <c r="U163" s="24">
        <f>$N$112*INDEX($C$94:$AL$94,1,8)</f>
        <v/>
      </c>
      <c r="V163" s="24">
        <f>$N$112*INDEX($C$94:$AL$94,1,9)</f>
        <v/>
      </c>
      <c r="W163" s="24">
        <f>$N$112*INDEX($C$94:$AL$94,1,10)</f>
        <v/>
      </c>
      <c r="X163" s="24">
        <f>$N$112*INDEX($C$94:$AL$94,1,11)</f>
        <v/>
      </c>
      <c r="Y163" s="24">
        <f>$N$112*INDEX($C$94:$AL$94,1,12)</f>
        <v/>
      </c>
      <c r="Z163" s="24">
        <f>$N$112*INDEX($C$94:$AL$94,1,13)</f>
        <v/>
      </c>
      <c r="AA163" s="24">
        <f>$N$112*INDEX($C$94:$AL$94,1,14)</f>
        <v/>
      </c>
      <c r="AB163" s="24">
        <f>$N$112*INDEX($C$94:$AL$94,1,15)</f>
        <v/>
      </c>
      <c r="AC163" s="24">
        <f>$N$112*INDEX($C$94:$AL$94,1,16)</f>
        <v/>
      </c>
      <c r="AD163" s="24">
        <f>$N$112*INDEX($C$94:$AL$94,1,17)</f>
        <v/>
      </c>
      <c r="AE163" s="24">
        <f>$N$112*INDEX($C$94:$AL$94,1,18)</f>
        <v/>
      </c>
      <c r="AF163" s="24">
        <f>$N$112*INDEX($C$94:$AL$94,1,19)</f>
        <v/>
      </c>
    </row>
    <row r="164">
      <c r="A164" s="4" t="inlineStr">
        <is>
          <t>Coorte del mese 13</t>
        </is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>
        <f>$O$112*INDEX($C$94:$AL$94,1,1)</f>
        <v/>
      </c>
      <c r="P164" s="24">
        <f>$O$112*INDEX($C$94:$AL$94,1,2)</f>
        <v/>
      </c>
      <c r="Q164" s="24">
        <f>$O$112*INDEX($C$94:$AL$94,1,3)</f>
        <v/>
      </c>
      <c r="R164" s="24">
        <f>$O$112*INDEX($C$94:$AL$94,1,4)</f>
        <v/>
      </c>
      <c r="S164" s="24">
        <f>$O$112*INDEX($C$94:$AL$94,1,5)</f>
        <v/>
      </c>
      <c r="T164" s="24">
        <f>$O$112*INDEX($C$94:$AL$94,1,6)</f>
        <v/>
      </c>
      <c r="U164" s="24">
        <f>$O$112*INDEX($C$94:$AL$94,1,7)</f>
        <v/>
      </c>
      <c r="V164" s="24">
        <f>$O$112*INDEX($C$94:$AL$94,1,8)</f>
        <v/>
      </c>
      <c r="W164" s="24">
        <f>$O$112*INDEX($C$94:$AL$94,1,9)</f>
        <v/>
      </c>
      <c r="X164" s="24">
        <f>$O$112*INDEX($C$94:$AL$94,1,10)</f>
        <v/>
      </c>
      <c r="Y164" s="24">
        <f>$O$112*INDEX($C$94:$AL$94,1,11)</f>
        <v/>
      </c>
      <c r="Z164" s="24">
        <f>$O$112*INDEX($C$94:$AL$94,1,12)</f>
        <v/>
      </c>
      <c r="AA164" s="24">
        <f>$O$112*INDEX($C$94:$AL$94,1,13)</f>
        <v/>
      </c>
      <c r="AB164" s="24">
        <f>$O$112*INDEX($C$94:$AL$94,1,14)</f>
        <v/>
      </c>
      <c r="AC164" s="24">
        <f>$O$112*INDEX($C$94:$AL$94,1,15)</f>
        <v/>
      </c>
      <c r="AD164" s="24">
        <f>$O$112*INDEX($C$94:$AL$94,1,16)</f>
        <v/>
      </c>
      <c r="AE164" s="24">
        <f>$O$112*INDEX($C$94:$AL$94,1,17)</f>
        <v/>
      </c>
      <c r="AF164" s="24">
        <f>$O$112*INDEX($C$94:$AL$94,1,18)</f>
        <v/>
      </c>
    </row>
    <row r="165">
      <c r="A165" s="4" t="inlineStr">
        <is>
          <t>Coorte del mese 14</t>
        </is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>
        <f>$P$112*INDEX($C$94:$AL$94,1,1)</f>
        <v/>
      </c>
      <c r="Q165" s="24">
        <f>$P$112*INDEX($C$94:$AL$94,1,2)</f>
        <v/>
      </c>
      <c r="R165" s="24">
        <f>$P$112*INDEX($C$94:$AL$94,1,3)</f>
        <v/>
      </c>
      <c r="S165" s="24">
        <f>$P$112*INDEX($C$94:$AL$94,1,4)</f>
        <v/>
      </c>
      <c r="T165" s="24">
        <f>$P$112*INDEX($C$94:$AL$94,1,5)</f>
        <v/>
      </c>
      <c r="U165" s="24">
        <f>$P$112*INDEX($C$94:$AL$94,1,6)</f>
        <v/>
      </c>
      <c r="V165" s="24">
        <f>$P$112*INDEX($C$94:$AL$94,1,7)</f>
        <v/>
      </c>
      <c r="W165" s="24">
        <f>$P$112*INDEX($C$94:$AL$94,1,8)</f>
        <v/>
      </c>
      <c r="X165" s="24">
        <f>$P$112*INDEX($C$94:$AL$94,1,9)</f>
        <v/>
      </c>
      <c r="Y165" s="24">
        <f>$P$112*INDEX($C$94:$AL$94,1,10)</f>
        <v/>
      </c>
      <c r="Z165" s="24">
        <f>$P$112*INDEX($C$94:$AL$94,1,11)</f>
        <v/>
      </c>
      <c r="AA165" s="24">
        <f>$P$112*INDEX($C$94:$AL$94,1,12)</f>
        <v/>
      </c>
      <c r="AB165" s="24">
        <f>$P$112*INDEX($C$94:$AL$94,1,13)</f>
        <v/>
      </c>
      <c r="AC165" s="24">
        <f>$P$112*INDEX($C$94:$AL$94,1,14)</f>
        <v/>
      </c>
      <c r="AD165" s="24">
        <f>$P$112*INDEX($C$94:$AL$94,1,15)</f>
        <v/>
      </c>
      <c r="AE165" s="24">
        <f>$P$112*INDEX($C$94:$AL$94,1,16)</f>
        <v/>
      </c>
      <c r="AF165" s="24">
        <f>$P$112*INDEX($C$94:$AL$94,1,17)</f>
        <v/>
      </c>
    </row>
    <row r="166">
      <c r="A166" s="4" t="inlineStr">
        <is>
          <t>Coorte del mese 15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>
        <f>$Q$112*INDEX($C$94:$AL$94,1,1)</f>
        <v/>
      </c>
      <c r="R166" s="24">
        <f>$Q$112*INDEX($C$94:$AL$94,1,2)</f>
        <v/>
      </c>
      <c r="S166" s="24">
        <f>$Q$112*INDEX($C$94:$AL$94,1,3)</f>
        <v/>
      </c>
      <c r="T166" s="24">
        <f>$Q$112*INDEX($C$94:$AL$94,1,4)</f>
        <v/>
      </c>
      <c r="U166" s="24">
        <f>$Q$112*INDEX($C$94:$AL$94,1,5)</f>
        <v/>
      </c>
      <c r="V166" s="24">
        <f>$Q$112*INDEX($C$94:$AL$94,1,6)</f>
        <v/>
      </c>
      <c r="W166" s="24">
        <f>$Q$112*INDEX($C$94:$AL$94,1,7)</f>
        <v/>
      </c>
      <c r="X166" s="24">
        <f>$Q$112*INDEX($C$94:$AL$94,1,8)</f>
        <v/>
      </c>
      <c r="Y166" s="24">
        <f>$Q$112*INDEX($C$94:$AL$94,1,9)</f>
        <v/>
      </c>
      <c r="Z166" s="24">
        <f>$Q$112*INDEX($C$94:$AL$94,1,10)</f>
        <v/>
      </c>
      <c r="AA166" s="24">
        <f>$Q$112*INDEX($C$94:$AL$94,1,11)</f>
        <v/>
      </c>
      <c r="AB166" s="24">
        <f>$Q$112*INDEX($C$94:$AL$94,1,12)</f>
        <v/>
      </c>
      <c r="AC166" s="24">
        <f>$Q$112*INDEX($C$94:$AL$94,1,13)</f>
        <v/>
      </c>
      <c r="AD166" s="24">
        <f>$Q$112*INDEX($C$94:$AL$94,1,14)</f>
        <v/>
      </c>
      <c r="AE166" s="24">
        <f>$Q$112*INDEX($C$94:$AL$94,1,15)</f>
        <v/>
      </c>
      <c r="AF166" s="24">
        <f>$Q$112*INDEX($C$94:$AL$94,1,16)</f>
        <v/>
      </c>
    </row>
    <row r="167">
      <c r="A167" s="4" t="inlineStr">
        <is>
          <t>Coorte del mese 16</t>
        </is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>
        <f>$R$112*INDEX($C$94:$AL$94,1,1)</f>
        <v/>
      </c>
      <c r="S167" s="24">
        <f>$R$112*INDEX($C$94:$AL$94,1,2)</f>
        <v/>
      </c>
      <c r="T167" s="24">
        <f>$R$112*INDEX($C$94:$AL$94,1,3)</f>
        <v/>
      </c>
      <c r="U167" s="24">
        <f>$R$112*INDEX($C$94:$AL$94,1,4)</f>
        <v/>
      </c>
      <c r="V167" s="24">
        <f>$R$112*INDEX($C$94:$AL$94,1,5)</f>
        <v/>
      </c>
      <c r="W167" s="24">
        <f>$R$112*INDEX($C$94:$AL$94,1,6)</f>
        <v/>
      </c>
      <c r="X167" s="24">
        <f>$R$112*INDEX($C$94:$AL$94,1,7)</f>
        <v/>
      </c>
      <c r="Y167" s="24">
        <f>$R$112*INDEX($C$94:$AL$94,1,8)</f>
        <v/>
      </c>
      <c r="Z167" s="24">
        <f>$R$112*INDEX($C$94:$AL$94,1,9)</f>
        <v/>
      </c>
      <c r="AA167" s="24">
        <f>$R$112*INDEX($C$94:$AL$94,1,10)</f>
        <v/>
      </c>
      <c r="AB167" s="24">
        <f>$R$112*INDEX($C$94:$AL$94,1,11)</f>
        <v/>
      </c>
      <c r="AC167" s="24">
        <f>$R$112*INDEX($C$94:$AL$94,1,12)</f>
        <v/>
      </c>
      <c r="AD167" s="24">
        <f>$R$112*INDEX($C$94:$AL$94,1,13)</f>
        <v/>
      </c>
      <c r="AE167" s="24">
        <f>$R$112*INDEX($C$94:$AL$94,1,14)</f>
        <v/>
      </c>
      <c r="AF167" s="24">
        <f>$R$112*INDEX($C$94:$AL$94,1,15)</f>
        <v/>
      </c>
    </row>
    <row r="168">
      <c r="A168" s="4" t="inlineStr">
        <is>
          <t>Coorte del mese 17</t>
        </is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>
        <f>$S$112*INDEX($C$94:$AL$94,1,1)</f>
        <v/>
      </c>
      <c r="T168" s="24">
        <f>$S$112*INDEX($C$94:$AL$94,1,2)</f>
        <v/>
      </c>
      <c r="U168" s="24">
        <f>$S$112*INDEX($C$94:$AL$94,1,3)</f>
        <v/>
      </c>
      <c r="V168" s="24">
        <f>$S$112*INDEX($C$94:$AL$94,1,4)</f>
        <v/>
      </c>
      <c r="W168" s="24">
        <f>$S$112*INDEX($C$94:$AL$94,1,5)</f>
        <v/>
      </c>
      <c r="X168" s="24">
        <f>$S$112*INDEX($C$94:$AL$94,1,6)</f>
        <v/>
      </c>
      <c r="Y168" s="24">
        <f>$S$112*INDEX($C$94:$AL$94,1,7)</f>
        <v/>
      </c>
      <c r="Z168" s="24">
        <f>$S$112*INDEX($C$94:$AL$94,1,8)</f>
        <v/>
      </c>
      <c r="AA168" s="24">
        <f>$S$112*INDEX($C$94:$AL$94,1,9)</f>
        <v/>
      </c>
      <c r="AB168" s="24">
        <f>$S$112*INDEX($C$94:$AL$94,1,10)</f>
        <v/>
      </c>
      <c r="AC168" s="24">
        <f>$S$112*INDEX($C$94:$AL$94,1,11)</f>
        <v/>
      </c>
      <c r="AD168" s="24">
        <f>$S$112*INDEX($C$94:$AL$94,1,12)</f>
        <v/>
      </c>
      <c r="AE168" s="24">
        <f>$S$112*INDEX($C$94:$AL$94,1,13)</f>
        <v/>
      </c>
      <c r="AF168" s="24">
        <f>$S$112*INDEX($C$94:$AL$94,1,14)</f>
        <v/>
      </c>
    </row>
    <row r="169">
      <c r="A169" s="4" t="inlineStr">
        <is>
          <t>Coorte del mese 18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>
        <f>$T$112*INDEX($C$94:$AL$94,1,1)</f>
        <v/>
      </c>
      <c r="U169" s="24">
        <f>$T$112*INDEX($C$94:$AL$94,1,2)</f>
        <v/>
      </c>
      <c r="V169" s="24">
        <f>$T$112*INDEX($C$94:$AL$94,1,3)</f>
        <v/>
      </c>
      <c r="W169" s="24">
        <f>$T$112*INDEX($C$94:$AL$94,1,4)</f>
        <v/>
      </c>
      <c r="X169" s="24">
        <f>$T$112*INDEX($C$94:$AL$94,1,5)</f>
        <v/>
      </c>
      <c r="Y169" s="24">
        <f>$T$112*INDEX($C$94:$AL$94,1,6)</f>
        <v/>
      </c>
      <c r="Z169" s="24">
        <f>$T$112*INDEX($C$94:$AL$94,1,7)</f>
        <v/>
      </c>
      <c r="AA169" s="24">
        <f>$T$112*INDEX($C$94:$AL$94,1,8)</f>
        <v/>
      </c>
      <c r="AB169" s="24">
        <f>$T$112*INDEX($C$94:$AL$94,1,9)</f>
        <v/>
      </c>
      <c r="AC169" s="24">
        <f>$T$112*INDEX($C$94:$AL$94,1,10)</f>
        <v/>
      </c>
      <c r="AD169" s="24">
        <f>$T$112*INDEX($C$94:$AL$94,1,11)</f>
        <v/>
      </c>
      <c r="AE169" s="24">
        <f>$T$112*INDEX($C$94:$AL$94,1,12)</f>
        <v/>
      </c>
      <c r="AF169" s="24">
        <f>$T$112*INDEX($C$94:$AL$94,1,13)</f>
        <v/>
      </c>
    </row>
    <row r="170">
      <c r="A170" s="4" t="inlineStr">
        <is>
          <t>Coorte del mese 19</t>
        </is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>
        <f>$U$112*INDEX($C$94:$AL$94,1,1)</f>
        <v/>
      </c>
      <c r="V170" s="24">
        <f>$U$112*INDEX($C$94:$AL$94,1,2)</f>
        <v/>
      </c>
      <c r="W170" s="24">
        <f>$U$112*INDEX($C$94:$AL$94,1,3)</f>
        <v/>
      </c>
      <c r="X170" s="24">
        <f>$U$112*INDEX($C$94:$AL$94,1,4)</f>
        <v/>
      </c>
      <c r="Y170" s="24">
        <f>$U$112*INDEX($C$94:$AL$94,1,5)</f>
        <v/>
      </c>
      <c r="Z170" s="24">
        <f>$U$112*INDEX($C$94:$AL$94,1,6)</f>
        <v/>
      </c>
      <c r="AA170" s="24">
        <f>$U$112*INDEX($C$94:$AL$94,1,7)</f>
        <v/>
      </c>
      <c r="AB170" s="24">
        <f>$U$112*INDEX($C$94:$AL$94,1,8)</f>
        <v/>
      </c>
      <c r="AC170" s="24">
        <f>$U$112*INDEX($C$94:$AL$94,1,9)</f>
        <v/>
      </c>
      <c r="AD170" s="24">
        <f>$U$112*INDEX($C$94:$AL$94,1,10)</f>
        <v/>
      </c>
      <c r="AE170" s="24">
        <f>$U$112*INDEX($C$94:$AL$94,1,11)</f>
        <v/>
      </c>
      <c r="AF170" s="24">
        <f>$U$112*INDEX($C$94:$AL$94,1,12)</f>
        <v/>
      </c>
    </row>
    <row r="171">
      <c r="A171" s="4" t="inlineStr">
        <is>
          <t>Coorte del mese 20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>
        <f>$V$112*INDEX($C$94:$AL$94,1,1)</f>
        <v/>
      </c>
      <c r="W171" s="24">
        <f>$V$112*INDEX($C$94:$AL$94,1,2)</f>
        <v/>
      </c>
      <c r="X171" s="24">
        <f>$V$112*INDEX($C$94:$AL$94,1,3)</f>
        <v/>
      </c>
      <c r="Y171" s="24">
        <f>$V$112*INDEX($C$94:$AL$94,1,4)</f>
        <v/>
      </c>
      <c r="Z171" s="24">
        <f>$V$112*INDEX($C$94:$AL$94,1,5)</f>
        <v/>
      </c>
      <c r="AA171" s="24">
        <f>$V$112*INDEX($C$94:$AL$94,1,6)</f>
        <v/>
      </c>
      <c r="AB171" s="24">
        <f>$V$112*INDEX($C$94:$AL$94,1,7)</f>
        <v/>
      </c>
      <c r="AC171" s="24">
        <f>$V$112*INDEX($C$94:$AL$94,1,8)</f>
        <v/>
      </c>
      <c r="AD171" s="24">
        <f>$V$112*INDEX($C$94:$AL$94,1,9)</f>
        <v/>
      </c>
      <c r="AE171" s="24">
        <f>$V$112*INDEX($C$94:$AL$94,1,10)</f>
        <v/>
      </c>
      <c r="AF171" s="24">
        <f>$V$112*INDEX($C$94:$AL$94,1,11)</f>
        <v/>
      </c>
    </row>
    <row r="172">
      <c r="A172" s="4" t="inlineStr">
        <is>
          <t>Coorte del mese 21</t>
        </is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>
        <f>$W$112*INDEX($C$94:$AL$94,1,1)</f>
        <v/>
      </c>
      <c r="X172" s="24">
        <f>$W$112*INDEX($C$94:$AL$94,1,2)</f>
        <v/>
      </c>
      <c r="Y172" s="24">
        <f>$W$112*INDEX($C$94:$AL$94,1,3)</f>
        <v/>
      </c>
      <c r="Z172" s="24">
        <f>$W$112*INDEX($C$94:$AL$94,1,4)</f>
        <v/>
      </c>
      <c r="AA172" s="24">
        <f>$W$112*INDEX($C$94:$AL$94,1,5)</f>
        <v/>
      </c>
      <c r="AB172" s="24">
        <f>$W$112*INDEX($C$94:$AL$94,1,6)</f>
        <v/>
      </c>
      <c r="AC172" s="24">
        <f>$W$112*INDEX($C$94:$AL$94,1,7)</f>
        <v/>
      </c>
      <c r="AD172" s="24">
        <f>$W$112*INDEX($C$94:$AL$94,1,8)</f>
        <v/>
      </c>
      <c r="AE172" s="24">
        <f>$W$112*INDEX($C$94:$AL$94,1,9)</f>
        <v/>
      </c>
      <c r="AF172" s="24">
        <f>$W$112*INDEX($C$94:$AL$94,1,10)</f>
        <v/>
      </c>
    </row>
    <row r="173">
      <c r="A173" s="4" t="inlineStr">
        <is>
          <t>Coorte del mese 22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>
        <f>$X$112*INDEX($C$94:$AL$94,1,1)</f>
        <v/>
      </c>
      <c r="Y173" s="24">
        <f>$X$112*INDEX($C$94:$AL$94,1,2)</f>
        <v/>
      </c>
      <c r="Z173" s="24">
        <f>$X$112*INDEX($C$94:$AL$94,1,3)</f>
        <v/>
      </c>
      <c r="AA173" s="24">
        <f>$X$112*INDEX($C$94:$AL$94,1,4)</f>
        <v/>
      </c>
      <c r="AB173" s="24">
        <f>$X$112*INDEX($C$94:$AL$94,1,5)</f>
        <v/>
      </c>
      <c r="AC173" s="24">
        <f>$X$112*INDEX($C$94:$AL$94,1,6)</f>
        <v/>
      </c>
      <c r="AD173" s="24">
        <f>$X$112*INDEX($C$94:$AL$94,1,7)</f>
        <v/>
      </c>
      <c r="AE173" s="24">
        <f>$X$112*INDEX($C$94:$AL$94,1,8)</f>
        <v/>
      </c>
      <c r="AF173" s="24">
        <f>$X$112*INDEX($C$94:$AL$94,1,9)</f>
        <v/>
      </c>
    </row>
    <row r="174">
      <c r="A174" s="4" t="inlineStr">
        <is>
          <t>Coorte del mese 23</t>
        </is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>
        <f>$Y$112*INDEX($C$94:$AL$94,1,1)</f>
        <v/>
      </c>
      <c r="Z174" s="24">
        <f>$Y$112*INDEX($C$94:$AL$94,1,2)</f>
        <v/>
      </c>
      <c r="AA174" s="24">
        <f>$Y$112*INDEX($C$94:$AL$94,1,3)</f>
        <v/>
      </c>
      <c r="AB174" s="24">
        <f>$Y$112*INDEX($C$94:$AL$94,1,4)</f>
        <v/>
      </c>
      <c r="AC174" s="24">
        <f>$Y$112*INDEX($C$94:$AL$94,1,5)</f>
        <v/>
      </c>
      <c r="AD174" s="24">
        <f>$Y$112*INDEX($C$94:$AL$94,1,6)</f>
        <v/>
      </c>
      <c r="AE174" s="24">
        <f>$Y$112*INDEX($C$94:$AL$94,1,7)</f>
        <v/>
      </c>
      <c r="AF174" s="24">
        <f>$Y$112*INDEX($C$94:$AL$94,1,8)</f>
        <v/>
      </c>
    </row>
    <row r="175">
      <c r="A175" s="4" t="inlineStr">
        <is>
          <t>Coorte del mese 24</t>
        </is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>
        <f>$Z$112*INDEX($C$94:$AL$94,1,1)</f>
        <v/>
      </c>
      <c r="AA175" s="24">
        <f>$Z$112*INDEX($C$94:$AL$94,1,2)</f>
        <v/>
      </c>
      <c r="AB175" s="24">
        <f>$Z$112*INDEX($C$94:$AL$94,1,3)</f>
        <v/>
      </c>
      <c r="AC175" s="24">
        <f>$Z$112*INDEX($C$94:$AL$94,1,4)</f>
        <v/>
      </c>
      <c r="AD175" s="24">
        <f>$Z$112*INDEX($C$94:$AL$94,1,5)</f>
        <v/>
      </c>
      <c r="AE175" s="24">
        <f>$Z$112*INDEX($C$94:$AL$94,1,6)</f>
        <v/>
      </c>
      <c r="AF175" s="24">
        <f>$Z$112*INDEX($C$94:$AL$94,1,7)</f>
        <v/>
      </c>
    </row>
    <row r="176">
      <c r="A176" s="4" t="inlineStr">
        <is>
          <t>Coorte del mese 25</t>
        </is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24">
        <f>$AA$112*INDEX($C$94:$AL$94,1,1)</f>
        <v/>
      </c>
      <c r="AB176" s="24">
        <f>$AA$112*INDEX($C$94:$AL$94,1,2)</f>
        <v/>
      </c>
      <c r="AC176" s="24">
        <f>$AA$112*INDEX($C$94:$AL$94,1,3)</f>
        <v/>
      </c>
      <c r="AD176" s="24">
        <f>$AA$112*INDEX($C$94:$AL$94,1,4)</f>
        <v/>
      </c>
      <c r="AE176" s="24">
        <f>$AA$112*INDEX($C$94:$AL$94,1,5)</f>
        <v/>
      </c>
      <c r="AF176" s="24">
        <f>$AA$112*INDEX($C$94:$AL$94,1,6)</f>
        <v/>
      </c>
    </row>
    <row r="177">
      <c r="A177" s="4" t="inlineStr">
        <is>
          <t>Coorte del mese 26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>
        <f>$AB$112*INDEX($C$94:$AL$94,1,1)</f>
        <v/>
      </c>
      <c r="AC177" s="24">
        <f>$AB$112*INDEX($C$94:$AL$94,1,2)</f>
        <v/>
      </c>
      <c r="AD177" s="24">
        <f>$AB$112*INDEX($C$94:$AL$94,1,3)</f>
        <v/>
      </c>
      <c r="AE177" s="24">
        <f>$AB$112*INDEX($C$94:$AL$94,1,4)</f>
        <v/>
      </c>
      <c r="AF177" s="24">
        <f>$AB$112*INDEX($C$94:$AL$94,1,5)</f>
        <v/>
      </c>
    </row>
    <row r="178">
      <c r="A178" s="4" t="inlineStr">
        <is>
          <t>Coorte del mese 27</t>
        </is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>
        <f>$AC$112*INDEX($C$94:$AL$94,1,1)</f>
        <v/>
      </c>
      <c r="AD178" s="24">
        <f>$AC$112*INDEX($C$94:$AL$94,1,2)</f>
        <v/>
      </c>
      <c r="AE178" s="24">
        <f>$AC$112*INDEX($C$94:$AL$94,1,3)</f>
        <v/>
      </c>
      <c r="AF178" s="24">
        <f>$AC$112*INDEX($C$94:$AL$94,1,4)</f>
        <v/>
      </c>
    </row>
    <row r="179">
      <c r="A179" s="4" t="inlineStr">
        <is>
          <t>Coorte del mese 28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>
        <f>$AD$112*INDEX($C$94:$AL$94,1,1)</f>
        <v/>
      </c>
      <c r="AE179" s="24">
        <f>$AD$112*INDEX($C$94:$AL$94,1,2)</f>
        <v/>
      </c>
      <c r="AF179" s="24">
        <f>$AD$112*INDEX($C$94:$AL$94,1,3)</f>
        <v/>
      </c>
    </row>
    <row r="180">
      <c r="A180" s="4" t="inlineStr">
        <is>
          <t>Coorte del mese 29</t>
        </is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24" t="n">
        <v>0</v>
      </c>
      <c r="AB180" s="24" t="n">
        <v>0</v>
      </c>
      <c r="AC180" s="24" t="n">
        <v>0</v>
      </c>
      <c r="AD180" s="24" t="n">
        <v>0</v>
      </c>
      <c r="AE180" s="24">
        <f>$AE$112*INDEX($C$94:$AL$94,1,1)</f>
        <v/>
      </c>
      <c r="AF180" s="24">
        <f>$AE$112*INDEX($C$94:$AL$94,1,2)</f>
        <v/>
      </c>
    </row>
    <row r="181">
      <c r="A181" s="4" t="inlineStr">
        <is>
          <t>Coorte del mese 30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4" t="n">
        <v>0</v>
      </c>
      <c r="AD181" s="24" t="n">
        <v>0</v>
      </c>
      <c r="AE181" s="24" t="n">
        <v>0</v>
      </c>
      <c r="AF181" s="24">
        <f>$AF$112*INDEX($C$94:$AL$94,1,1)</f>
        <v/>
      </c>
    </row>
    <row r="182">
      <c r="A182" s="3" t="inlineStr">
        <is>
          <t>Totale percorso 6: rimborsi</t>
        </is>
      </c>
      <c r="C182" s="25">
        <f>SUM(C152:C181)</f>
        <v/>
      </c>
      <c r="D182" s="25">
        <f>SUM(D152:D181)</f>
        <v/>
      </c>
      <c r="E182" s="25">
        <f>SUM(E152:E181)</f>
        <v/>
      </c>
      <c r="F182" s="25">
        <f>SUM(F152:F181)</f>
        <v/>
      </c>
      <c r="G182" s="25">
        <f>SUM(G152:G181)</f>
        <v/>
      </c>
      <c r="H182" s="25">
        <f>SUM(H152:H181)</f>
        <v/>
      </c>
      <c r="I182" s="25">
        <f>SUM(I152:I181)</f>
        <v/>
      </c>
      <c r="J182" s="25">
        <f>SUM(J152:J181)</f>
        <v/>
      </c>
      <c r="K182" s="25">
        <f>SUM(K152:K181)</f>
        <v/>
      </c>
      <c r="L182" s="25">
        <f>SUM(L152:L181)</f>
        <v/>
      </c>
      <c r="M182" s="25">
        <f>SUM(M152:M181)</f>
        <v/>
      </c>
      <c r="N182" s="25">
        <f>SUM(N152:N181)</f>
        <v/>
      </c>
      <c r="O182" s="25">
        <f>SUM(O152:O181)</f>
        <v/>
      </c>
      <c r="P182" s="25">
        <f>SUM(P152:P181)</f>
        <v/>
      </c>
      <c r="Q182" s="25">
        <f>SUM(Q152:Q181)</f>
        <v/>
      </c>
      <c r="R182" s="25">
        <f>SUM(R152:R181)</f>
        <v/>
      </c>
      <c r="S182" s="25">
        <f>SUM(S152:S181)</f>
        <v/>
      </c>
      <c r="T182" s="25">
        <f>SUM(T152:T181)</f>
        <v/>
      </c>
      <c r="U182" s="25">
        <f>SUM(U152:U181)</f>
        <v/>
      </c>
      <c r="V182" s="25">
        <f>SUM(V152:V181)</f>
        <v/>
      </c>
      <c r="W182" s="25">
        <f>SUM(W152:W181)</f>
        <v/>
      </c>
      <c r="X182" s="25">
        <f>SUM(X152:X181)</f>
        <v/>
      </c>
      <c r="Y182" s="25">
        <f>SUM(Y152:Y181)</f>
        <v/>
      </c>
      <c r="Z182" s="25">
        <f>SUM(Z152:Z181)</f>
        <v/>
      </c>
      <c r="AA182" s="25">
        <f>SUM(AA152:AA181)</f>
        <v/>
      </c>
      <c r="AB182" s="25">
        <f>SUM(AB152:AB181)</f>
        <v/>
      </c>
      <c r="AC182" s="25">
        <f>SUM(AC152:AC181)</f>
        <v/>
      </c>
      <c r="AD182" s="25">
        <f>SUM(AD152:AD181)</f>
        <v/>
      </c>
      <c r="AE182" s="25">
        <f>SUM(AE152:AE181)</f>
        <v/>
      </c>
      <c r="AF182" s="25">
        <f>SUM(AF152:AF181)</f>
        <v/>
      </c>
    </row>
    <row r="184">
      <c r="A184" s="10" t="inlineStr">
        <is>
          <t>Percorso 3: ordini per coorte (righe = mese di acquisizione, colonne = mese di calendario)</t>
        </is>
      </c>
    </row>
    <row r="185">
      <c r="A185" s="4" t="inlineStr">
        <is>
          <t>Coorte del mese 1</t>
        </is>
      </c>
      <c r="C185" s="24">
        <f>$C$113*INDEX($C$95:$AL$95,1,1)</f>
        <v/>
      </c>
      <c r="D185" s="24">
        <f>$C$113*INDEX($C$95:$AL$95,1,2)</f>
        <v/>
      </c>
      <c r="E185" s="24">
        <f>$C$113*INDEX($C$95:$AL$95,1,3)</f>
        <v/>
      </c>
      <c r="F185" s="24">
        <f>$C$113*INDEX($C$95:$AL$95,1,4)</f>
        <v/>
      </c>
      <c r="G185" s="24">
        <f>$C$113*INDEX($C$95:$AL$95,1,5)</f>
        <v/>
      </c>
      <c r="H185" s="24">
        <f>$C$113*INDEX($C$95:$AL$95,1,6)</f>
        <v/>
      </c>
      <c r="I185" s="24">
        <f>$C$113*INDEX($C$95:$AL$95,1,7)</f>
        <v/>
      </c>
      <c r="J185" s="24">
        <f>$C$113*INDEX($C$95:$AL$95,1,8)</f>
        <v/>
      </c>
      <c r="K185" s="24">
        <f>$C$113*INDEX($C$95:$AL$95,1,9)</f>
        <v/>
      </c>
      <c r="L185" s="24">
        <f>$C$113*INDEX($C$95:$AL$95,1,10)</f>
        <v/>
      </c>
      <c r="M185" s="24">
        <f>$C$113*INDEX($C$95:$AL$95,1,11)</f>
        <v/>
      </c>
      <c r="N185" s="24">
        <f>$C$113*INDEX($C$95:$AL$95,1,12)</f>
        <v/>
      </c>
      <c r="O185" s="24">
        <f>$C$113*INDEX($C$95:$AL$95,1,13)</f>
        <v/>
      </c>
      <c r="P185" s="24">
        <f>$C$113*INDEX($C$95:$AL$95,1,14)</f>
        <v/>
      </c>
      <c r="Q185" s="24">
        <f>$C$113*INDEX($C$95:$AL$95,1,15)</f>
        <v/>
      </c>
      <c r="R185" s="24">
        <f>$C$113*INDEX($C$95:$AL$95,1,16)</f>
        <v/>
      </c>
      <c r="S185" s="24">
        <f>$C$113*INDEX($C$95:$AL$95,1,17)</f>
        <v/>
      </c>
      <c r="T185" s="24">
        <f>$C$113*INDEX($C$95:$AL$95,1,18)</f>
        <v/>
      </c>
      <c r="U185" s="24">
        <f>$C$113*INDEX($C$95:$AL$95,1,19)</f>
        <v/>
      </c>
      <c r="V185" s="24">
        <f>$C$113*INDEX($C$95:$AL$95,1,20)</f>
        <v/>
      </c>
      <c r="W185" s="24">
        <f>$C$113*INDEX($C$95:$AL$95,1,21)</f>
        <v/>
      </c>
      <c r="X185" s="24">
        <f>$C$113*INDEX($C$95:$AL$95,1,22)</f>
        <v/>
      </c>
      <c r="Y185" s="24">
        <f>$C$113*INDEX($C$95:$AL$95,1,23)</f>
        <v/>
      </c>
      <c r="Z185" s="24">
        <f>$C$113*INDEX($C$95:$AL$95,1,24)</f>
        <v/>
      </c>
      <c r="AA185" s="24">
        <f>$C$113*INDEX($C$95:$AL$95,1,25)</f>
        <v/>
      </c>
      <c r="AB185" s="24">
        <f>$C$113*INDEX($C$95:$AL$95,1,26)</f>
        <v/>
      </c>
      <c r="AC185" s="24">
        <f>$C$113*INDEX($C$95:$AL$95,1,27)</f>
        <v/>
      </c>
      <c r="AD185" s="24">
        <f>$C$113*INDEX($C$95:$AL$95,1,28)</f>
        <v/>
      </c>
      <c r="AE185" s="24">
        <f>$C$113*INDEX($C$95:$AL$95,1,29)</f>
        <v/>
      </c>
      <c r="AF185" s="24">
        <f>$C$113*INDEX($C$95:$AL$95,1,30)</f>
        <v/>
      </c>
    </row>
    <row r="186">
      <c r="A186" s="4" t="inlineStr">
        <is>
          <t>Coorte del mese 2</t>
        </is>
      </c>
      <c r="C186" s="24" t="n">
        <v>0</v>
      </c>
      <c r="D186" s="24">
        <f>$D$113*INDEX($C$95:$AL$95,1,1)</f>
        <v/>
      </c>
      <c r="E186" s="24">
        <f>$D$113*INDEX($C$95:$AL$95,1,2)</f>
        <v/>
      </c>
      <c r="F186" s="24">
        <f>$D$113*INDEX($C$95:$AL$95,1,3)</f>
        <v/>
      </c>
      <c r="G186" s="24">
        <f>$D$113*INDEX($C$95:$AL$95,1,4)</f>
        <v/>
      </c>
      <c r="H186" s="24">
        <f>$D$113*INDEX($C$95:$AL$95,1,5)</f>
        <v/>
      </c>
      <c r="I186" s="24">
        <f>$D$113*INDEX($C$95:$AL$95,1,6)</f>
        <v/>
      </c>
      <c r="J186" s="24">
        <f>$D$113*INDEX($C$95:$AL$95,1,7)</f>
        <v/>
      </c>
      <c r="K186" s="24">
        <f>$D$113*INDEX($C$95:$AL$95,1,8)</f>
        <v/>
      </c>
      <c r="L186" s="24">
        <f>$D$113*INDEX($C$95:$AL$95,1,9)</f>
        <v/>
      </c>
      <c r="M186" s="24">
        <f>$D$113*INDEX($C$95:$AL$95,1,10)</f>
        <v/>
      </c>
      <c r="N186" s="24">
        <f>$D$113*INDEX($C$95:$AL$95,1,11)</f>
        <v/>
      </c>
      <c r="O186" s="24">
        <f>$D$113*INDEX($C$95:$AL$95,1,12)</f>
        <v/>
      </c>
      <c r="P186" s="24">
        <f>$D$113*INDEX($C$95:$AL$95,1,13)</f>
        <v/>
      </c>
      <c r="Q186" s="24">
        <f>$D$113*INDEX($C$95:$AL$95,1,14)</f>
        <v/>
      </c>
      <c r="R186" s="24">
        <f>$D$113*INDEX($C$95:$AL$95,1,15)</f>
        <v/>
      </c>
      <c r="S186" s="24">
        <f>$D$113*INDEX($C$95:$AL$95,1,16)</f>
        <v/>
      </c>
      <c r="T186" s="24">
        <f>$D$113*INDEX($C$95:$AL$95,1,17)</f>
        <v/>
      </c>
      <c r="U186" s="24">
        <f>$D$113*INDEX($C$95:$AL$95,1,18)</f>
        <v/>
      </c>
      <c r="V186" s="24">
        <f>$D$113*INDEX($C$95:$AL$95,1,19)</f>
        <v/>
      </c>
      <c r="W186" s="24">
        <f>$D$113*INDEX($C$95:$AL$95,1,20)</f>
        <v/>
      </c>
      <c r="X186" s="24">
        <f>$D$113*INDEX($C$95:$AL$95,1,21)</f>
        <v/>
      </c>
      <c r="Y186" s="24">
        <f>$D$113*INDEX($C$95:$AL$95,1,22)</f>
        <v/>
      </c>
      <c r="Z186" s="24">
        <f>$D$113*INDEX($C$95:$AL$95,1,23)</f>
        <v/>
      </c>
      <c r="AA186" s="24">
        <f>$D$113*INDEX($C$95:$AL$95,1,24)</f>
        <v/>
      </c>
      <c r="AB186" s="24">
        <f>$D$113*INDEX($C$95:$AL$95,1,25)</f>
        <v/>
      </c>
      <c r="AC186" s="24">
        <f>$D$113*INDEX($C$95:$AL$95,1,26)</f>
        <v/>
      </c>
      <c r="AD186" s="24">
        <f>$D$113*INDEX($C$95:$AL$95,1,27)</f>
        <v/>
      </c>
      <c r="AE186" s="24">
        <f>$D$113*INDEX($C$95:$AL$95,1,28)</f>
        <v/>
      </c>
      <c r="AF186" s="24">
        <f>$D$113*INDEX($C$95:$AL$95,1,29)</f>
        <v/>
      </c>
    </row>
    <row r="187">
      <c r="A187" s="4" t="inlineStr">
        <is>
          <t>Coorte del mese 3</t>
        </is>
      </c>
      <c r="C187" s="24" t="n">
        <v>0</v>
      </c>
      <c r="D187" s="24" t="n">
        <v>0</v>
      </c>
      <c r="E187" s="24">
        <f>$E$113*INDEX($C$95:$AL$95,1,1)</f>
        <v/>
      </c>
      <c r="F187" s="24">
        <f>$E$113*INDEX($C$95:$AL$95,1,2)</f>
        <v/>
      </c>
      <c r="G187" s="24">
        <f>$E$113*INDEX($C$95:$AL$95,1,3)</f>
        <v/>
      </c>
      <c r="H187" s="24">
        <f>$E$113*INDEX($C$95:$AL$95,1,4)</f>
        <v/>
      </c>
      <c r="I187" s="24">
        <f>$E$113*INDEX($C$95:$AL$95,1,5)</f>
        <v/>
      </c>
      <c r="J187" s="24">
        <f>$E$113*INDEX($C$95:$AL$95,1,6)</f>
        <v/>
      </c>
      <c r="K187" s="24">
        <f>$E$113*INDEX($C$95:$AL$95,1,7)</f>
        <v/>
      </c>
      <c r="L187" s="24">
        <f>$E$113*INDEX($C$95:$AL$95,1,8)</f>
        <v/>
      </c>
      <c r="M187" s="24">
        <f>$E$113*INDEX($C$95:$AL$95,1,9)</f>
        <v/>
      </c>
      <c r="N187" s="24">
        <f>$E$113*INDEX($C$95:$AL$95,1,10)</f>
        <v/>
      </c>
      <c r="O187" s="24">
        <f>$E$113*INDEX($C$95:$AL$95,1,11)</f>
        <v/>
      </c>
      <c r="P187" s="24">
        <f>$E$113*INDEX($C$95:$AL$95,1,12)</f>
        <v/>
      </c>
      <c r="Q187" s="24">
        <f>$E$113*INDEX($C$95:$AL$95,1,13)</f>
        <v/>
      </c>
      <c r="R187" s="24">
        <f>$E$113*INDEX($C$95:$AL$95,1,14)</f>
        <v/>
      </c>
      <c r="S187" s="24">
        <f>$E$113*INDEX($C$95:$AL$95,1,15)</f>
        <v/>
      </c>
      <c r="T187" s="24">
        <f>$E$113*INDEX($C$95:$AL$95,1,16)</f>
        <v/>
      </c>
      <c r="U187" s="24">
        <f>$E$113*INDEX($C$95:$AL$95,1,17)</f>
        <v/>
      </c>
      <c r="V187" s="24">
        <f>$E$113*INDEX($C$95:$AL$95,1,18)</f>
        <v/>
      </c>
      <c r="W187" s="24">
        <f>$E$113*INDEX($C$95:$AL$95,1,19)</f>
        <v/>
      </c>
      <c r="X187" s="24">
        <f>$E$113*INDEX($C$95:$AL$95,1,20)</f>
        <v/>
      </c>
      <c r="Y187" s="24">
        <f>$E$113*INDEX($C$95:$AL$95,1,21)</f>
        <v/>
      </c>
      <c r="Z187" s="24">
        <f>$E$113*INDEX($C$95:$AL$95,1,22)</f>
        <v/>
      </c>
      <c r="AA187" s="24">
        <f>$E$113*INDEX($C$95:$AL$95,1,23)</f>
        <v/>
      </c>
      <c r="AB187" s="24">
        <f>$E$113*INDEX($C$95:$AL$95,1,24)</f>
        <v/>
      </c>
      <c r="AC187" s="24">
        <f>$E$113*INDEX($C$95:$AL$95,1,25)</f>
        <v/>
      </c>
      <c r="AD187" s="24">
        <f>$E$113*INDEX($C$95:$AL$95,1,26)</f>
        <v/>
      </c>
      <c r="AE187" s="24">
        <f>$E$113*INDEX($C$95:$AL$95,1,27)</f>
        <v/>
      </c>
      <c r="AF187" s="24">
        <f>$E$113*INDEX($C$95:$AL$95,1,28)</f>
        <v/>
      </c>
    </row>
    <row r="188">
      <c r="A188" s="4" t="inlineStr">
        <is>
          <t>Coorte del mese 4</t>
        </is>
      </c>
      <c r="C188" s="24" t="n">
        <v>0</v>
      </c>
      <c r="D188" s="24" t="n">
        <v>0</v>
      </c>
      <c r="E188" s="24" t="n">
        <v>0</v>
      </c>
      <c r="F188" s="24">
        <f>$F$113*INDEX($C$95:$AL$95,1,1)</f>
        <v/>
      </c>
      <c r="G188" s="24">
        <f>$F$113*INDEX($C$95:$AL$95,1,2)</f>
        <v/>
      </c>
      <c r="H188" s="24">
        <f>$F$113*INDEX($C$95:$AL$95,1,3)</f>
        <v/>
      </c>
      <c r="I188" s="24">
        <f>$F$113*INDEX($C$95:$AL$95,1,4)</f>
        <v/>
      </c>
      <c r="J188" s="24">
        <f>$F$113*INDEX($C$95:$AL$95,1,5)</f>
        <v/>
      </c>
      <c r="K188" s="24">
        <f>$F$113*INDEX($C$95:$AL$95,1,6)</f>
        <v/>
      </c>
      <c r="L188" s="24">
        <f>$F$113*INDEX($C$95:$AL$95,1,7)</f>
        <v/>
      </c>
      <c r="M188" s="24">
        <f>$F$113*INDEX($C$95:$AL$95,1,8)</f>
        <v/>
      </c>
      <c r="N188" s="24">
        <f>$F$113*INDEX($C$95:$AL$95,1,9)</f>
        <v/>
      </c>
      <c r="O188" s="24">
        <f>$F$113*INDEX($C$95:$AL$95,1,10)</f>
        <v/>
      </c>
      <c r="P188" s="24">
        <f>$F$113*INDEX($C$95:$AL$95,1,11)</f>
        <v/>
      </c>
      <c r="Q188" s="24">
        <f>$F$113*INDEX($C$95:$AL$95,1,12)</f>
        <v/>
      </c>
      <c r="R188" s="24">
        <f>$F$113*INDEX($C$95:$AL$95,1,13)</f>
        <v/>
      </c>
      <c r="S188" s="24">
        <f>$F$113*INDEX($C$95:$AL$95,1,14)</f>
        <v/>
      </c>
      <c r="T188" s="24">
        <f>$F$113*INDEX($C$95:$AL$95,1,15)</f>
        <v/>
      </c>
      <c r="U188" s="24">
        <f>$F$113*INDEX($C$95:$AL$95,1,16)</f>
        <v/>
      </c>
      <c r="V188" s="24">
        <f>$F$113*INDEX($C$95:$AL$95,1,17)</f>
        <v/>
      </c>
      <c r="W188" s="24">
        <f>$F$113*INDEX($C$95:$AL$95,1,18)</f>
        <v/>
      </c>
      <c r="X188" s="24">
        <f>$F$113*INDEX($C$95:$AL$95,1,19)</f>
        <v/>
      </c>
      <c r="Y188" s="24">
        <f>$F$113*INDEX($C$95:$AL$95,1,20)</f>
        <v/>
      </c>
      <c r="Z188" s="24">
        <f>$F$113*INDEX($C$95:$AL$95,1,21)</f>
        <v/>
      </c>
      <c r="AA188" s="24">
        <f>$F$113*INDEX($C$95:$AL$95,1,22)</f>
        <v/>
      </c>
      <c r="AB188" s="24">
        <f>$F$113*INDEX($C$95:$AL$95,1,23)</f>
        <v/>
      </c>
      <c r="AC188" s="24">
        <f>$F$113*INDEX($C$95:$AL$95,1,24)</f>
        <v/>
      </c>
      <c r="AD188" s="24">
        <f>$F$113*INDEX($C$95:$AL$95,1,25)</f>
        <v/>
      </c>
      <c r="AE188" s="24">
        <f>$F$113*INDEX($C$95:$AL$95,1,26)</f>
        <v/>
      </c>
      <c r="AF188" s="24">
        <f>$F$113*INDEX($C$95:$AL$95,1,27)</f>
        <v/>
      </c>
    </row>
    <row r="189">
      <c r="A189" s="4" t="inlineStr">
        <is>
          <t>Coorte del mese 5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>
        <f>$G$113*INDEX($C$95:$AL$95,1,1)</f>
        <v/>
      </c>
      <c r="H189" s="24">
        <f>$G$113*INDEX($C$95:$AL$95,1,2)</f>
        <v/>
      </c>
      <c r="I189" s="24">
        <f>$G$113*INDEX($C$95:$AL$95,1,3)</f>
        <v/>
      </c>
      <c r="J189" s="24">
        <f>$G$113*INDEX($C$95:$AL$95,1,4)</f>
        <v/>
      </c>
      <c r="K189" s="24">
        <f>$G$113*INDEX($C$95:$AL$95,1,5)</f>
        <v/>
      </c>
      <c r="L189" s="24">
        <f>$G$113*INDEX($C$95:$AL$95,1,6)</f>
        <v/>
      </c>
      <c r="M189" s="24">
        <f>$G$113*INDEX($C$95:$AL$95,1,7)</f>
        <v/>
      </c>
      <c r="N189" s="24">
        <f>$G$113*INDEX($C$95:$AL$95,1,8)</f>
        <v/>
      </c>
      <c r="O189" s="24">
        <f>$G$113*INDEX($C$95:$AL$95,1,9)</f>
        <v/>
      </c>
      <c r="P189" s="24">
        <f>$G$113*INDEX($C$95:$AL$95,1,10)</f>
        <v/>
      </c>
      <c r="Q189" s="24">
        <f>$G$113*INDEX($C$95:$AL$95,1,11)</f>
        <v/>
      </c>
      <c r="R189" s="24">
        <f>$G$113*INDEX($C$95:$AL$95,1,12)</f>
        <v/>
      </c>
      <c r="S189" s="24">
        <f>$G$113*INDEX($C$95:$AL$95,1,13)</f>
        <v/>
      </c>
      <c r="T189" s="24">
        <f>$G$113*INDEX($C$95:$AL$95,1,14)</f>
        <v/>
      </c>
      <c r="U189" s="24">
        <f>$G$113*INDEX($C$95:$AL$95,1,15)</f>
        <v/>
      </c>
      <c r="V189" s="24">
        <f>$G$113*INDEX($C$95:$AL$95,1,16)</f>
        <v/>
      </c>
      <c r="W189" s="24">
        <f>$G$113*INDEX($C$95:$AL$95,1,17)</f>
        <v/>
      </c>
      <c r="X189" s="24">
        <f>$G$113*INDEX($C$95:$AL$95,1,18)</f>
        <v/>
      </c>
      <c r="Y189" s="24">
        <f>$G$113*INDEX($C$95:$AL$95,1,19)</f>
        <v/>
      </c>
      <c r="Z189" s="24">
        <f>$G$113*INDEX($C$95:$AL$95,1,20)</f>
        <v/>
      </c>
      <c r="AA189" s="24">
        <f>$G$113*INDEX($C$95:$AL$95,1,21)</f>
        <v/>
      </c>
      <c r="AB189" s="24">
        <f>$G$113*INDEX($C$95:$AL$95,1,22)</f>
        <v/>
      </c>
      <c r="AC189" s="24">
        <f>$G$113*INDEX($C$95:$AL$95,1,23)</f>
        <v/>
      </c>
      <c r="AD189" s="24">
        <f>$G$113*INDEX($C$95:$AL$95,1,24)</f>
        <v/>
      </c>
      <c r="AE189" s="24">
        <f>$G$113*INDEX($C$95:$AL$95,1,25)</f>
        <v/>
      </c>
      <c r="AF189" s="24">
        <f>$G$113*INDEX($C$95:$AL$95,1,26)</f>
        <v/>
      </c>
    </row>
    <row r="190">
      <c r="A190" s="4" t="inlineStr">
        <is>
          <t>Coorte del mese 6</t>
        </is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>
        <f>$H$113*INDEX($C$95:$AL$95,1,1)</f>
        <v/>
      </c>
      <c r="I190" s="24">
        <f>$H$113*INDEX($C$95:$AL$95,1,2)</f>
        <v/>
      </c>
      <c r="J190" s="24">
        <f>$H$113*INDEX($C$95:$AL$95,1,3)</f>
        <v/>
      </c>
      <c r="K190" s="24">
        <f>$H$113*INDEX($C$95:$AL$95,1,4)</f>
        <v/>
      </c>
      <c r="L190" s="24">
        <f>$H$113*INDEX($C$95:$AL$95,1,5)</f>
        <v/>
      </c>
      <c r="M190" s="24">
        <f>$H$113*INDEX($C$95:$AL$95,1,6)</f>
        <v/>
      </c>
      <c r="N190" s="24">
        <f>$H$113*INDEX($C$95:$AL$95,1,7)</f>
        <v/>
      </c>
      <c r="O190" s="24">
        <f>$H$113*INDEX($C$95:$AL$95,1,8)</f>
        <v/>
      </c>
      <c r="P190" s="24">
        <f>$H$113*INDEX($C$95:$AL$95,1,9)</f>
        <v/>
      </c>
      <c r="Q190" s="24">
        <f>$H$113*INDEX($C$95:$AL$95,1,10)</f>
        <v/>
      </c>
      <c r="R190" s="24">
        <f>$H$113*INDEX($C$95:$AL$95,1,11)</f>
        <v/>
      </c>
      <c r="S190" s="24">
        <f>$H$113*INDEX($C$95:$AL$95,1,12)</f>
        <v/>
      </c>
      <c r="T190" s="24">
        <f>$H$113*INDEX($C$95:$AL$95,1,13)</f>
        <v/>
      </c>
      <c r="U190" s="24">
        <f>$H$113*INDEX($C$95:$AL$95,1,14)</f>
        <v/>
      </c>
      <c r="V190" s="24">
        <f>$H$113*INDEX($C$95:$AL$95,1,15)</f>
        <v/>
      </c>
      <c r="W190" s="24">
        <f>$H$113*INDEX($C$95:$AL$95,1,16)</f>
        <v/>
      </c>
      <c r="X190" s="24">
        <f>$H$113*INDEX($C$95:$AL$95,1,17)</f>
        <v/>
      </c>
      <c r="Y190" s="24">
        <f>$H$113*INDEX($C$95:$AL$95,1,18)</f>
        <v/>
      </c>
      <c r="Z190" s="24">
        <f>$H$113*INDEX($C$95:$AL$95,1,19)</f>
        <v/>
      </c>
      <c r="AA190" s="24">
        <f>$H$113*INDEX($C$95:$AL$95,1,20)</f>
        <v/>
      </c>
      <c r="AB190" s="24">
        <f>$H$113*INDEX($C$95:$AL$95,1,21)</f>
        <v/>
      </c>
      <c r="AC190" s="24">
        <f>$H$113*INDEX($C$95:$AL$95,1,22)</f>
        <v/>
      </c>
      <c r="AD190" s="24">
        <f>$H$113*INDEX($C$95:$AL$95,1,23)</f>
        <v/>
      </c>
      <c r="AE190" s="24">
        <f>$H$113*INDEX($C$95:$AL$95,1,24)</f>
        <v/>
      </c>
      <c r="AF190" s="24">
        <f>$H$113*INDEX($C$95:$AL$95,1,25)</f>
        <v/>
      </c>
    </row>
    <row r="191">
      <c r="A191" s="4" t="inlineStr">
        <is>
          <t>Coorte del mese 7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>
        <f>$I$113*INDEX($C$95:$AL$95,1,1)</f>
        <v/>
      </c>
      <c r="J191" s="24">
        <f>$I$113*INDEX($C$95:$AL$95,1,2)</f>
        <v/>
      </c>
      <c r="K191" s="24">
        <f>$I$113*INDEX($C$95:$AL$95,1,3)</f>
        <v/>
      </c>
      <c r="L191" s="24">
        <f>$I$113*INDEX($C$95:$AL$95,1,4)</f>
        <v/>
      </c>
      <c r="M191" s="24">
        <f>$I$113*INDEX($C$95:$AL$95,1,5)</f>
        <v/>
      </c>
      <c r="N191" s="24">
        <f>$I$113*INDEX($C$95:$AL$95,1,6)</f>
        <v/>
      </c>
      <c r="O191" s="24">
        <f>$I$113*INDEX($C$95:$AL$95,1,7)</f>
        <v/>
      </c>
      <c r="P191" s="24">
        <f>$I$113*INDEX($C$95:$AL$95,1,8)</f>
        <v/>
      </c>
      <c r="Q191" s="24">
        <f>$I$113*INDEX($C$95:$AL$95,1,9)</f>
        <v/>
      </c>
      <c r="R191" s="24">
        <f>$I$113*INDEX($C$95:$AL$95,1,10)</f>
        <v/>
      </c>
      <c r="S191" s="24">
        <f>$I$113*INDEX($C$95:$AL$95,1,11)</f>
        <v/>
      </c>
      <c r="T191" s="24">
        <f>$I$113*INDEX($C$95:$AL$95,1,12)</f>
        <v/>
      </c>
      <c r="U191" s="24">
        <f>$I$113*INDEX($C$95:$AL$95,1,13)</f>
        <v/>
      </c>
      <c r="V191" s="24">
        <f>$I$113*INDEX($C$95:$AL$95,1,14)</f>
        <v/>
      </c>
      <c r="W191" s="24">
        <f>$I$113*INDEX($C$95:$AL$95,1,15)</f>
        <v/>
      </c>
      <c r="X191" s="24">
        <f>$I$113*INDEX($C$95:$AL$95,1,16)</f>
        <v/>
      </c>
      <c r="Y191" s="24">
        <f>$I$113*INDEX($C$95:$AL$95,1,17)</f>
        <v/>
      </c>
      <c r="Z191" s="24">
        <f>$I$113*INDEX($C$95:$AL$95,1,18)</f>
        <v/>
      </c>
      <c r="AA191" s="24">
        <f>$I$113*INDEX($C$95:$AL$95,1,19)</f>
        <v/>
      </c>
      <c r="AB191" s="24">
        <f>$I$113*INDEX($C$95:$AL$95,1,20)</f>
        <v/>
      </c>
      <c r="AC191" s="24">
        <f>$I$113*INDEX($C$95:$AL$95,1,21)</f>
        <v/>
      </c>
      <c r="AD191" s="24">
        <f>$I$113*INDEX($C$95:$AL$95,1,22)</f>
        <v/>
      </c>
      <c r="AE191" s="24">
        <f>$I$113*INDEX($C$95:$AL$95,1,23)</f>
        <v/>
      </c>
      <c r="AF191" s="24">
        <f>$I$113*INDEX($C$95:$AL$95,1,24)</f>
        <v/>
      </c>
    </row>
    <row r="192">
      <c r="A192" s="4" t="inlineStr">
        <is>
          <t>Coorte del mese 8</t>
        </is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>
        <f>$J$113*INDEX($C$95:$AL$95,1,1)</f>
        <v/>
      </c>
      <c r="K192" s="24">
        <f>$J$113*INDEX($C$95:$AL$95,1,2)</f>
        <v/>
      </c>
      <c r="L192" s="24">
        <f>$J$113*INDEX($C$95:$AL$95,1,3)</f>
        <v/>
      </c>
      <c r="M192" s="24">
        <f>$J$113*INDEX($C$95:$AL$95,1,4)</f>
        <v/>
      </c>
      <c r="N192" s="24">
        <f>$J$113*INDEX($C$95:$AL$95,1,5)</f>
        <v/>
      </c>
      <c r="O192" s="24">
        <f>$J$113*INDEX($C$95:$AL$95,1,6)</f>
        <v/>
      </c>
      <c r="P192" s="24">
        <f>$J$113*INDEX($C$95:$AL$95,1,7)</f>
        <v/>
      </c>
      <c r="Q192" s="24">
        <f>$J$113*INDEX($C$95:$AL$95,1,8)</f>
        <v/>
      </c>
      <c r="R192" s="24">
        <f>$J$113*INDEX($C$95:$AL$95,1,9)</f>
        <v/>
      </c>
      <c r="S192" s="24">
        <f>$J$113*INDEX($C$95:$AL$95,1,10)</f>
        <v/>
      </c>
      <c r="T192" s="24">
        <f>$J$113*INDEX($C$95:$AL$95,1,11)</f>
        <v/>
      </c>
      <c r="U192" s="24">
        <f>$J$113*INDEX($C$95:$AL$95,1,12)</f>
        <v/>
      </c>
      <c r="V192" s="24">
        <f>$J$113*INDEX($C$95:$AL$95,1,13)</f>
        <v/>
      </c>
      <c r="W192" s="24">
        <f>$J$113*INDEX($C$95:$AL$95,1,14)</f>
        <v/>
      </c>
      <c r="X192" s="24">
        <f>$J$113*INDEX($C$95:$AL$95,1,15)</f>
        <v/>
      </c>
      <c r="Y192" s="24">
        <f>$J$113*INDEX($C$95:$AL$95,1,16)</f>
        <v/>
      </c>
      <c r="Z192" s="24">
        <f>$J$113*INDEX($C$95:$AL$95,1,17)</f>
        <v/>
      </c>
      <c r="AA192" s="24">
        <f>$J$113*INDEX($C$95:$AL$95,1,18)</f>
        <v/>
      </c>
      <c r="AB192" s="24">
        <f>$J$113*INDEX($C$95:$AL$95,1,19)</f>
        <v/>
      </c>
      <c r="AC192" s="24">
        <f>$J$113*INDEX($C$95:$AL$95,1,20)</f>
        <v/>
      </c>
      <c r="AD192" s="24">
        <f>$J$113*INDEX($C$95:$AL$95,1,21)</f>
        <v/>
      </c>
      <c r="AE192" s="24">
        <f>$J$113*INDEX($C$95:$AL$95,1,22)</f>
        <v/>
      </c>
      <c r="AF192" s="24">
        <f>$J$113*INDEX($C$95:$AL$95,1,23)</f>
        <v/>
      </c>
    </row>
    <row r="193">
      <c r="A193" s="4" t="inlineStr">
        <is>
          <t>Coorte del mese 9</t>
        </is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>
        <f>$K$113*INDEX($C$95:$AL$95,1,1)</f>
        <v/>
      </c>
      <c r="L193" s="24">
        <f>$K$113*INDEX($C$95:$AL$95,1,2)</f>
        <v/>
      </c>
      <c r="M193" s="24">
        <f>$K$113*INDEX($C$95:$AL$95,1,3)</f>
        <v/>
      </c>
      <c r="N193" s="24">
        <f>$K$113*INDEX($C$95:$AL$95,1,4)</f>
        <v/>
      </c>
      <c r="O193" s="24">
        <f>$K$113*INDEX($C$95:$AL$95,1,5)</f>
        <v/>
      </c>
      <c r="P193" s="24">
        <f>$K$113*INDEX($C$95:$AL$95,1,6)</f>
        <v/>
      </c>
      <c r="Q193" s="24">
        <f>$K$113*INDEX($C$95:$AL$95,1,7)</f>
        <v/>
      </c>
      <c r="R193" s="24">
        <f>$K$113*INDEX($C$95:$AL$95,1,8)</f>
        <v/>
      </c>
      <c r="S193" s="24">
        <f>$K$113*INDEX($C$95:$AL$95,1,9)</f>
        <v/>
      </c>
      <c r="T193" s="24">
        <f>$K$113*INDEX($C$95:$AL$95,1,10)</f>
        <v/>
      </c>
      <c r="U193" s="24">
        <f>$K$113*INDEX($C$95:$AL$95,1,11)</f>
        <v/>
      </c>
      <c r="V193" s="24">
        <f>$K$113*INDEX($C$95:$AL$95,1,12)</f>
        <v/>
      </c>
      <c r="W193" s="24">
        <f>$K$113*INDEX($C$95:$AL$95,1,13)</f>
        <v/>
      </c>
      <c r="X193" s="24">
        <f>$K$113*INDEX($C$95:$AL$95,1,14)</f>
        <v/>
      </c>
      <c r="Y193" s="24">
        <f>$K$113*INDEX($C$95:$AL$95,1,15)</f>
        <v/>
      </c>
      <c r="Z193" s="24">
        <f>$K$113*INDEX($C$95:$AL$95,1,16)</f>
        <v/>
      </c>
      <c r="AA193" s="24">
        <f>$K$113*INDEX($C$95:$AL$95,1,17)</f>
        <v/>
      </c>
      <c r="AB193" s="24">
        <f>$K$113*INDEX($C$95:$AL$95,1,18)</f>
        <v/>
      </c>
      <c r="AC193" s="24">
        <f>$K$113*INDEX($C$95:$AL$95,1,19)</f>
        <v/>
      </c>
      <c r="AD193" s="24">
        <f>$K$113*INDEX($C$95:$AL$95,1,20)</f>
        <v/>
      </c>
      <c r="AE193" s="24">
        <f>$K$113*INDEX($C$95:$AL$95,1,21)</f>
        <v/>
      </c>
      <c r="AF193" s="24">
        <f>$K$113*INDEX($C$95:$AL$95,1,22)</f>
        <v/>
      </c>
    </row>
    <row r="194">
      <c r="A194" s="4" t="inlineStr">
        <is>
          <t>Coorte del mese 10</t>
        </is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>
        <f>$L$113*INDEX($C$95:$AL$95,1,1)</f>
        <v/>
      </c>
      <c r="M194" s="24">
        <f>$L$113*INDEX($C$95:$AL$95,1,2)</f>
        <v/>
      </c>
      <c r="N194" s="24">
        <f>$L$113*INDEX($C$95:$AL$95,1,3)</f>
        <v/>
      </c>
      <c r="O194" s="24">
        <f>$L$113*INDEX($C$95:$AL$95,1,4)</f>
        <v/>
      </c>
      <c r="P194" s="24">
        <f>$L$113*INDEX($C$95:$AL$95,1,5)</f>
        <v/>
      </c>
      <c r="Q194" s="24">
        <f>$L$113*INDEX($C$95:$AL$95,1,6)</f>
        <v/>
      </c>
      <c r="R194" s="24">
        <f>$L$113*INDEX($C$95:$AL$95,1,7)</f>
        <v/>
      </c>
      <c r="S194" s="24">
        <f>$L$113*INDEX($C$95:$AL$95,1,8)</f>
        <v/>
      </c>
      <c r="T194" s="24">
        <f>$L$113*INDEX($C$95:$AL$95,1,9)</f>
        <v/>
      </c>
      <c r="U194" s="24">
        <f>$L$113*INDEX($C$95:$AL$95,1,10)</f>
        <v/>
      </c>
      <c r="V194" s="24">
        <f>$L$113*INDEX($C$95:$AL$95,1,11)</f>
        <v/>
      </c>
      <c r="W194" s="24">
        <f>$L$113*INDEX($C$95:$AL$95,1,12)</f>
        <v/>
      </c>
      <c r="X194" s="24">
        <f>$L$113*INDEX($C$95:$AL$95,1,13)</f>
        <v/>
      </c>
      <c r="Y194" s="24">
        <f>$L$113*INDEX($C$95:$AL$95,1,14)</f>
        <v/>
      </c>
      <c r="Z194" s="24">
        <f>$L$113*INDEX($C$95:$AL$95,1,15)</f>
        <v/>
      </c>
      <c r="AA194" s="24">
        <f>$L$113*INDEX($C$95:$AL$95,1,16)</f>
        <v/>
      </c>
      <c r="AB194" s="24">
        <f>$L$113*INDEX($C$95:$AL$95,1,17)</f>
        <v/>
      </c>
      <c r="AC194" s="24">
        <f>$L$113*INDEX($C$95:$AL$95,1,18)</f>
        <v/>
      </c>
      <c r="AD194" s="24">
        <f>$L$113*INDEX($C$95:$AL$95,1,19)</f>
        <v/>
      </c>
      <c r="AE194" s="24">
        <f>$L$113*INDEX($C$95:$AL$95,1,20)</f>
        <v/>
      </c>
      <c r="AF194" s="24">
        <f>$L$113*INDEX($C$95:$AL$95,1,21)</f>
        <v/>
      </c>
    </row>
    <row r="195">
      <c r="A195" s="4" t="inlineStr">
        <is>
          <t>Coorte del mese 11</t>
        </is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>
        <f>$M$113*INDEX($C$95:$AL$95,1,1)</f>
        <v/>
      </c>
      <c r="N195" s="24">
        <f>$M$113*INDEX($C$95:$AL$95,1,2)</f>
        <v/>
      </c>
      <c r="O195" s="24">
        <f>$M$113*INDEX($C$95:$AL$95,1,3)</f>
        <v/>
      </c>
      <c r="P195" s="24">
        <f>$M$113*INDEX($C$95:$AL$95,1,4)</f>
        <v/>
      </c>
      <c r="Q195" s="24">
        <f>$M$113*INDEX($C$95:$AL$95,1,5)</f>
        <v/>
      </c>
      <c r="R195" s="24">
        <f>$M$113*INDEX($C$95:$AL$95,1,6)</f>
        <v/>
      </c>
      <c r="S195" s="24">
        <f>$M$113*INDEX($C$95:$AL$95,1,7)</f>
        <v/>
      </c>
      <c r="T195" s="24">
        <f>$M$113*INDEX($C$95:$AL$95,1,8)</f>
        <v/>
      </c>
      <c r="U195" s="24">
        <f>$M$113*INDEX($C$95:$AL$95,1,9)</f>
        <v/>
      </c>
      <c r="V195" s="24">
        <f>$M$113*INDEX($C$95:$AL$95,1,10)</f>
        <v/>
      </c>
      <c r="W195" s="24">
        <f>$M$113*INDEX($C$95:$AL$95,1,11)</f>
        <v/>
      </c>
      <c r="X195" s="24">
        <f>$M$113*INDEX($C$95:$AL$95,1,12)</f>
        <v/>
      </c>
      <c r="Y195" s="24">
        <f>$M$113*INDEX($C$95:$AL$95,1,13)</f>
        <v/>
      </c>
      <c r="Z195" s="24">
        <f>$M$113*INDEX($C$95:$AL$95,1,14)</f>
        <v/>
      </c>
      <c r="AA195" s="24">
        <f>$M$113*INDEX($C$95:$AL$95,1,15)</f>
        <v/>
      </c>
      <c r="AB195" s="24">
        <f>$M$113*INDEX($C$95:$AL$95,1,16)</f>
        <v/>
      </c>
      <c r="AC195" s="24">
        <f>$M$113*INDEX($C$95:$AL$95,1,17)</f>
        <v/>
      </c>
      <c r="AD195" s="24">
        <f>$M$113*INDEX($C$95:$AL$95,1,18)</f>
        <v/>
      </c>
      <c r="AE195" s="24">
        <f>$M$113*INDEX($C$95:$AL$95,1,19)</f>
        <v/>
      </c>
      <c r="AF195" s="24">
        <f>$M$113*INDEX($C$95:$AL$95,1,20)</f>
        <v/>
      </c>
    </row>
    <row r="196">
      <c r="A196" s="4" t="inlineStr">
        <is>
          <t>Coorte del mese 12</t>
        </is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>
        <f>$N$113*INDEX($C$95:$AL$95,1,1)</f>
        <v/>
      </c>
      <c r="O196" s="24">
        <f>$N$113*INDEX($C$95:$AL$95,1,2)</f>
        <v/>
      </c>
      <c r="P196" s="24">
        <f>$N$113*INDEX($C$95:$AL$95,1,3)</f>
        <v/>
      </c>
      <c r="Q196" s="24">
        <f>$N$113*INDEX($C$95:$AL$95,1,4)</f>
        <v/>
      </c>
      <c r="R196" s="24">
        <f>$N$113*INDEX($C$95:$AL$95,1,5)</f>
        <v/>
      </c>
      <c r="S196" s="24">
        <f>$N$113*INDEX($C$95:$AL$95,1,6)</f>
        <v/>
      </c>
      <c r="T196" s="24">
        <f>$N$113*INDEX($C$95:$AL$95,1,7)</f>
        <v/>
      </c>
      <c r="U196" s="24">
        <f>$N$113*INDEX($C$95:$AL$95,1,8)</f>
        <v/>
      </c>
      <c r="V196" s="24">
        <f>$N$113*INDEX($C$95:$AL$95,1,9)</f>
        <v/>
      </c>
      <c r="W196" s="24">
        <f>$N$113*INDEX($C$95:$AL$95,1,10)</f>
        <v/>
      </c>
      <c r="X196" s="24">
        <f>$N$113*INDEX($C$95:$AL$95,1,11)</f>
        <v/>
      </c>
      <c r="Y196" s="24">
        <f>$N$113*INDEX($C$95:$AL$95,1,12)</f>
        <v/>
      </c>
      <c r="Z196" s="24">
        <f>$N$113*INDEX($C$95:$AL$95,1,13)</f>
        <v/>
      </c>
      <c r="AA196" s="24">
        <f>$N$113*INDEX($C$95:$AL$95,1,14)</f>
        <v/>
      </c>
      <c r="AB196" s="24">
        <f>$N$113*INDEX($C$95:$AL$95,1,15)</f>
        <v/>
      </c>
      <c r="AC196" s="24">
        <f>$N$113*INDEX($C$95:$AL$95,1,16)</f>
        <v/>
      </c>
      <c r="AD196" s="24">
        <f>$N$113*INDEX($C$95:$AL$95,1,17)</f>
        <v/>
      </c>
      <c r="AE196" s="24">
        <f>$N$113*INDEX($C$95:$AL$95,1,18)</f>
        <v/>
      </c>
      <c r="AF196" s="24">
        <f>$N$113*INDEX($C$95:$AL$95,1,19)</f>
        <v/>
      </c>
    </row>
    <row r="197">
      <c r="A197" s="4" t="inlineStr">
        <is>
          <t>Coorte del mese 13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>
        <f>$O$113*INDEX($C$95:$AL$95,1,1)</f>
        <v/>
      </c>
      <c r="P197" s="24">
        <f>$O$113*INDEX($C$95:$AL$95,1,2)</f>
        <v/>
      </c>
      <c r="Q197" s="24">
        <f>$O$113*INDEX($C$95:$AL$95,1,3)</f>
        <v/>
      </c>
      <c r="R197" s="24">
        <f>$O$113*INDEX($C$95:$AL$95,1,4)</f>
        <v/>
      </c>
      <c r="S197" s="24">
        <f>$O$113*INDEX($C$95:$AL$95,1,5)</f>
        <v/>
      </c>
      <c r="T197" s="24">
        <f>$O$113*INDEX($C$95:$AL$95,1,6)</f>
        <v/>
      </c>
      <c r="U197" s="24">
        <f>$O$113*INDEX($C$95:$AL$95,1,7)</f>
        <v/>
      </c>
      <c r="V197" s="24">
        <f>$O$113*INDEX($C$95:$AL$95,1,8)</f>
        <v/>
      </c>
      <c r="W197" s="24">
        <f>$O$113*INDEX($C$95:$AL$95,1,9)</f>
        <v/>
      </c>
      <c r="X197" s="24">
        <f>$O$113*INDEX($C$95:$AL$95,1,10)</f>
        <v/>
      </c>
      <c r="Y197" s="24">
        <f>$O$113*INDEX($C$95:$AL$95,1,11)</f>
        <v/>
      </c>
      <c r="Z197" s="24">
        <f>$O$113*INDEX($C$95:$AL$95,1,12)</f>
        <v/>
      </c>
      <c r="AA197" s="24">
        <f>$O$113*INDEX($C$95:$AL$95,1,13)</f>
        <v/>
      </c>
      <c r="AB197" s="24">
        <f>$O$113*INDEX($C$95:$AL$95,1,14)</f>
        <v/>
      </c>
      <c r="AC197" s="24">
        <f>$O$113*INDEX($C$95:$AL$95,1,15)</f>
        <v/>
      </c>
      <c r="AD197" s="24">
        <f>$O$113*INDEX($C$95:$AL$95,1,16)</f>
        <v/>
      </c>
      <c r="AE197" s="24">
        <f>$O$113*INDEX($C$95:$AL$95,1,17)</f>
        <v/>
      </c>
      <c r="AF197" s="24">
        <f>$O$113*INDEX($C$95:$AL$95,1,18)</f>
        <v/>
      </c>
    </row>
    <row r="198">
      <c r="A198" s="4" t="inlineStr">
        <is>
          <t>Coorte del mese 14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>
        <f>$P$113*INDEX($C$95:$AL$95,1,1)</f>
        <v/>
      </c>
      <c r="Q198" s="24">
        <f>$P$113*INDEX($C$95:$AL$95,1,2)</f>
        <v/>
      </c>
      <c r="R198" s="24">
        <f>$P$113*INDEX($C$95:$AL$95,1,3)</f>
        <v/>
      </c>
      <c r="S198" s="24">
        <f>$P$113*INDEX($C$95:$AL$95,1,4)</f>
        <v/>
      </c>
      <c r="T198" s="24">
        <f>$P$113*INDEX($C$95:$AL$95,1,5)</f>
        <v/>
      </c>
      <c r="U198" s="24">
        <f>$P$113*INDEX($C$95:$AL$95,1,6)</f>
        <v/>
      </c>
      <c r="V198" s="24">
        <f>$P$113*INDEX($C$95:$AL$95,1,7)</f>
        <v/>
      </c>
      <c r="W198" s="24">
        <f>$P$113*INDEX($C$95:$AL$95,1,8)</f>
        <v/>
      </c>
      <c r="X198" s="24">
        <f>$P$113*INDEX($C$95:$AL$95,1,9)</f>
        <v/>
      </c>
      <c r="Y198" s="24">
        <f>$P$113*INDEX($C$95:$AL$95,1,10)</f>
        <v/>
      </c>
      <c r="Z198" s="24">
        <f>$P$113*INDEX($C$95:$AL$95,1,11)</f>
        <v/>
      </c>
      <c r="AA198" s="24">
        <f>$P$113*INDEX($C$95:$AL$95,1,12)</f>
        <v/>
      </c>
      <c r="AB198" s="24">
        <f>$P$113*INDEX($C$95:$AL$95,1,13)</f>
        <v/>
      </c>
      <c r="AC198" s="24">
        <f>$P$113*INDEX($C$95:$AL$95,1,14)</f>
        <v/>
      </c>
      <c r="AD198" s="24">
        <f>$P$113*INDEX($C$95:$AL$95,1,15)</f>
        <v/>
      </c>
      <c r="AE198" s="24">
        <f>$P$113*INDEX($C$95:$AL$95,1,16)</f>
        <v/>
      </c>
      <c r="AF198" s="24">
        <f>$P$113*INDEX($C$95:$AL$95,1,17)</f>
        <v/>
      </c>
    </row>
    <row r="199">
      <c r="A199" s="4" t="inlineStr">
        <is>
          <t>Coorte del mese 15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>
        <f>$Q$113*INDEX($C$95:$AL$95,1,1)</f>
        <v/>
      </c>
      <c r="R199" s="24">
        <f>$Q$113*INDEX($C$95:$AL$95,1,2)</f>
        <v/>
      </c>
      <c r="S199" s="24">
        <f>$Q$113*INDEX($C$95:$AL$95,1,3)</f>
        <v/>
      </c>
      <c r="T199" s="24">
        <f>$Q$113*INDEX($C$95:$AL$95,1,4)</f>
        <v/>
      </c>
      <c r="U199" s="24">
        <f>$Q$113*INDEX($C$95:$AL$95,1,5)</f>
        <v/>
      </c>
      <c r="V199" s="24">
        <f>$Q$113*INDEX($C$95:$AL$95,1,6)</f>
        <v/>
      </c>
      <c r="W199" s="24">
        <f>$Q$113*INDEX($C$95:$AL$95,1,7)</f>
        <v/>
      </c>
      <c r="X199" s="24">
        <f>$Q$113*INDEX($C$95:$AL$95,1,8)</f>
        <v/>
      </c>
      <c r="Y199" s="24">
        <f>$Q$113*INDEX($C$95:$AL$95,1,9)</f>
        <v/>
      </c>
      <c r="Z199" s="24">
        <f>$Q$113*INDEX($C$95:$AL$95,1,10)</f>
        <v/>
      </c>
      <c r="AA199" s="24">
        <f>$Q$113*INDEX($C$95:$AL$95,1,11)</f>
        <v/>
      </c>
      <c r="AB199" s="24">
        <f>$Q$113*INDEX($C$95:$AL$95,1,12)</f>
        <v/>
      </c>
      <c r="AC199" s="24">
        <f>$Q$113*INDEX($C$95:$AL$95,1,13)</f>
        <v/>
      </c>
      <c r="AD199" s="24">
        <f>$Q$113*INDEX($C$95:$AL$95,1,14)</f>
        <v/>
      </c>
      <c r="AE199" s="24">
        <f>$Q$113*INDEX($C$95:$AL$95,1,15)</f>
        <v/>
      </c>
      <c r="AF199" s="24">
        <f>$Q$113*INDEX($C$95:$AL$95,1,16)</f>
        <v/>
      </c>
    </row>
    <row r="200">
      <c r="A200" s="4" t="inlineStr">
        <is>
          <t>Coorte del mese 16</t>
        </is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>
        <f>$R$113*INDEX($C$95:$AL$95,1,1)</f>
        <v/>
      </c>
      <c r="S200" s="24">
        <f>$R$113*INDEX($C$95:$AL$95,1,2)</f>
        <v/>
      </c>
      <c r="T200" s="24">
        <f>$R$113*INDEX($C$95:$AL$95,1,3)</f>
        <v/>
      </c>
      <c r="U200" s="24">
        <f>$R$113*INDEX($C$95:$AL$95,1,4)</f>
        <v/>
      </c>
      <c r="V200" s="24">
        <f>$R$113*INDEX($C$95:$AL$95,1,5)</f>
        <v/>
      </c>
      <c r="W200" s="24">
        <f>$R$113*INDEX($C$95:$AL$95,1,6)</f>
        <v/>
      </c>
      <c r="X200" s="24">
        <f>$R$113*INDEX($C$95:$AL$95,1,7)</f>
        <v/>
      </c>
      <c r="Y200" s="24">
        <f>$R$113*INDEX($C$95:$AL$95,1,8)</f>
        <v/>
      </c>
      <c r="Z200" s="24">
        <f>$R$113*INDEX($C$95:$AL$95,1,9)</f>
        <v/>
      </c>
      <c r="AA200" s="24">
        <f>$R$113*INDEX($C$95:$AL$95,1,10)</f>
        <v/>
      </c>
      <c r="AB200" s="24">
        <f>$R$113*INDEX($C$95:$AL$95,1,11)</f>
        <v/>
      </c>
      <c r="AC200" s="24">
        <f>$R$113*INDEX($C$95:$AL$95,1,12)</f>
        <v/>
      </c>
      <c r="AD200" s="24">
        <f>$R$113*INDEX($C$95:$AL$95,1,13)</f>
        <v/>
      </c>
      <c r="AE200" s="24">
        <f>$R$113*INDEX($C$95:$AL$95,1,14)</f>
        <v/>
      </c>
      <c r="AF200" s="24">
        <f>$R$113*INDEX($C$95:$AL$95,1,15)</f>
        <v/>
      </c>
    </row>
    <row r="201">
      <c r="A201" s="4" t="inlineStr">
        <is>
          <t>Coorte del mese 17</t>
        </is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>
        <f>$S$113*INDEX($C$95:$AL$95,1,1)</f>
        <v/>
      </c>
      <c r="T201" s="24">
        <f>$S$113*INDEX($C$95:$AL$95,1,2)</f>
        <v/>
      </c>
      <c r="U201" s="24">
        <f>$S$113*INDEX($C$95:$AL$95,1,3)</f>
        <v/>
      </c>
      <c r="V201" s="24">
        <f>$S$113*INDEX($C$95:$AL$95,1,4)</f>
        <v/>
      </c>
      <c r="W201" s="24">
        <f>$S$113*INDEX($C$95:$AL$95,1,5)</f>
        <v/>
      </c>
      <c r="X201" s="24">
        <f>$S$113*INDEX($C$95:$AL$95,1,6)</f>
        <v/>
      </c>
      <c r="Y201" s="24">
        <f>$S$113*INDEX($C$95:$AL$95,1,7)</f>
        <v/>
      </c>
      <c r="Z201" s="24">
        <f>$S$113*INDEX($C$95:$AL$95,1,8)</f>
        <v/>
      </c>
      <c r="AA201" s="24">
        <f>$S$113*INDEX($C$95:$AL$95,1,9)</f>
        <v/>
      </c>
      <c r="AB201" s="24">
        <f>$S$113*INDEX($C$95:$AL$95,1,10)</f>
        <v/>
      </c>
      <c r="AC201" s="24">
        <f>$S$113*INDEX($C$95:$AL$95,1,11)</f>
        <v/>
      </c>
      <c r="AD201" s="24">
        <f>$S$113*INDEX($C$95:$AL$95,1,12)</f>
        <v/>
      </c>
      <c r="AE201" s="24">
        <f>$S$113*INDEX($C$95:$AL$95,1,13)</f>
        <v/>
      </c>
      <c r="AF201" s="24">
        <f>$S$113*INDEX($C$95:$AL$95,1,14)</f>
        <v/>
      </c>
    </row>
    <row r="202">
      <c r="A202" s="4" t="inlineStr">
        <is>
          <t>Coorte del mese 18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>
        <f>$T$113*INDEX($C$95:$AL$95,1,1)</f>
        <v/>
      </c>
      <c r="U202" s="24">
        <f>$T$113*INDEX($C$95:$AL$95,1,2)</f>
        <v/>
      </c>
      <c r="V202" s="24">
        <f>$T$113*INDEX($C$95:$AL$95,1,3)</f>
        <v/>
      </c>
      <c r="W202" s="24">
        <f>$T$113*INDEX($C$95:$AL$95,1,4)</f>
        <v/>
      </c>
      <c r="X202" s="24">
        <f>$T$113*INDEX($C$95:$AL$95,1,5)</f>
        <v/>
      </c>
      <c r="Y202" s="24">
        <f>$T$113*INDEX($C$95:$AL$95,1,6)</f>
        <v/>
      </c>
      <c r="Z202" s="24">
        <f>$T$113*INDEX($C$95:$AL$95,1,7)</f>
        <v/>
      </c>
      <c r="AA202" s="24">
        <f>$T$113*INDEX($C$95:$AL$95,1,8)</f>
        <v/>
      </c>
      <c r="AB202" s="24">
        <f>$T$113*INDEX($C$95:$AL$95,1,9)</f>
        <v/>
      </c>
      <c r="AC202" s="24">
        <f>$T$113*INDEX($C$95:$AL$95,1,10)</f>
        <v/>
      </c>
      <c r="AD202" s="24">
        <f>$T$113*INDEX($C$95:$AL$95,1,11)</f>
        <v/>
      </c>
      <c r="AE202" s="24">
        <f>$T$113*INDEX($C$95:$AL$95,1,12)</f>
        <v/>
      </c>
      <c r="AF202" s="24">
        <f>$T$113*INDEX($C$95:$AL$95,1,13)</f>
        <v/>
      </c>
    </row>
    <row r="203">
      <c r="A203" s="4" t="inlineStr">
        <is>
          <t>Coorte del mese 19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>
        <f>$U$113*INDEX($C$95:$AL$95,1,1)</f>
        <v/>
      </c>
      <c r="V203" s="24">
        <f>$U$113*INDEX($C$95:$AL$95,1,2)</f>
        <v/>
      </c>
      <c r="W203" s="24">
        <f>$U$113*INDEX($C$95:$AL$95,1,3)</f>
        <v/>
      </c>
      <c r="X203" s="24">
        <f>$U$113*INDEX($C$95:$AL$95,1,4)</f>
        <v/>
      </c>
      <c r="Y203" s="24">
        <f>$U$113*INDEX($C$95:$AL$95,1,5)</f>
        <v/>
      </c>
      <c r="Z203" s="24">
        <f>$U$113*INDEX($C$95:$AL$95,1,6)</f>
        <v/>
      </c>
      <c r="AA203" s="24">
        <f>$U$113*INDEX($C$95:$AL$95,1,7)</f>
        <v/>
      </c>
      <c r="AB203" s="24">
        <f>$U$113*INDEX($C$95:$AL$95,1,8)</f>
        <v/>
      </c>
      <c r="AC203" s="24">
        <f>$U$113*INDEX($C$95:$AL$95,1,9)</f>
        <v/>
      </c>
      <c r="AD203" s="24">
        <f>$U$113*INDEX($C$95:$AL$95,1,10)</f>
        <v/>
      </c>
      <c r="AE203" s="24">
        <f>$U$113*INDEX($C$95:$AL$95,1,11)</f>
        <v/>
      </c>
      <c r="AF203" s="24">
        <f>$U$113*INDEX($C$95:$AL$95,1,12)</f>
        <v/>
      </c>
    </row>
    <row r="204">
      <c r="A204" s="4" t="inlineStr">
        <is>
          <t>Coorte del mese 20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>
        <f>$V$113*INDEX($C$95:$AL$95,1,1)</f>
        <v/>
      </c>
      <c r="W204" s="24">
        <f>$V$113*INDEX($C$95:$AL$95,1,2)</f>
        <v/>
      </c>
      <c r="X204" s="24">
        <f>$V$113*INDEX($C$95:$AL$95,1,3)</f>
        <v/>
      </c>
      <c r="Y204" s="24">
        <f>$V$113*INDEX($C$95:$AL$95,1,4)</f>
        <v/>
      </c>
      <c r="Z204" s="24">
        <f>$V$113*INDEX($C$95:$AL$95,1,5)</f>
        <v/>
      </c>
      <c r="AA204" s="24">
        <f>$V$113*INDEX($C$95:$AL$95,1,6)</f>
        <v/>
      </c>
      <c r="AB204" s="24">
        <f>$V$113*INDEX($C$95:$AL$95,1,7)</f>
        <v/>
      </c>
      <c r="AC204" s="24">
        <f>$V$113*INDEX($C$95:$AL$95,1,8)</f>
        <v/>
      </c>
      <c r="AD204" s="24">
        <f>$V$113*INDEX($C$95:$AL$95,1,9)</f>
        <v/>
      </c>
      <c r="AE204" s="24">
        <f>$V$113*INDEX($C$95:$AL$95,1,10)</f>
        <v/>
      </c>
      <c r="AF204" s="24">
        <f>$V$113*INDEX($C$95:$AL$95,1,11)</f>
        <v/>
      </c>
    </row>
    <row r="205">
      <c r="A205" s="4" t="inlineStr">
        <is>
          <t>Coorte del mese 21</t>
        </is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>
        <f>$W$113*INDEX($C$95:$AL$95,1,1)</f>
        <v/>
      </c>
      <c r="X205" s="24">
        <f>$W$113*INDEX($C$95:$AL$95,1,2)</f>
        <v/>
      </c>
      <c r="Y205" s="24">
        <f>$W$113*INDEX($C$95:$AL$95,1,3)</f>
        <v/>
      </c>
      <c r="Z205" s="24">
        <f>$W$113*INDEX($C$95:$AL$95,1,4)</f>
        <v/>
      </c>
      <c r="AA205" s="24">
        <f>$W$113*INDEX($C$95:$AL$95,1,5)</f>
        <v/>
      </c>
      <c r="AB205" s="24">
        <f>$W$113*INDEX($C$95:$AL$95,1,6)</f>
        <v/>
      </c>
      <c r="AC205" s="24">
        <f>$W$113*INDEX($C$95:$AL$95,1,7)</f>
        <v/>
      </c>
      <c r="AD205" s="24">
        <f>$W$113*INDEX($C$95:$AL$95,1,8)</f>
        <v/>
      </c>
      <c r="AE205" s="24">
        <f>$W$113*INDEX($C$95:$AL$95,1,9)</f>
        <v/>
      </c>
      <c r="AF205" s="24">
        <f>$W$113*INDEX($C$95:$AL$95,1,10)</f>
        <v/>
      </c>
    </row>
    <row r="206">
      <c r="A206" s="4" t="inlineStr">
        <is>
          <t>Coorte del mese 22</t>
        </is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>
        <f>$X$113*INDEX($C$95:$AL$95,1,1)</f>
        <v/>
      </c>
      <c r="Y206" s="24">
        <f>$X$113*INDEX($C$95:$AL$95,1,2)</f>
        <v/>
      </c>
      <c r="Z206" s="24">
        <f>$X$113*INDEX($C$95:$AL$95,1,3)</f>
        <v/>
      </c>
      <c r="AA206" s="24">
        <f>$X$113*INDEX($C$95:$AL$95,1,4)</f>
        <v/>
      </c>
      <c r="AB206" s="24">
        <f>$X$113*INDEX($C$95:$AL$95,1,5)</f>
        <v/>
      </c>
      <c r="AC206" s="24">
        <f>$X$113*INDEX($C$95:$AL$95,1,6)</f>
        <v/>
      </c>
      <c r="AD206" s="24">
        <f>$X$113*INDEX($C$95:$AL$95,1,7)</f>
        <v/>
      </c>
      <c r="AE206" s="24">
        <f>$X$113*INDEX($C$95:$AL$95,1,8)</f>
        <v/>
      </c>
      <c r="AF206" s="24">
        <f>$X$113*INDEX($C$95:$AL$95,1,9)</f>
        <v/>
      </c>
    </row>
    <row r="207">
      <c r="A207" s="4" t="inlineStr">
        <is>
          <t>Coorte del mese 23</t>
        </is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>
        <f>$Y$113*INDEX($C$95:$AL$95,1,1)</f>
        <v/>
      </c>
      <c r="Z207" s="24">
        <f>$Y$113*INDEX($C$95:$AL$95,1,2)</f>
        <v/>
      </c>
      <c r="AA207" s="24">
        <f>$Y$113*INDEX($C$95:$AL$95,1,3)</f>
        <v/>
      </c>
      <c r="AB207" s="24">
        <f>$Y$113*INDEX($C$95:$AL$95,1,4)</f>
        <v/>
      </c>
      <c r="AC207" s="24">
        <f>$Y$113*INDEX($C$95:$AL$95,1,5)</f>
        <v/>
      </c>
      <c r="AD207" s="24">
        <f>$Y$113*INDEX($C$95:$AL$95,1,6)</f>
        <v/>
      </c>
      <c r="AE207" s="24">
        <f>$Y$113*INDEX($C$95:$AL$95,1,7)</f>
        <v/>
      </c>
      <c r="AF207" s="24">
        <f>$Y$113*INDEX($C$95:$AL$95,1,8)</f>
        <v/>
      </c>
    </row>
    <row r="208">
      <c r="A208" s="4" t="inlineStr">
        <is>
          <t>Coorte del mese 24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>
        <f>$Z$113*INDEX($C$95:$AL$95,1,1)</f>
        <v/>
      </c>
      <c r="AA208" s="24">
        <f>$Z$113*INDEX($C$95:$AL$95,1,2)</f>
        <v/>
      </c>
      <c r="AB208" s="24">
        <f>$Z$113*INDEX($C$95:$AL$95,1,3)</f>
        <v/>
      </c>
      <c r="AC208" s="24">
        <f>$Z$113*INDEX($C$95:$AL$95,1,4)</f>
        <v/>
      </c>
      <c r="AD208" s="24">
        <f>$Z$113*INDEX($C$95:$AL$95,1,5)</f>
        <v/>
      </c>
      <c r="AE208" s="24">
        <f>$Z$113*INDEX($C$95:$AL$95,1,6)</f>
        <v/>
      </c>
      <c r="AF208" s="24">
        <f>$Z$113*INDEX($C$95:$AL$95,1,7)</f>
        <v/>
      </c>
    </row>
    <row r="209">
      <c r="A209" s="4" t="inlineStr">
        <is>
          <t>Coorte del mese 25</t>
        </is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>
        <f>$AA$113*INDEX($C$95:$AL$95,1,1)</f>
        <v/>
      </c>
      <c r="AB209" s="24">
        <f>$AA$113*INDEX($C$95:$AL$95,1,2)</f>
        <v/>
      </c>
      <c r="AC209" s="24">
        <f>$AA$113*INDEX($C$95:$AL$95,1,3)</f>
        <v/>
      </c>
      <c r="AD209" s="24">
        <f>$AA$113*INDEX($C$95:$AL$95,1,4)</f>
        <v/>
      </c>
      <c r="AE209" s="24">
        <f>$AA$113*INDEX($C$95:$AL$95,1,5)</f>
        <v/>
      </c>
      <c r="AF209" s="24">
        <f>$AA$113*INDEX($C$95:$AL$95,1,6)</f>
        <v/>
      </c>
    </row>
    <row r="210">
      <c r="A210" s="4" t="inlineStr">
        <is>
          <t>Coorte del mese 26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24" t="n">
        <v>0</v>
      </c>
      <c r="AA210" s="24" t="n">
        <v>0</v>
      </c>
      <c r="AB210" s="24">
        <f>$AB$113*INDEX($C$95:$AL$95,1,1)</f>
        <v/>
      </c>
      <c r="AC210" s="24">
        <f>$AB$113*INDEX($C$95:$AL$95,1,2)</f>
        <v/>
      </c>
      <c r="AD210" s="24">
        <f>$AB$113*INDEX($C$95:$AL$95,1,3)</f>
        <v/>
      </c>
      <c r="AE210" s="24">
        <f>$AB$113*INDEX($C$95:$AL$95,1,4)</f>
        <v/>
      </c>
      <c r="AF210" s="24">
        <f>$AB$113*INDEX($C$95:$AL$95,1,5)</f>
        <v/>
      </c>
    </row>
    <row r="211">
      <c r="A211" s="4" t="inlineStr">
        <is>
          <t>Coorte del mese 27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>
        <f>$AC$113*INDEX($C$95:$AL$95,1,1)</f>
        <v/>
      </c>
      <c r="AD211" s="24">
        <f>$AC$113*INDEX($C$95:$AL$95,1,2)</f>
        <v/>
      </c>
      <c r="AE211" s="24">
        <f>$AC$113*INDEX($C$95:$AL$95,1,3)</f>
        <v/>
      </c>
      <c r="AF211" s="24">
        <f>$AC$113*INDEX($C$95:$AL$95,1,4)</f>
        <v/>
      </c>
    </row>
    <row r="212">
      <c r="A212" s="4" t="inlineStr">
        <is>
          <t>Coorte del mese 28</t>
        </is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>
        <f>$AD$113*INDEX($C$95:$AL$95,1,1)</f>
        <v/>
      </c>
      <c r="AE212" s="24">
        <f>$AD$113*INDEX($C$95:$AL$95,1,2)</f>
        <v/>
      </c>
      <c r="AF212" s="24">
        <f>$AD$113*INDEX($C$95:$AL$95,1,3)</f>
        <v/>
      </c>
    </row>
    <row r="213">
      <c r="A213" s="4" t="inlineStr">
        <is>
          <t>Coorte del mese 29</t>
        </is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>
        <f>$AE$113*INDEX($C$95:$AL$95,1,1)</f>
        <v/>
      </c>
      <c r="AF213" s="24">
        <f>$AE$113*INDEX($C$95:$AL$95,1,2)</f>
        <v/>
      </c>
    </row>
    <row r="214">
      <c r="A214" s="4" t="inlineStr">
        <is>
          <t>Coorte del mese 30</t>
        </is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4" t="n">
        <v>0</v>
      </c>
      <c r="AD214" s="24" t="n">
        <v>0</v>
      </c>
      <c r="AE214" s="24" t="n">
        <v>0</v>
      </c>
      <c r="AF214" s="24">
        <f>$AF$113*INDEX($C$95:$AL$95,1,1)</f>
        <v/>
      </c>
    </row>
    <row r="215">
      <c r="A215" s="3" t="inlineStr">
        <is>
          <t>Totale percorso 3: ordini</t>
        </is>
      </c>
      <c r="C215" s="25">
        <f>SUM(C185:C214)</f>
        <v/>
      </c>
      <c r="D215" s="25">
        <f>SUM(D185:D214)</f>
        <v/>
      </c>
      <c r="E215" s="25">
        <f>SUM(E185:E214)</f>
        <v/>
      </c>
      <c r="F215" s="25">
        <f>SUM(F185:F214)</f>
        <v/>
      </c>
      <c r="G215" s="25">
        <f>SUM(G185:G214)</f>
        <v/>
      </c>
      <c r="H215" s="25">
        <f>SUM(H185:H214)</f>
        <v/>
      </c>
      <c r="I215" s="25">
        <f>SUM(I185:I214)</f>
        <v/>
      </c>
      <c r="J215" s="25">
        <f>SUM(J185:J214)</f>
        <v/>
      </c>
      <c r="K215" s="25">
        <f>SUM(K185:K214)</f>
        <v/>
      </c>
      <c r="L215" s="25">
        <f>SUM(L185:L214)</f>
        <v/>
      </c>
      <c r="M215" s="25">
        <f>SUM(M185:M214)</f>
        <v/>
      </c>
      <c r="N215" s="25">
        <f>SUM(N185:N214)</f>
        <v/>
      </c>
      <c r="O215" s="25">
        <f>SUM(O185:O214)</f>
        <v/>
      </c>
      <c r="P215" s="25">
        <f>SUM(P185:P214)</f>
        <v/>
      </c>
      <c r="Q215" s="25">
        <f>SUM(Q185:Q214)</f>
        <v/>
      </c>
      <c r="R215" s="25">
        <f>SUM(R185:R214)</f>
        <v/>
      </c>
      <c r="S215" s="25">
        <f>SUM(S185:S214)</f>
        <v/>
      </c>
      <c r="T215" s="25">
        <f>SUM(T185:T214)</f>
        <v/>
      </c>
      <c r="U215" s="25">
        <f>SUM(U185:U214)</f>
        <v/>
      </c>
      <c r="V215" s="25">
        <f>SUM(V185:V214)</f>
        <v/>
      </c>
      <c r="W215" s="25">
        <f>SUM(W185:W214)</f>
        <v/>
      </c>
      <c r="X215" s="25">
        <f>SUM(X185:X214)</f>
        <v/>
      </c>
      <c r="Y215" s="25">
        <f>SUM(Y185:Y214)</f>
        <v/>
      </c>
      <c r="Z215" s="25">
        <f>SUM(Z185:Z214)</f>
        <v/>
      </c>
      <c r="AA215" s="25">
        <f>SUM(AA185:AA214)</f>
        <v/>
      </c>
      <c r="AB215" s="25">
        <f>SUM(AB185:AB214)</f>
        <v/>
      </c>
      <c r="AC215" s="25">
        <f>SUM(AC185:AC214)</f>
        <v/>
      </c>
      <c r="AD215" s="25">
        <f>SUM(AD185:AD214)</f>
        <v/>
      </c>
      <c r="AE215" s="25">
        <f>SUM(AE185:AE214)</f>
        <v/>
      </c>
      <c r="AF215" s="25">
        <f>SUM(AF185:AF214)</f>
        <v/>
      </c>
    </row>
    <row r="217">
      <c r="A217" s="10" t="inlineStr">
        <is>
          <t>Abbonamento: ordini per coorte (righe = mese di acquisizione, colonne = mese di calendario)</t>
        </is>
      </c>
    </row>
    <row r="218">
      <c r="A218" s="4" t="inlineStr">
        <is>
          <t>Coorte del mese 1</t>
        </is>
      </c>
      <c r="C218" s="24">
        <f>$C$114*INDEX($C$96:$AL$96,1,1)</f>
        <v/>
      </c>
      <c r="D218" s="24">
        <f>$C$114*INDEX($C$96:$AL$96,1,2)</f>
        <v/>
      </c>
      <c r="E218" s="24">
        <f>$C$114*INDEX($C$96:$AL$96,1,3)</f>
        <v/>
      </c>
      <c r="F218" s="24">
        <f>$C$114*INDEX($C$96:$AL$96,1,4)</f>
        <v/>
      </c>
      <c r="G218" s="24">
        <f>$C$114*INDEX($C$96:$AL$96,1,5)</f>
        <v/>
      </c>
      <c r="H218" s="24">
        <f>$C$114*INDEX($C$96:$AL$96,1,6)</f>
        <v/>
      </c>
      <c r="I218" s="24">
        <f>$C$114*INDEX($C$96:$AL$96,1,7)</f>
        <v/>
      </c>
      <c r="J218" s="24">
        <f>$C$114*INDEX($C$96:$AL$96,1,8)</f>
        <v/>
      </c>
      <c r="K218" s="24">
        <f>$C$114*INDEX($C$96:$AL$96,1,9)</f>
        <v/>
      </c>
      <c r="L218" s="24">
        <f>$C$114*INDEX($C$96:$AL$96,1,10)</f>
        <v/>
      </c>
      <c r="M218" s="24">
        <f>$C$114*INDEX($C$96:$AL$96,1,11)</f>
        <v/>
      </c>
      <c r="N218" s="24">
        <f>$C$114*INDEX($C$96:$AL$96,1,12)</f>
        <v/>
      </c>
      <c r="O218" s="24">
        <f>$C$114*INDEX($C$96:$AL$96,1,13)</f>
        <v/>
      </c>
      <c r="P218" s="24">
        <f>$C$114*INDEX($C$96:$AL$96,1,14)</f>
        <v/>
      </c>
      <c r="Q218" s="24">
        <f>$C$114*INDEX($C$96:$AL$96,1,15)</f>
        <v/>
      </c>
      <c r="R218" s="24">
        <f>$C$114*INDEX($C$96:$AL$96,1,16)</f>
        <v/>
      </c>
      <c r="S218" s="24">
        <f>$C$114*INDEX($C$96:$AL$96,1,17)</f>
        <v/>
      </c>
      <c r="T218" s="24">
        <f>$C$114*INDEX($C$96:$AL$96,1,18)</f>
        <v/>
      </c>
      <c r="U218" s="24">
        <f>$C$114*INDEX($C$96:$AL$96,1,19)</f>
        <v/>
      </c>
      <c r="V218" s="24">
        <f>$C$114*INDEX($C$96:$AL$96,1,20)</f>
        <v/>
      </c>
      <c r="W218" s="24">
        <f>$C$114*INDEX($C$96:$AL$96,1,21)</f>
        <v/>
      </c>
      <c r="X218" s="24">
        <f>$C$114*INDEX($C$96:$AL$96,1,22)</f>
        <v/>
      </c>
      <c r="Y218" s="24">
        <f>$C$114*INDEX($C$96:$AL$96,1,23)</f>
        <v/>
      </c>
      <c r="Z218" s="24">
        <f>$C$114*INDEX($C$96:$AL$96,1,24)</f>
        <v/>
      </c>
      <c r="AA218" s="24">
        <f>$C$114*INDEX($C$96:$AL$96,1,25)</f>
        <v/>
      </c>
      <c r="AB218" s="24">
        <f>$C$114*INDEX($C$96:$AL$96,1,26)</f>
        <v/>
      </c>
      <c r="AC218" s="24">
        <f>$C$114*INDEX($C$96:$AL$96,1,27)</f>
        <v/>
      </c>
      <c r="AD218" s="24">
        <f>$C$114*INDEX($C$96:$AL$96,1,28)</f>
        <v/>
      </c>
      <c r="AE218" s="24">
        <f>$C$114*INDEX($C$96:$AL$96,1,29)</f>
        <v/>
      </c>
      <c r="AF218" s="24">
        <f>$C$114*INDEX($C$96:$AL$96,1,30)</f>
        <v/>
      </c>
    </row>
    <row r="219">
      <c r="A219" s="4" t="inlineStr">
        <is>
          <t>Coorte del mese 2</t>
        </is>
      </c>
      <c r="C219" s="24" t="n">
        <v>0</v>
      </c>
      <c r="D219" s="24">
        <f>$D$114*INDEX($C$96:$AL$96,1,1)</f>
        <v/>
      </c>
      <c r="E219" s="24">
        <f>$D$114*INDEX($C$96:$AL$96,1,2)</f>
        <v/>
      </c>
      <c r="F219" s="24">
        <f>$D$114*INDEX($C$96:$AL$96,1,3)</f>
        <v/>
      </c>
      <c r="G219" s="24">
        <f>$D$114*INDEX($C$96:$AL$96,1,4)</f>
        <v/>
      </c>
      <c r="H219" s="24">
        <f>$D$114*INDEX($C$96:$AL$96,1,5)</f>
        <v/>
      </c>
      <c r="I219" s="24">
        <f>$D$114*INDEX($C$96:$AL$96,1,6)</f>
        <v/>
      </c>
      <c r="J219" s="24">
        <f>$D$114*INDEX($C$96:$AL$96,1,7)</f>
        <v/>
      </c>
      <c r="K219" s="24">
        <f>$D$114*INDEX($C$96:$AL$96,1,8)</f>
        <v/>
      </c>
      <c r="L219" s="24">
        <f>$D$114*INDEX($C$96:$AL$96,1,9)</f>
        <v/>
      </c>
      <c r="M219" s="24">
        <f>$D$114*INDEX($C$96:$AL$96,1,10)</f>
        <v/>
      </c>
      <c r="N219" s="24">
        <f>$D$114*INDEX($C$96:$AL$96,1,11)</f>
        <v/>
      </c>
      <c r="O219" s="24">
        <f>$D$114*INDEX($C$96:$AL$96,1,12)</f>
        <v/>
      </c>
      <c r="P219" s="24">
        <f>$D$114*INDEX($C$96:$AL$96,1,13)</f>
        <v/>
      </c>
      <c r="Q219" s="24">
        <f>$D$114*INDEX($C$96:$AL$96,1,14)</f>
        <v/>
      </c>
      <c r="R219" s="24">
        <f>$D$114*INDEX($C$96:$AL$96,1,15)</f>
        <v/>
      </c>
      <c r="S219" s="24">
        <f>$D$114*INDEX($C$96:$AL$96,1,16)</f>
        <v/>
      </c>
      <c r="T219" s="24">
        <f>$D$114*INDEX($C$96:$AL$96,1,17)</f>
        <v/>
      </c>
      <c r="U219" s="24">
        <f>$D$114*INDEX($C$96:$AL$96,1,18)</f>
        <v/>
      </c>
      <c r="V219" s="24">
        <f>$D$114*INDEX($C$96:$AL$96,1,19)</f>
        <v/>
      </c>
      <c r="W219" s="24">
        <f>$D$114*INDEX($C$96:$AL$96,1,20)</f>
        <v/>
      </c>
      <c r="X219" s="24">
        <f>$D$114*INDEX($C$96:$AL$96,1,21)</f>
        <v/>
      </c>
      <c r="Y219" s="24">
        <f>$D$114*INDEX($C$96:$AL$96,1,22)</f>
        <v/>
      </c>
      <c r="Z219" s="24">
        <f>$D$114*INDEX($C$96:$AL$96,1,23)</f>
        <v/>
      </c>
      <c r="AA219" s="24">
        <f>$D$114*INDEX($C$96:$AL$96,1,24)</f>
        <v/>
      </c>
      <c r="AB219" s="24">
        <f>$D$114*INDEX($C$96:$AL$96,1,25)</f>
        <v/>
      </c>
      <c r="AC219" s="24">
        <f>$D$114*INDEX($C$96:$AL$96,1,26)</f>
        <v/>
      </c>
      <c r="AD219" s="24">
        <f>$D$114*INDEX($C$96:$AL$96,1,27)</f>
        <v/>
      </c>
      <c r="AE219" s="24">
        <f>$D$114*INDEX($C$96:$AL$96,1,28)</f>
        <v/>
      </c>
      <c r="AF219" s="24">
        <f>$D$114*INDEX($C$96:$AL$96,1,29)</f>
        <v/>
      </c>
    </row>
    <row r="220">
      <c r="A220" s="4" t="inlineStr">
        <is>
          <t>Coorte del mese 3</t>
        </is>
      </c>
      <c r="C220" s="24" t="n">
        <v>0</v>
      </c>
      <c r="D220" s="24" t="n">
        <v>0</v>
      </c>
      <c r="E220" s="24">
        <f>$E$114*INDEX($C$96:$AL$96,1,1)</f>
        <v/>
      </c>
      <c r="F220" s="24">
        <f>$E$114*INDEX($C$96:$AL$96,1,2)</f>
        <v/>
      </c>
      <c r="G220" s="24">
        <f>$E$114*INDEX($C$96:$AL$96,1,3)</f>
        <v/>
      </c>
      <c r="H220" s="24">
        <f>$E$114*INDEX($C$96:$AL$96,1,4)</f>
        <v/>
      </c>
      <c r="I220" s="24">
        <f>$E$114*INDEX($C$96:$AL$96,1,5)</f>
        <v/>
      </c>
      <c r="J220" s="24">
        <f>$E$114*INDEX($C$96:$AL$96,1,6)</f>
        <v/>
      </c>
      <c r="K220" s="24">
        <f>$E$114*INDEX($C$96:$AL$96,1,7)</f>
        <v/>
      </c>
      <c r="L220" s="24">
        <f>$E$114*INDEX($C$96:$AL$96,1,8)</f>
        <v/>
      </c>
      <c r="M220" s="24">
        <f>$E$114*INDEX($C$96:$AL$96,1,9)</f>
        <v/>
      </c>
      <c r="N220" s="24">
        <f>$E$114*INDEX($C$96:$AL$96,1,10)</f>
        <v/>
      </c>
      <c r="O220" s="24">
        <f>$E$114*INDEX($C$96:$AL$96,1,11)</f>
        <v/>
      </c>
      <c r="P220" s="24">
        <f>$E$114*INDEX($C$96:$AL$96,1,12)</f>
        <v/>
      </c>
      <c r="Q220" s="24">
        <f>$E$114*INDEX($C$96:$AL$96,1,13)</f>
        <v/>
      </c>
      <c r="R220" s="24">
        <f>$E$114*INDEX($C$96:$AL$96,1,14)</f>
        <v/>
      </c>
      <c r="S220" s="24">
        <f>$E$114*INDEX($C$96:$AL$96,1,15)</f>
        <v/>
      </c>
      <c r="T220" s="24">
        <f>$E$114*INDEX($C$96:$AL$96,1,16)</f>
        <v/>
      </c>
      <c r="U220" s="24">
        <f>$E$114*INDEX($C$96:$AL$96,1,17)</f>
        <v/>
      </c>
      <c r="V220" s="24">
        <f>$E$114*INDEX($C$96:$AL$96,1,18)</f>
        <v/>
      </c>
      <c r="W220" s="24">
        <f>$E$114*INDEX($C$96:$AL$96,1,19)</f>
        <v/>
      </c>
      <c r="X220" s="24">
        <f>$E$114*INDEX($C$96:$AL$96,1,20)</f>
        <v/>
      </c>
      <c r="Y220" s="24">
        <f>$E$114*INDEX($C$96:$AL$96,1,21)</f>
        <v/>
      </c>
      <c r="Z220" s="24">
        <f>$E$114*INDEX($C$96:$AL$96,1,22)</f>
        <v/>
      </c>
      <c r="AA220" s="24">
        <f>$E$114*INDEX($C$96:$AL$96,1,23)</f>
        <v/>
      </c>
      <c r="AB220" s="24">
        <f>$E$114*INDEX($C$96:$AL$96,1,24)</f>
        <v/>
      </c>
      <c r="AC220" s="24">
        <f>$E$114*INDEX($C$96:$AL$96,1,25)</f>
        <v/>
      </c>
      <c r="AD220" s="24">
        <f>$E$114*INDEX($C$96:$AL$96,1,26)</f>
        <v/>
      </c>
      <c r="AE220" s="24">
        <f>$E$114*INDEX($C$96:$AL$96,1,27)</f>
        <v/>
      </c>
      <c r="AF220" s="24">
        <f>$E$114*INDEX($C$96:$AL$96,1,28)</f>
        <v/>
      </c>
    </row>
    <row r="221">
      <c r="A221" s="4" t="inlineStr">
        <is>
          <t>Coorte del mese 4</t>
        </is>
      </c>
      <c r="C221" s="24" t="n">
        <v>0</v>
      </c>
      <c r="D221" s="24" t="n">
        <v>0</v>
      </c>
      <c r="E221" s="24" t="n">
        <v>0</v>
      </c>
      <c r="F221" s="24">
        <f>$F$114*INDEX($C$96:$AL$96,1,1)</f>
        <v/>
      </c>
      <c r="G221" s="24">
        <f>$F$114*INDEX($C$96:$AL$96,1,2)</f>
        <v/>
      </c>
      <c r="H221" s="24">
        <f>$F$114*INDEX($C$96:$AL$96,1,3)</f>
        <v/>
      </c>
      <c r="I221" s="24">
        <f>$F$114*INDEX($C$96:$AL$96,1,4)</f>
        <v/>
      </c>
      <c r="J221" s="24">
        <f>$F$114*INDEX($C$96:$AL$96,1,5)</f>
        <v/>
      </c>
      <c r="K221" s="24">
        <f>$F$114*INDEX($C$96:$AL$96,1,6)</f>
        <v/>
      </c>
      <c r="L221" s="24">
        <f>$F$114*INDEX($C$96:$AL$96,1,7)</f>
        <v/>
      </c>
      <c r="M221" s="24">
        <f>$F$114*INDEX($C$96:$AL$96,1,8)</f>
        <v/>
      </c>
      <c r="N221" s="24">
        <f>$F$114*INDEX($C$96:$AL$96,1,9)</f>
        <v/>
      </c>
      <c r="O221" s="24">
        <f>$F$114*INDEX($C$96:$AL$96,1,10)</f>
        <v/>
      </c>
      <c r="P221" s="24">
        <f>$F$114*INDEX($C$96:$AL$96,1,11)</f>
        <v/>
      </c>
      <c r="Q221" s="24">
        <f>$F$114*INDEX($C$96:$AL$96,1,12)</f>
        <v/>
      </c>
      <c r="R221" s="24">
        <f>$F$114*INDEX($C$96:$AL$96,1,13)</f>
        <v/>
      </c>
      <c r="S221" s="24">
        <f>$F$114*INDEX($C$96:$AL$96,1,14)</f>
        <v/>
      </c>
      <c r="T221" s="24">
        <f>$F$114*INDEX($C$96:$AL$96,1,15)</f>
        <v/>
      </c>
      <c r="U221" s="24">
        <f>$F$114*INDEX($C$96:$AL$96,1,16)</f>
        <v/>
      </c>
      <c r="V221" s="24">
        <f>$F$114*INDEX($C$96:$AL$96,1,17)</f>
        <v/>
      </c>
      <c r="W221" s="24">
        <f>$F$114*INDEX($C$96:$AL$96,1,18)</f>
        <v/>
      </c>
      <c r="X221" s="24">
        <f>$F$114*INDEX($C$96:$AL$96,1,19)</f>
        <v/>
      </c>
      <c r="Y221" s="24">
        <f>$F$114*INDEX($C$96:$AL$96,1,20)</f>
        <v/>
      </c>
      <c r="Z221" s="24">
        <f>$F$114*INDEX($C$96:$AL$96,1,21)</f>
        <v/>
      </c>
      <c r="AA221" s="24">
        <f>$F$114*INDEX($C$96:$AL$96,1,22)</f>
        <v/>
      </c>
      <c r="AB221" s="24">
        <f>$F$114*INDEX($C$96:$AL$96,1,23)</f>
        <v/>
      </c>
      <c r="AC221" s="24">
        <f>$F$114*INDEX($C$96:$AL$96,1,24)</f>
        <v/>
      </c>
      <c r="AD221" s="24">
        <f>$F$114*INDEX($C$96:$AL$96,1,25)</f>
        <v/>
      </c>
      <c r="AE221" s="24">
        <f>$F$114*INDEX($C$96:$AL$96,1,26)</f>
        <v/>
      </c>
      <c r="AF221" s="24">
        <f>$F$114*INDEX($C$96:$AL$96,1,27)</f>
        <v/>
      </c>
    </row>
    <row r="222">
      <c r="A222" s="4" t="inlineStr">
        <is>
          <t>Coorte del mese 5</t>
        </is>
      </c>
      <c r="C222" s="24" t="n">
        <v>0</v>
      </c>
      <c r="D222" s="24" t="n">
        <v>0</v>
      </c>
      <c r="E222" s="24" t="n">
        <v>0</v>
      </c>
      <c r="F222" s="24" t="n">
        <v>0</v>
      </c>
      <c r="G222" s="24">
        <f>$G$114*INDEX($C$96:$AL$96,1,1)</f>
        <v/>
      </c>
      <c r="H222" s="24">
        <f>$G$114*INDEX($C$96:$AL$96,1,2)</f>
        <v/>
      </c>
      <c r="I222" s="24">
        <f>$G$114*INDEX($C$96:$AL$96,1,3)</f>
        <v/>
      </c>
      <c r="J222" s="24">
        <f>$G$114*INDEX($C$96:$AL$96,1,4)</f>
        <v/>
      </c>
      <c r="K222" s="24">
        <f>$G$114*INDEX($C$96:$AL$96,1,5)</f>
        <v/>
      </c>
      <c r="L222" s="24">
        <f>$G$114*INDEX($C$96:$AL$96,1,6)</f>
        <v/>
      </c>
      <c r="M222" s="24">
        <f>$G$114*INDEX($C$96:$AL$96,1,7)</f>
        <v/>
      </c>
      <c r="N222" s="24">
        <f>$G$114*INDEX($C$96:$AL$96,1,8)</f>
        <v/>
      </c>
      <c r="O222" s="24">
        <f>$G$114*INDEX($C$96:$AL$96,1,9)</f>
        <v/>
      </c>
      <c r="P222" s="24">
        <f>$G$114*INDEX($C$96:$AL$96,1,10)</f>
        <v/>
      </c>
      <c r="Q222" s="24">
        <f>$G$114*INDEX($C$96:$AL$96,1,11)</f>
        <v/>
      </c>
      <c r="R222" s="24">
        <f>$G$114*INDEX($C$96:$AL$96,1,12)</f>
        <v/>
      </c>
      <c r="S222" s="24">
        <f>$G$114*INDEX($C$96:$AL$96,1,13)</f>
        <v/>
      </c>
      <c r="T222" s="24">
        <f>$G$114*INDEX($C$96:$AL$96,1,14)</f>
        <v/>
      </c>
      <c r="U222" s="24">
        <f>$G$114*INDEX($C$96:$AL$96,1,15)</f>
        <v/>
      </c>
      <c r="V222" s="24">
        <f>$G$114*INDEX($C$96:$AL$96,1,16)</f>
        <v/>
      </c>
      <c r="W222" s="24">
        <f>$G$114*INDEX($C$96:$AL$96,1,17)</f>
        <v/>
      </c>
      <c r="X222" s="24">
        <f>$G$114*INDEX($C$96:$AL$96,1,18)</f>
        <v/>
      </c>
      <c r="Y222" s="24">
        <f>$G$114*INDEX($C$96:$AL$96,1,19)</f>
        <v/>
      </c>
      <c r="Z222" s="24">
        <f>$G$114*INDEX($C$96:$AL$96,1,20)</f>
        <v/>
      </c>
      <c r="AA222" s="24">
        <f>$G$114*INDEX($C$96:$AL$96,1,21)</f>
        <v/>
      </c>
      <c r="AB222" s="24">
        <f>$G$114*INDEX($C$96:$AL$96,1,22)</f>
        <v/>
      </c>
      <c r="AC222" s="24">
        <f>$G$114*INDEX($C$96:$AL$96,1,23)</f>
        <v/>
      </c>
      <c r="AD222" s="24">
        <f>$G$114*INDEX($C$96:$AL$96,1,24)</f>
        <v/>
      </c>
      <c r="AE222" s="24">
        <f>$G$114*INDEX($C$96:$AL$96,1,25)</f>
        <v/>
      </c>
      <c r="AF222" s="24">
        <f>$G$114*INDEX($C$96:$AL$96,1,26)</f>
        <v/>
      </c>
    </row>
    <row r="223">
      <c r="A223" s="4" t="inlineStr">
        <is>
          <t>Coorte del mese 6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>
        <f>$H$114*INDEX($C$96:$AL$96,1,1)</f>
        <v/>
      </c>
      <c r="I223" s="24">
        <f>$H$114*INDEX($C$96:$AL$96,1,2)</f>
        <v/>
      </c>
      <c r="J223" s="24">
        <f>$H$114*INDEX($C$96:$AL$96,1,3)</f>
        <v/>
      </c>
      <c r="K223" s="24">
        <f>$H$114*INDEX($C$96:$AL$96,1,4)</f>
        <v/>
      </c>
      <c r="L223" s="24">
        <f>$H$114*INDEX($C$96:$AL$96,1,5)</f>
        <v/>
      </c>
      <c r="M223" s="24">
        <f>$H$114*INDEX($C$96:$AL$96,1,6)</f>
        <v/>
      </c>
      <c r="N223" s="24">
        <f>$H$114*INDEX($C$96:$AL$96,1,7)</f>
        <v/>
      </c>
      <c r="O223" s="24">
        <f>$H$114*INDEX($C$96:$AL$96,1,8)</f>
        <v/>
      </c>
      <c r="P223" s="24">
        <f>$H$114*INDEX($C$96:$AL$96,1,9)</f>
        <v/>
      </c>
      <c r="Q223" s="24">
        <f>$H$114*INDEX($C$96:$AL$96,1,10)</f>
        <v/>
      </c>
      <c r="R223" s="24">
        <f>$H$114*INDEX($C$96:$AL$96,1,11)</f>
        <v/>
      </c>
      <c r="S223" s="24">
        <f>$H$114*INDEX($C$96:$AL$96,1,12)</f>
        <v/>
      </c>
      <c r="T223" s="24">
        <f>$H$114*INDEX($C$96:$AL$96,1,13)</f>
        <v/>
      </c>
      <c r="U223" s="24">
        <f>$H$114*INDEX($C$96:$AL$96,1,14)</f>
        <v/>
      </c>
      <c r="V223" s="24">
        <f>$H$114*INDEX($C$96:$AL$96,1,15)</f>
        <v/>
      </c>
      <c r="W223" s="24">
        <f>$H$114*INDEX($C$96:$AL$96,1,16)</f>
        <v/>
      </c>
      <c r="X223" s="24">
        <f>$H$114*INDEX($C$96:$AL$96,1,17)</f>
        <v/>
      </c>
      <c r="Y223" s="24">
        <f>$H$114*INDEX($C$96:$AL$96,1,18)</f>
        <v/>
      </c>
      <c r="Z223" s="24">
        <f>$H$114*INDEX($C$96:$AL$96,1,19)</f>
        <v/>
      </c>
      <c r="AA223" s="24">
        <f>$H$114*INDEX($C$96:$AL$96,1,20)</f>
        <v/>
      </c>
      <c r="AB223" s="24">
        <f>$H$114*INDEX($C$96:$AL$96,1,21)</f>
        <v/>
      </c>
      <c r="AC223" s="24">
        <f>$H$114*INDEX($C$96:$AL$96,1,22)</f>
        <v/>
      </c>
      <c r="AD223" s="24">
        <f>$H$114*INDEX($C$96:$AL$96,1,23)</f>
        <v/>
      </c>
      <c r="AE223" s="24">
        <f>$H$114*INDEX($C$96:$AL$96,1,24)</f>
        <v/>
      </c>
      <c r="AF223" s="24">
        <f>$H$114*INDEX($C$96:$AL$96,1,25)</f>
        <v/>
      </c>
    </row>
    <row r="224">
      <c r="A224" s="4" t="inlineStr">
        <is>
          <t>Coorte del mese 7</t>
        </is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>
        <f>$I$114*INDEX($C$96:$AL$96,1,1)</f>
        <v/>
      </c>
      <c r="J224" s="24">
        <f>$I$114*INDEX($C$96:$AL$96,1,2)</f>
        <v/>
      </c>
      <c r="K224" s="24">
        <f>$I$114*INDEX($C$96:$AL$96,1,3)</f>
        <v/>
      </c>
      <c r="L224" s="24">
        <f>$I$114*INDEX($C$96:$AL$96,1,4)</f>
        <v/>
      </c>
      <c r="M224" s="24">
        <f>$I$114*INDEX($C$96:$AL$96,1,5)</f>
        <v/>
      </c>
      <c r="N224" s="24">
        <f>$I$114*INDEX($C$96:$AL$96,1,6)</f>
        <v/>
      </c>
      <c r="O224" s="24">
        <f>$I$114*INDEX($C$96:$AL$96,1,7)</f>
        <v/>
      </c>
      <c r="P224" s="24">
        <f>$I$114*INDEX($C$96:$AL$96,1,8)</f>
        <v/>
      </c>
      <c r="Q224" s="24">
        <f>$I$114*INDEX($C$96:$AL$96,1,9)</f>
        <v/>
      </c>
      <c r="R224" s="24">
        <f>$I$114*INDEX($C$96:$AL$96,1,10)</f>
        <v/>
      </c>
      <c r="S224" s="24">
        <f>$I$114*INDEX($C$96:$AL$96,1,11)</f>
        <v/>
      </c>
      <c r="T224" s="24">
        <f>$I$114*INDEX($C$96:$AL$96,1,12)</f>
        <v/>
      </c>
      <c r="U224" s="24">
        <f>$I$114*INDEX($C$96:$AL$96,1,13)</f>
        <v/>
      </c>
      <c r="V224" s="24">
        <f>$I$114*INDEX($C$96:$AL$96,1,14)</f>
        <v/>
      </c>
      <c r="W224" s="24">
        <f>$I$114*INDEX($C$96:$AL$96,1,15)</f>
        <v/>
      </c>
      <c r="X224" s="24">
        <f>$I$114*INDEX($C$96:$AL$96,1,16)</f>
        <v/>
      </c>
      <c r="Y224" s="24">
        <f>$I$114*INDEX($C$96:$AL$96,1,17)</f>
        <v/>
      </c>
      <c r="Z224" s="24">
        <f>$I$114*INDEX($C$96:$AL$96,1,18)</f>
        <v/>
      </c>
      <c r="AA224" s="24">
        <f>$I$114*INDEX($C$96:$AL$96,1,19)</f>
        <v/>
      </c>
      <c r="AB224" s="24">
        <f>$I$114*INDEX($C$96:$AL$96,1,20)</f>
        <v/>
      </c>
      <c r="AC224" s="24">
        <f>$I$114*INDEX($C$96:$AL$96,1,21)</f>
        <v/>
      </c>
      <c r="AD224" s="24">
        <f>$I$114*INDEX($C$96:$AL$96,1,22)</f>
        <v/>
      </c>
      <c r="AE224" s="24">
        <f>$I$114*INDEX($C$96:$AL$96,1,23)</f>
        <v/>
      </c>
      <c r="AF224" s="24">
        <f>$I$114*INDEX($C$96:$AL$96,1,24)</f>
        <v/>
      </c>
    </row>
    <row r="225">
      <c r="A225" s="4" t="inlineStr">
        <is>
          <t>Coorte del mese 8</t>
        </is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>
        <f>$J$114*INDEX($C$96:$AL$96,1,1)</f>
        <v/>
      </c>
      <c r="K225" s="24">
        <f>$J$114*INDEX($C$96:$AL$96,1,2)</f>
        <v/>
      </c>
      <c r="L225" s="24">
        <f>$J$114*INDEX($C$96:$AL$96,1,3)</f>
        <v/>
      </c>
      <c r="M225" s="24">
        <f>$J$114*INDEX($C$96:$AL$96,1,4)</f>
        <v/>
      </c>
      <c r="N225" s="24">
        <f>$J$114*INDEX($C$96:$AL$96,1,5)</f>
        <v/>
      </c>
      <c r="O225" s="24">
        <f>$J$114*INDEX($C$96:$AL$96,1,6)</f>
        <v/>
      </c>
      <c r="P225" s="24">
        <f>$J$114*INDEX($C$96:$AL$96,1,7)</f>
        <v/>
      </c>
      <c r="Q225" s="24">
        <f>$J$114*INDEX($C$96:$AL$96,1,8)</f>
        <v/>
      </c>
      <c r="R225" s="24">
        <f>$J$114*INDEX($C$96:$AL$96,1,9)</f>
        <v/>
      </c>
      <c r="S225" s="24">
        <f>$J$114*INDEX($C$96:$AL$96,1,10)</f>
        <v/>
      </c>
      <c r="T225" s="24">
        <f>$J$114*INDEX($C$96:$AL$96,1,11)</f>
        <v/>
      </c>
      <c r="U225" s="24">
        <f>$J$114*INDEX($C$96:$AL$96,1,12)</f>
        <v/>
      </c>
      <c r="V225" s="24">
        <f>$J$114*INDEX($C$96:$AL$96,1,13)</f>
        <v/>
      </c>
      <c r="W225" s="24">
        <f>$J$114*INDEX($C$96:$AL$96,1,14)</f>
        <v/>
      </c>
      <c r="X225" s="24">
        <f>$J$114*INDEX($C$96:$AL$96,1,15)</f>
        <v/>
      </c>
      <c r="Y225" s="24">
        <f>$J$114*INDEX($C$96:$AL$96,1,16)</f>
        <v/>
      </c>
      <c r="Z225" s="24">
        <f>$J$114*INDEX($C$96:$AL$96,1,17)</f>
        <v/>
      </c>
      <c r="AA225" s="24">
        <f>$J$114*INDEX($C$96:$AL$96,1,18)</f>
        <v/>
      </c>
      <c r="AB225" s="24">
        <f>$J$114*INDEX($C$96:$AL$96,1,19)</f>
        <v/>
      </c>
      <c r="AC225" s="24">
        <f>$J$114*INDEX($C$96:$AL$96,1,20)</f>
        <v/>
      </c>
      <c r="AD225" s="24">
        <f>$J$114*INDEX($C$96:$AL$96,1,21)</f>
        <v/>
      </c>
      <c r="AE225" s="24">
        <f>$J$114*INDEX($C$96:$AL$96,1,22)</f>
        <v/>
      </c>
      <c r="AF225" s="24">
        <f>$J$114*INDEX($C$96:$AL$96,1,23)</f>
        <v/>
      </c>
    </row>
    <row r="226">
      <c r="A226" s="4" t="inlineStr">
        <is>
          <t>Coorte del mese 9</t>
        </is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>
        <f>$K$114*INDEX($C$96:$AL$96,1,1)</f>
        <v/>
      </c>
      <c r="L226" s="24">
        <f>$K$114*INDEX($C$96:$AL$96,1,2)</f>
        <v/>
      </c>
      <c r="M226" s="24">
        <f>$K$114*INDEX($C$96:$AL$96,1,3)</f>
        <v/>
      </c>
      <c r="N226" s="24">
        <f>$K$114*INDEX($C$96:$AL$96,1,4)</f>
        <v/>
      </c>
      <c r="O226" s="24">
        <f>$K$114*INDEX($C$96:$AL$96,1,5)</f>
        <v/>
      </c>
      <c r="P226" s="24">
        <f>$K$114*INDEX($C$96:$AL$96,1,6)</f>
        <v/>
      </c>
      <c r="Q226" s="24">
        <f>$K$114*INDEX($C$96:$AL$96,1,7)</f>
        <v/>
      </c>
      <c r="R226" s="24">
        <f>$K$114*INDEX($C$96:$AL$96,1,8)</f>
        <v/>
      </c>
      <c r="S226" s="24">
        <f>$K$114*INDEX($C$96:$AL$96,1,9)</f>
        <v/>
      </c>
      <c r="T226" s="24">
        <f>$K$114*INDEX($C$96:$AL$96,1,10)</f>
        <v/>
      </c>
      <c r="U226" s="24">
        <f>$K$114*INDEX($C$96:$AL$96,1,11)</f>
        <v/>
      </c>
      <c r="V226" s="24">
        <f>$K$114*INDEX($C$96:$AL$96,1,12)</f>
        <v/>
      </c>
      <c r="W226" s="24">
        <f>$K$114*INDEX($C$96:$AL$96,1,13)</f>
        <v/>
      </c>
      <c r="X226" s="24">
        <f>$K$114*INDEX($C$96:$AL$96,1,14)</f>
        <v/>
      </c>
      <c r="Y226" s="24">
        <f>$K$114*INDEX($C$96:$AL$96,1,15)</f>
        <v/>
      </c>
      <c r="Z226" s="24">
        <f>$K$114*INDEX($C$96:$AL$96,1,16)</f>
        <v/>
      </c>
      <c r="AA226" s="24">
        <f>$K$114*INDEX($C$96:$AL$96,1,17)</f>
        <v/>
      </c>
      <c r="AB226" s="24">
        <f>$K$114*INDEX($C$96:$AL$96,1,18)</f>
        <v/>
      </c>
      <c r="AC226" s="24">
        <f>$K$114*INDEX($C$96:$AL$96,1,19)</f>
        <v/>
      </c>
      <c r="AD226" s="24">
        <f>$K$114*INDEX($C$96:$AL$96,1,20)</f>
        <v/>
      </c>
      <c r="AE226" s="24">
        <f>$K$114*INDEX($C$96:$AL$96,1,21)</f>
        <v/>
      </c>
      <c r="AF226" s="24">
        <f>$K$114*INDEX($C$96:$AL$96,1,22)</f>
        <v/>
      </c>
    </row>
    <row r="227">
      <c r="A227" s="4" t="inlineStr">
        <is>
          <t>Coorte del mese 10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>
        <f>$L$114*INDEX($C$96:$AL$96,1,1)</f>
        <v/>
      </c>
      <c r="M227" s="24">
        <f>$L$114*INDEX($C$96:$AL$96,1,2)</f>
        <v/>
      </c>
      <c r="N227" s="24">
        <f>$L$114*INDEX($C$96:$AL$96,1,3)</f>
        <v/>
      </c>
      <c r="O227" s="24">
        <f>$L$114*INDEX($C$96:$AL$96,1,4)</f>
        <v/>
      </c>
      <c r="P227" s="24">
        <f>$L$114*INDEX($C$96:$AL$96,1,5)</f>
        <v/>
      </c>
      <c r="Q227" s="24">
        <f>$L$114*INDEX($C$96:$AL$96,1,6)</f>
        <v/>
      </c>
      <c r="R227" s="24">
        <f>$L$114*INDEX($C$96:$AL$96,1,7)</f>
        <v/>
      </c>
      <c r="S227" s="24">
        <f>$L$114*INDEX($C$96:$AL$96,1,8)</f>
        <v/>
      </c>
      <c r="T227" s="24">
        <f>$L$114*INDEX($C$96:$AL$96,1,9)</f>
        <v/>
      </c>
      <c r="U227" s="24">
        <f>$L$114*INDEX($C$96:$AL$96,1,10)</f>
        <v/>
      </c>
      <c r="V227" s="24">
        <f>$L$114*INDEX($C$96:$AL$96,1,11)</f>
        <v/>
      </c>
      <c r="W227" s="24">
        <f>$L$114*INDEX($C$96:$AL$96,1,12)</f>
        <v/>
      </c>
      <c r="X227" s="24">
        <f>$L$114*INDEX($C$96:$AL$96,1,13)</f>
        <v/>
      </c>
      <c r="Y227" s="24">
        <f>$L$114*INDEX($C$96:$AL$96,1,14)</f>
        <v/>
      </c>
      <c r="Z227" s="24">
        <f>$L$114*INDEX($C$96:$AL$96,1,15)</f>
        <v/>
      </c>
      <c r="AA227" s="24">
        <f>$L$114*INDEX($C$96:$AL$96,1,16)</f>
        <v/>
      </c>
      <c r="AB227" s="24">
        <f>$L$114*INDEX($C$96:$AL$96,1,17)</f>
        <v/>
      </c>
      <c r="AC227" s="24">
        <f>$L$114*INDEX($C$96:$AL$96,1,18)</f>
        <v/>
      </c>
      <c r="AD227" s="24">
        <f>$L$114*INDEX($C$96:$AL$96,1,19)</f>
        <v/>
      </c>
      <c r="AE227" s="24">
        <f>$L$114*INDEX($C$96:$AL$96,1,20)</f>
        <v/>
      </c>
      <c r="AF227" s="24">
        <f>$L$114*INDEX($C$96:$AL$96,1,21)</f>
        <v/>
      </c>
    </row>
    <row r="228">
      <c r="A228" s="4" t="inlineStr">
        <is>
          <t>Coorte del mese 11</t>
        </is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>
        <f>$M$114*INDEX($C$96:$AL$96,1,1)</f>
        <v/>
      </c>
      <c r="N228" s="24">
        <f>$M$114*INDEX($C$96:$AL$96,1,2)</f>
        <v/>
      </c>
      <c r="O228" s="24">
        <f>$M$114*INDEX($C$96:$AL$96,1,3)</f>
        <v/>
      </c>
      <c r="P228" s="24">
        <f>$M$114*INDEX($C$96:$AL$96,1,4)</f>
        <v/>
      </c>
      <c r="Q228" s="24">
        <f>$M$114*INDEX($C$96:$AL$96,1,5)</f>
        <v/>
      </c>
      <c r="R228" s="24">
        <f>$M$114*INDEX($C$96:$AL$96,1,6)</f>
        <v/>
      </c>
      <c r="S228" s="24">
        <f>$M$114*INDEX($C$96:$AL$96,1,7)</f>
        <v/>
      </c>
      <c r="T228" s="24">
        <f>$M$114*INDEX($C$96:$AL$96,1,8)</f>
        <v/>
      </c>
      <c r="U228" s="24">
        <f>$M$114*INDEX($C$96:$AL$96,1,9)</f>
        <v/>
      </c>
      <c r="V228" s="24">
        <f>$M$114*INDEX($C$96:$AL$96,1,10)</f>
        <v/>
      </c>
      <c r="W228" s="24">
        <f>$M$114*INDEX($C$96:$AL$96,1,11)</f>
        <v/>
      </c>
      <c r="X228" s="24">
        <f>$M$114*INDEX($C$96:$AL$96,1,12)</f>
        <v/>
      </c>
      <c r="Y228" s="24">
        <f>$M$114*INDEX($C$96:$AL$96,1,13)</f>
        <v/>
      </c>
      <c r="Z228" s="24">
        <f>$M$114*INDEX($C$96:$AL$96,1,14)</f>
        <v/>
      </c>
      <c r="AA228" s="24">
        <f>$M$114*INDEX($C$96:$AL$96,1,15)</f>
        <v/>
      </c>
      <c r="AB228" s="24">
        <f>$M$114*INDEX($C$96:$AL$96,1,16)</f>
        <v/>
      </c>
      <c r="AC228" s="24">
        <f>$M$114*INDEX($C$96:$AL$96,1,17)</f>
        <v/>
      </c>
      <c r="AD228" s="24">
        <f>$M$114*INDEX($C$96:$AL$96,1,18)</f>
        <v/>
      </c>
      <c r="AE228" s="24">
        <f>$M$114*INDEX($C$96:$AL$96,1,19)</f>
        <v/>
      </c>
      <c r="AF228" s="24">
        <f>$M$114*INDEX($C$96:$AL$96,1,20)</f>
        <v/>
      </c>
    </row>
    <row r="229">
      <c r="A229" s="4" t="inlineStr">
        <is>
          <t>Coorte del mese 12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>
        <f>$N$114*INDEX($C$96:$AL$96,1,1)</f>
        <v/>
      </c>
      <c r="O229" s="24">
        <f>$N$114*INDEX($C$96:$AL$96,1,2)</f>
        <v/>
      </c>
      <c r="P229" s="24">
        <f>$N$114*INDEX($C$96:$AL$96,1,3)</f>
        <v/>
      </c>
      <c r="Q229" s="24">
        <f>$N$114*INDEX($C$96:$AL$96,1,4)</f>
        <v/>
      </c>
      <c r="R229" s="24">
        <f>$N$114*INDEX($C$96:$AL$96,1,5)</f>
        <v/>
      </c>
      <c r="S229" s="24">
        <f>$N$114*INDEX($C$96:$AL$96,1,6)</f>
        <v/>
      </c>
      <c r="T229" s="24">
        <f>$N$114*INDEX($C$96:$AL$96,1,7)</f>
        <v/>
      </c>
      <c r="U229" s="24">
        <f>$N$114*INDEX($C$96:$AL$96,1,8)</f>
        <v/>
      </c>
      <c r="V229" s="24">
        <f>$N$114*INDEX($C$96:$AL$96,1,9)</f>
        <v/>
      </c>
      <c r="W229" s="24">
        <f>$N$114*INDEX($C$96:$AL$96,1,10)</f>
        <v/>
      </c>
      <c r="X229" s="24">
        <f>$N$114*INDEX($C$96:$AL$96,1,11)</f>
        <v/>
      </c>
      <c r="Y229" s="24">
        <f>$N$114*INDEX($C$96:$AL$96,1,12)</f>
        <v/>
      </c>
      <c r="Z229" s="24">
        <f>$N$114*INDEX($C$96:$AL$96,1,13)</f>
        <v/>
      </c>
      <c r="AA229" s="24">
        <f>$N$114*INDEX($C$96:$AL$96,1,14)</f>
        <v/>
      </c>
      <c r="AB229" s="24">
        <f>$N$114*INDEX($C$96:$AL$96,1,15)</f>
        <v/>
      </c>
      <c r="AC229" s="24">
        <f>$N$114*INDEX($C$96:$AL$96,1,16)</f>
        <v/>
      </c>
      <c r="AD229" s="24">
        <f>$N$114*INDEX($C$96:$AL$96,1,17)</f>
        <v/>
      </c>
      <c r="AE229" s="24">
        <f>$N$114*INDEX($C$96:$AL$96,1,18)</f>
        <v/>
      </c>
      <c r="AF229" s="24">
        <f>$N$114*INDEX($C$96:$AL$96,1,19)</f>
        <v/>
      </c>
    </row>
    <row r="230">
      <c r="A230" s="4" t="inlineStr">
        <is>
          <t>Coorte del mese 13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>
        <f>$O$114*INDEX($C$96:$AL$96,1,1)</f>
        <v/>
      </c>
      <c r="P230" s="24">
        <f>$O$114*INDEX($C$96:$AL$96,1,2)</f>
        <v/>
      </c>
      <c r="Q230" s="24">
        <f>$O$114*INDEX($C$96:$AL$96,1,3)</f>
        <v/>
      </c>
      <c r="R230" s="24">
        <f>$O$114*INDEX($C$96:$AL$96,1,4)</f>
        <v/>
      </c>
      <c r="S230" s="24">
        <f>$O$114*INDEX($C$96:$AL$96,1,5)</f>
        <v/>
      </c>
      <c r="T230" s="24">
        <f>$O$114*INDEX($C$96:$AL$96,1,6)</f>
        <v/>
      </c>
      <c r="U230" s="24">
        <f>$O$114*INDEX($C$96:$AL$96,1,7)</f>
        <v/>
      </c>
      <c r="V230" s="24">
        <f>$O$114*INDEX($C$96:$AL$96,1,8)</f>
        <v/>
      </c>
      <c r="W230" s="24">
        <f>$O$114*INDEX($C$96:$AL$96,1,9)</f>
        <v/>
      </c>
      <c r="X230" s="24">
        <f>$O$114*INDEX($C$96:$AL$96,1,10)</f>
        <v/>
      </c>
      <c r="Y230" s="24">
        <f>$O$114*INDEX($C$96:$AL$96,1,11)</f>
        <v/>
      </c>
      <c r="Z230" s="24">
        <f>$O$114*INDEX($C$96:$AL$96,1,12)</f>
        <v/>
      </c>
      <c r="AA230" s="24">
        <f>$O$114*INDEX($C$96:$AL$96,1,13)</f>
        <v/>
      </c>
      <c r="AB230" s="24">
        <f>$O$114*INDEX($C$96:$AL$96,1,14)</f>
        <v/>
      </c>
      <c r="AC230" s="24">
        <f>$O$114*INDEX($C$96:$AL$96,1,15)</f>
        <v/>
      </c>
      <c r="AD230" s="24">
        <f>$O$114*INDEX($C$96:$AL$96,1,16)</f>
        <v/>
      </c>
      <c r="AE230" s="24">
        <f>$O$114*INDEX($C$96:$AL$96,1,17)</f>
        <v/>
      </c>
      <c r="AF230" s="24">
        <f>$O$114*INDEX($C$96:$AL$96,1,18)</f>
        <v/>
      </c>
    </row>
    <row r="231">
      <c r="A231" s="4" t="inlineStr">
        <is>
          <t>Coorte del mese 14</t>
        </is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>
        <f>$P$114*INDEX($C$96:$AL$96,1,1)</f>
        <v/>
      </c>
      <c r="Q231" s="24">
        <f>$P$114*INDEX($C$96:$AL$96,1,2)</f>
        <v/>
      </c>
      <c r="R231" s="24">
        <f>$P$114*INDEX($C$96:$AL$96,1,3)</f>
        <v/>
      </c>
      <c r="S231" s="24">
        <f>$P$114*INDEX($C$96:$AL$96,1,4)</f>
        <v/>
      </c>
      <c r="T231" s="24">
        <f>$P$114*INDEX($C$96:$AL$96,1,5)</f>
        <v/>
      </c>
      <c r="U231" s="24">
        <f>$P$114*INDEX($C$96:$AL$96,1,6)</f>
        <v/>
      </c>
      <c r="V231" s="24">
        <f>$P$114*INDEX($C$96:$AL$96,1,7)</f>
        <v/>
      </c>
      <c r="W231" s="24">
        <f>$P$114*INDEX($C$96:$AL$96,1,8)</f>
        <v/>
      </c>
      <c r="X231" s="24">
        <f>$P$114*INDEX($C$96:$AL$96,1,9)</f>
        <v/>
      </c>
      <c r="Y231" s="24">
        <f>$P$114*INDEX($C$96:$AL$96,1,10)</f>
        <v/>
      </c>
      <c r="Z231" s="24">
        <f>$P$114*INDEX($C$96:$AL$96,1,11)</f>
        <v/>
      </c>
      <c r="AA231" s="24">
        <f>$P$114*INDEX($C$96:$AL$96,1,12)</f>
        <v/>
      </c>
      <c r="AB231" s="24">
        <f>$P$114*INDEX($C$96:$AL$96,1,13)</f>
        <v/>
      </c>
      <c r="AC231" s="24">
        <f>$P$114*INDEX($C$96:$AL$96,1,14)</f>
        <v/>
      </c>
      <c r="AD231" s="24">
        <f>$P$114*INDEX($C$96:$AL$96,1,15)</f>
        <v/>
      </c>
      <c r="AE231" s="24">
        <f>$P$114*INDEX($C$96:$AL$96,1,16)</f>
        <v/>
      </c>
      <c r="AF231" s="24">
        <f>$P$114*INDEX($C$96:$AL$96,1,17)</f>
        <v/>
      </c>
    </row>
    <row r="232">
      <c r="A232" s="4" t="inlineStr">
        <is>
          <t>Coorte del mese 15</t>
        </is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>
        <f>$Q$114*INDEX($C$96:$AL$96,1,1)</f>
        <v/>
      </c>
      <c r="R232" s="24">
        <f>$Q$114*INDEX($C$96:$AL$96,1,2)</f>
        <v/>
      </c>
      <c r="S232" s="24">
        <f>$Q$114*INDEX($C$96:$AL$96,1,3)</f>
        <v/>
      </c>
      <c r="T232" s="24">
        <f>$Q$114*INDEX($C$96:$AL$96,1,4)</f>
        <v/>
      </c>
      <c r="U232" s="24">
        <f>$Q$114*INDEX($C$96:$AL$96,1,5)</f>
        <v/>
      </c>
      <c r="V232" s="24">
        <f>$Q$114*INDEX($C$96:$AL$96,1,6)</f>
        <v/>
      </c>
      <c r="W232" s="24">
        <f>$Q$114*INDEX($C$96:$AL$96,1,7)</f>
        <v/>
      </c>
      <c r="X232" s="24">
        <f>$Q$114*INDEX($C$96:$AL$96,1,8)</f>
        <v/>
      </c>
      <c r="Y232" s="24">
        <f>$Q$114*INDEX($C$96:$AL$96,1,9)</f>
        <v/>
      </c>
      <c r="Z232" s="24">
        <f>$Q$114*INDEX($C$96:$AL$96,1,10)</f>
        <v/>
      </c>
      <c r="AA232" s="24">
        <f>$Q$114*INDEX($C$96:$AL$96,1,11)</f>
        <v/>
      </c>
      <c r="AB232" s="24">
        <f>$Q$114*INDEX($C$96:$AL$96,1,12)</f>
        <v/>
      </c>
      <c r="AC232" s="24">
        <f>$Q$114*INDEX($C$96:$AL$96,1,13)</f>
        <v/>
      </c>
      <c r="AD232" s="24">
        <f>$Q$114*INDEX($C$96:$AL$96,1,14)</f>
        <v/>
      </c>
      <c r="AE232" s="24">
        <f>$Q$114*INDEX($C$96:$AL$96,1,15)</f>
        <v/>
      </c>
      <c r="AF232" s="24">
        <f>$Q$114*INDEX($C$96:$AL$96,1,16)</f>
        <v/>
      </c>
    </row>
    <row r="233">
      <c r="A233" s="4" t="inlineStr">
        <is>
          <t>Coorte del mese 16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>
        <f>$R$114*INDEX($C$96:$AL$96,1,1)</f>
        <v/>
      </c>
      <c r="S233" s="24">
        <f>$R$114*INDEX($C$96:$AL$96,1,2)</f>
        <v/>
      </c>
      <c r="T233" s="24">
        <f>$R$114*INDEX($C$96:$AL$96,1,3)</f>
        <v/>
      </c>
      <c r="U233" s="24">
        <f>$R$114*INDEX($C$96:$AL$96,1,4)</f>
        <v/>
      </c>
      <c r="V233" s="24">
        <f>$R$114*INDEX($C$96:$AL$96,1,5)</f>
        <v/>
      </c>
      <c r="W233" s="24">
        <f>$R$114*INDEX($C$96:$AL$96,1,6)</f>
        <v/>
      </c>
      <c r="X233" s="24">
        <f>$R$114*INDEX($C$96:$AL$96,1,7)</f>
        <v/>
      </c>
      <c r="Y233" s="24">
        <f>$R$114*INDEX($C$96:$AL$96,1,8)</f>
        <v/>
      </c>
      <c r="Z233" s="24">
        <f>$R$114*INDEX($C$96:$AL$96,1,9)</f>
        <v/>
      </c>
      <c r="AA233" s="24">
        <f>$R$114*INDEX($C$96:$AL$96,1,10)</f>
        <v/>
      </c>
      <c r="AB233" s="24">
        <f>$R$114*INDEX($C$96:$AL$96,1,11)</f>
        <v/>
      </c>
      <c r="AC233" s="24">
        <f>$R$114*INDEX($C$96:$AL$96,1,12)</f>
        <v/>
      </c>
      <c r="AD233" s="24">
        <f>$R$114*INDEX($C$96:$AL$96,1,13)</f>
        <v/>
      </c>
      <c r="AE233" s="24">
        <f>$R$114*INDEX($C$96:$AL$96,1,14)</f>
        <v/>
      </c>
      <c r="AF233" s="24">
        <f>$R$114*INDEX($C$96:$AL$96,1,15)</f>
        <v/>
      </c>
    </row>
    <row r="234">
      <c r="A234" s="4" t="inlineStr">
        <is>
          <t>Coorte del mese 17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>
        <f>$S$114*INDEX($C$96:$AL$96,1,1)</f>
        <v/>
      </c>
      <c r="T234" s="24">
        <f>$S$114*INDEX($C$96:$AL$96,1,2)</f>
        <v/>
      </c>
      <c r="U234" s="24">
        <f>$S$114*INDEX($C$96:$AL$96,1,3)</f>
        <v/>
      </c>
      <c r="V234" s="24">
        <f>$S$114*INDEX($C$96:$AL$96,1,4)</f>
        <v/>
      </c>
      <c r="W234" s="24">
        <f>$S$114*INDEX($C$96:$AL$96,1,5)</f>
        <v/>
      </c>
      <c r="X234" s="24">
        <f>$S$114*INDEX($C$96:$AL$96,1,6)</f>
        <v/>
      </c>
      <c r="Y234" s="24">
        <f>$S$114*INDEX($C$96:$AL$96,1,7)</f>
        <v/>
      </c>
      <c r="Z234" s="24">
        <f>$S$114*INDEX($C$96:$AL$96,1,8)</f>
        <v/>
      </c>
      <c r="AA234" s="24">
        <f>$S$114*INDEX($C$96:$AL$96,1,9)</f>
        <v/>
      </c>
      <c r="AB234" s="24">
        <f>$S$114*INDEX($C$96:$AL$96,1,10)</f>
        <v/>
      </c>
      <c r="AC234" s="24">
        <f>$S$114*INDEX($C$96:$AL$96,1,11)</f>
        <v/>
      </c>
      <c r="AD234" s="24">
        <f>$S$114*INDEX($C$96:$AL$96,1,12)</f>
        <v/>
      </c>
      <c r="AE234" s="24">
        <f>$S$114*INDEX($C$96:$AL$96,1,13)</f>
        <v/>
      </c>
      <c r="AF234" s="24">
        <f>$S$114*INDEX($C$96:$AL$96,1,14)</f>
        <v/>
      </c>
    </row>
    <row r="235">
      <c r="A235" s="4" t="inlineStr">
        <is>
          <t>Coorte del mese 18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>
        <f>$T$114*INDEX($C$96:$AL$96,1,1)</f>
        <v/>
      </c>
      <c r="U235" s="24">
        <f>$T$114*INDEX($C$96:$AL$96,1,2)</f>
        <v/>
      </c>
      <c r="V235" s="24">
        <f>$T$114*INDEX($C$96:$AL$96,1,3)</f>
        <v/>
      </c>
      <c r="W235" s="24">
        <f>$T$114*INDEX($C$96:$AL$96,1,4)</f>
        <v/>
      </c>
      <c r="X235" s="24">
        <f>$T$114*INDEX($C$96:$AL$96,1,5)</f>
        <v/>
      </c>
      <c r="Y235" s="24">
        <f>$T$114*INDEX($C$96:$AL$96,1,6)</f>
        <v/>
      </c>
      <c r="Z235" s="24">
        <f>$T$114*INDEX($C$96:$AL$96,1,7)</f>
        <v/>
      </c>
      <c r="AA235" s="24">
        <f>$T$114*INDEX($C$96:$AL$96,1,8)</f>
        <v/>
      </c>
      <c r="AB235" s="24">
        <f>$T$114*INDEX($C$96:$AL$96,1,9)</f>
        <v/>
      </c>
      <c r="AC235" s="24">
        <f>$T$114*INDEX($C$96:$AL$96,1,10)</f>
        <v/>
      </c>
      <c r="AD235" s="24">
        <f>$T$114*INDEX($C$96:$AL$96,1,11)</f>
        <v/>
      </c>
      <c r="AE235" s="24">
        <f>$T$114*INDEX($C$96:$AL$96,1,12)</f>
        <v/>
      </c>
      <c r="AF235" s="24">
        <f>$T$114*INDEX($C$96:$AL$96,1,13)</f>
        <v/>
      </c>
    </row>
    <row r="236">
      <c r="A236" s="4" t="inlineStr">
        <is>
          <t>Coorte del mese 19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>
        <f>$U$114*INDEX($C$96:$AL$96,1,1)</f>
        <v/>
      </c>
      <c r="V236" s="24">
        <f>$U$114*INDEX($C$96:$AL$96,1,2)</f>
        <v/>
      </c>
      <c r="W236" s="24">
        <f>$U$114*INDEX($C$96:$AL$96,1,3)</f>
        <v/>
      </c>
      <c r="X236" s="24">
        <f>$U$114*INDEX($C$96:$AL$96,1,4)</f>
        <v/>
      </c>
      <c r="Y236" s="24">
        <f>$U$114*INDEX($C$96:$AL$96,1,5)</f>
        <v/>
      </c>
      <c r="Z236" s="24">
        <f>$U$114*INDEX($C$96:$AL$96,1,6)</f>
        <v/>
      </c>
      <c r="AA236" s="24">
        <f>$U$114*INDEX($C$96:$AL$96,1,7)</f>
        <v/>
      </c>
      <c r="AB236" s="24">
        <f>$U$114*INDEX($C$96:$AL$96,1,8)</f>
        <v/>
      </c>
      <c r="AC236" s="24">
        <f>$U$114*INDEX($C$96:$AL$96,1,9)</f>
        <v/>
      </c>
      <c r="AD236" s="24">
        <f>$U$114*INDEX($C$96:$AL$96,1,10)</f>
        <v/>
      </c>
      <c r="AE236" s="24">
        <f>$U$114*INDEX($C$96:$AL$96,1,11)</f>
        <v/>
      </c>
      <c r="AF236" s="24">
        <f>$U$114*INDEX($C$96:$AL$96,1,12)</f>
        <v/>
      </c>
    </row>
    <row r="237">
      <c r="A237" s="4" t="inlineStr">
        <is>
          <t>Coorte del mese 20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>
        <f>$V$114*INDEX($C$96:$AL$96,1,1)</f>
        <v/>
      </c>
      <c r="W237" s="24">
        <f>$V$114*INDEX($C$96:$AL$96,1,2)</f>
        <v/>
      </c>
      <c r="X237" s="24">
        <f>$V$114*INDEX($C$96:$AL$96,1,3)</f>
        <v/>
      </c>
      <c r="Y237" s="24">
        <f>$V$114*INDEX($C$96:$AL$96,1,4)</f>
        <v/>
      </c>
      <c r="Z237" s="24">
        <f>$V$114*INDEX($C$96:$AL$96,1,5)</f>
        <v/>
      </c>
      <c r="AA237" s="24">
        <f>$V$114*INDEX($C$96:$AL$96,1,6)</f>
        <v/>
      </c>
      <c r="AB237" s="24">
        <f>$V$114*INDEX($C$96:$AL$96,1,7)</f>
        <v/>
      </c>
      <c r="AC237" s="24">
        <f>$V$114*INDEX($C$96:$AL$96,1,8)</f>
        <v/>
      </c>
      <c r="AD237" s="24">
        <f>$V$114*INDEX($C$96:$AL$96,1,9)</f>
        <v/>
      </c>
      <c r="AE237" s="24">
        <f>$V$114*INDEX($C$96:$AL$96,1,10)</f>
        <v/>
      </c>
      <c r="AF237" s="24">
        <f>$V$114*INDEX($C$96:$AL$96,1,11)</f>
        <v/>
      </c>
    </row>
    <row r="238">
      <c r="A238" s="4" t="inlineStr">
        <is>
          <t>Coorte del mese 21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>
        <f>$W$114*INDEX($C$96:$AL$96,1,1)</f>
        <v/>
      </c>
      <c r="X238" s="24">
        <f>$W$114*INDEX($C$96:$AL$96,1,2)</f>
        <v/>
      </c>
      <c r="Y238" s="24">
        <f>$W$114*INDEX($C$96:$AL$96,1,3)</f>
        <v/>
      </c>
      <c r="Z238" s="24">
        <f>$W$114*INDEX($C$96:$AL$96,1,4)</f>
        <v/>
      </c>
      <c r="AA238" s="24">
        <f>$W$114*INDEX($C$96:$AL$96,1,5)</f>
        <v/>
      </c>
      <c r="AB238" s="24">
        <f>$W$114*INDEX($C$96:$AL$96,1,6)</f>
        <v/>
      </c>
      <c r="AC238" s="24">
        <f>$W$114*INDEX($C$96:$AL$96,1,7)</f>
        <v/>
      </c>
      <c r="AD238" s="24">
        <f>$W$114*INDEX($C$96:$AL$96,1,8)</f>
        <v/>
      </c>
      <c r="AE238" s="24">
        <f>$W$114*INDEX($C$96:$AL$96,1,9)</f>
        <v/>
      </c>
      <c r="AF238" s="24">
        <f>$W$114*INDEX($C$96:$AL$96,1,10)</f>
        <v/>
      </c>
    </row>
    <row r="239">
      <c r="A239" s="4" t="inlineStr">
        <is>
          <t>Coorte del mese 22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>
        <f>$X$114*INDEX($C$96:$AL$96,1,1)</f>
        <v/>
      </c>
      <c r="Y239" s="24">
        <f>$X$114*INDEX($C$96:$AL$96,1,2)</f>
        <v/>
      </c>
      <c r="Z239" s="24">
        <f>$X$114*INDEX($C$96:$AL$96,1,3)</f>
        <v/>
      </c>
      <c r="AA239" s="24">
        <f>$X$114*INDEX($C$96:$AL$96,1,4)</f>
        <v/>
      </c>
      <c r="AB239" s="24">
        <f>$X$114*INDEX($C$96:$AL$96,1,5)</f>
        <v/>
      </c>
      <c r="AC239" s="24">
        <f>$X$114*INDEX($C$96:$AL$96,1,6)</f>
        <v/>
      </c>
      <c r="AD239" s="24">
        <f>$X$114*INDEX($C$96:$AL$96,1,7)</f>
        <v/>
      </c>
      <c r="AE239" s="24">
        <f>$X$114*INDEX($C$96:$AL$96,1,8)</f>
        <v/>
      </c>
      <c r="AF239" s="24">
        <f>$X$114*INDEX($C$96:$AL$96,1,9)</f>
        <v/>
      </c>
    </row>
    <row r="240">
      <c r="A240" s="4" t="inlineStr">
        <is>
          <t>Coorte del mese 23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>
        <f>$Y$114*INDEX($C$96:$AL$96,1,1)</f>
        <v/>
      </c>
      <c r="Z240" s="24">
        <f>$Y$114*INDEX($C$96:$AL$96,1,2)</f>
        <v/>
      </c>
      <c r="AA240" s="24">
        <f>$Y$114*INDEX($C$96:$AL$96,1,3)</f>
        <v/>
      </c>
      <c r="AB240" s="24">
        <f>$Y$114*INDEX($C$96:$AL$96,1,4)</f>
        <v/>
      </c>
      <c r="AC240" s="24">
        <f>$Y$114*INDEX($C$96:$AL$96,1,5)</f>
        <v/>
      </c>
      <c r="AD240" s="24">
        <f>$Y$114*INDEX($C$96:$AL$96,1,6)</f>
        <v/>
      </c>
      <c r="AE240" s="24">
        <f>$Y$114*INDEX($C$96:$AL$96,1,7)</f>
        <v/>
      </c>
      <c r="AF240" s="24">
        <f>$Y$114*INDEX($C$96:$AL$96,1,8)</f>
        <v/>
      </c>
    </row>
    <row r="241">
      <c r="A241" s="4" t="inlineStr">
        <is>
          <t>Coorte del mese 24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>
        <f>$Z$114*INDEX($C$96:$AL$96,1,1)</f>
        <v/>
      </c>
      <c r="AA241" s="24">
        <f>$Z$114*INDEX($C$96:$AL$96,1,2)</f>
        <v/>
      </c>
      <c r="AB241" s="24">
        <f>$Z$114*INDEX($C$96:$AL$96,1,3)</f>
        <v/>
      </c>
      <c r="AC241" s="24">
        <f>$Z$114*INDEX($C$96:$AL$96,1,4)</f>
        <v/>
      </c>
      <c r="AD241" s="24">
        <f>$Z$114*INDEX($C$96:$AL$96,1,5)</f>
        <v/>
      </c>
      <c r="AE241" s="24">
        <f>$Z$114*INDEX($C$96:$AL$96,1,6)</f>
        <v/>
      </c>
      <c r="AF241" s="24">
        <f>$Z$114*INDEX($C$96:$AL$96,1,7)</f>
        <v/>
      </c>
    </row>
    <row r="242">
      <c r="A242" s="4" t="inlineStr">
        <is>
          <t>Coorte del mese 25</t>
        </is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>
        <f>$AA$114*INDEX($C$96:$AL$96,1,1)</f>
        <v/>
      </c>
      <c r="AB242" s="24">
        <f>$AA$114*INDEX($C$96:$AL$96,1,2)</f>
        <v/>
      </c>
      <c r="AC242" s="24">
        <f>$AA$114*INDEX($C$96:$AL$96,1,3)</f>
        <v/>
      </c>
      <c r="AD242" s="24">
        <f>$AA$114*INDEX($C$96:$AL$96,1,4)</f>
        <v/>
      </c>
      <c r="AE242" s="24">
        <f>$AA$114*INDEX($C$96:$AL$96,1,5)</f>
        <v/>
      </c>
      <c r="AF242" s="24">
        <f>$AA$114*INDEX($C$96:$AL$96,1,6)</f>
        <v/>
      </c>
    </row>
    <row r="243">
      <c r="A243" s="4" t="inlineStr">
        <is>
          <t>Coorte del mese 26</t>
        </is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>
        <f>$AB$114*INDEX($C$96:$AL$96,1,1)</f>
        <v/>
      </c>
      <c r="AC243" s="24">
        <f>$AB$114*INDEX($C$96:$AL$96,1,2)</f>
        <v/>
      </c>
      <c r="AD243" s="24">
        <f>$AB$114*INDEX($C$96:$AL$96,1,3)</f>
        <v/>
      </c>
      <c r="AE243" s="24">
        <f>$AB$114*INDEX($C$96:$AL$96,1,4)</f>
        <v/>
      </c>
      <c r="AF243" s="24">
        <f>$AB$114*INDEX($C$96:$AL$96,1,5)</f>
        <v/>
      </c>
    </row>
    <row r="244">
      <c r="A244" s="4" t="inlineStr">
        <is>
          <t>Coorte del mese 27</t>
        </is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>
        <f>$AC$114*INDEX($C$96:$AL$96,1,1)</f>
        <v/>
      </c>
      <c r="AD244" s="24">
        <f>$AC$114*INDEX($C$96:$AL$96,1,2)</f>
        <v/>
      </c>
      <c r="AE244" s="24">
        <f>$AC$114*INDEX($C$96:$AL$96,1,3)</f>
        <v/>
      </c>
      <c r="AF244" s="24">
        <f>$AC$114*INDEX($C$96:$AL$96,1,4)</f>
        <v/>
      </c>
    </row>
    <row r="245">
      <c r="A245" s="4" t="inlineStr">
        <is>
          <t>Coorte del mese 28</t>
        </is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0</v>
      </c>
      <c r="AC245" s="24" t="n">
        <v>0</v>
      </c>
      <c r="AD245" s="24">
        <f>$AD$114*INDEX($C$96:$AL$96,1,1)</f>
        <v/>
      </c>
      <c r="AE245" s="24">
        <f>$AD$114*INDEX($C$96:$AL$96,1,2)</f>
        <v/>
      </c>
      <c r="AF245" s="24">
        <f>$AD$114*INDEX($C$96:$AL$96,1,3)</f>
        <v/>
      </c>
    </row>
    <row r="246">
      <c r="A246" s="4" t="inlineStr">
        <is>
          <t>Coorte del mese 29</t>
        </is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4" t="n">
        <v>0</v>
      </c>
      <c r="AD246" s="24" t="n">
        <v>0</v>
      </c>
      <c r="AE246" s="24">
        <f>$AE$114*INDEX($C$96:$AL$96,1,1)</f>
        <v/>
      </c>
      <c r="AF246" s="24">
        <f>$AE$114*INDEX($C$96:$AL$96,1,2)</f>
        <v/>
      </c>
    </row>
    <row r="247">
      <c r="A247" s="4" t="inlineStr">
        <is>
          <t>Coorte del mese 30</t>
        </is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>
        <f>$AF$114*INDEX($C$96:$AL$96,1,1)</f>
        <v/>
      </c>
    </row>
    <row r="248">
      <c r="A248" s="3" t="inlineStr">
        <is>
          <t>Totale abbonamento: ordini</t>
        </is>
      </c>
      <c r="C248" s="25">
        <f>SUM(C218:C247)</f>
        <v/>
      </c>
      <c r="D248" s="25">
        <f>SUM(D218:D247)</f>
        <v/>
      </c>
      <c r="E248" s="25">
        <f>SUM(E218:E247)</f>
        <v/>
      </c>
      <c r="F248" s="25">
        <f>SUM(F218:F247)</f>
        <v/>
      </c>
      <c r="G248" s="25">
        <f>SUM(G218:G247)</f>
        <v/>
      </c>
      <c r="H248" s="25">
        <f>SUM(H218:H247)</f>
        <v/>
      </c>
      <c r="I248" s="25">
        <f>SUM(I218:I247)</f>
        <v/>
      </c>
      <c r="J248" s="25">
        <f>SUM(J218:J247)</f>
        <v/>
      </c>
      <c r="K248" s="25">
        <f>SUM(K218:K247)</f>
        <v/>
      </c>
      <c r="L248" s="25">
        <f>SUM(L218:L247)</f>
        <v/>
      </c>
      <c r="M248" s="25">
        <f>SUM(M218:M247)</f>
        <v/>
      </c>
      <c r="N248" s="25">
        <f>SUM(N218:N247)</f>
        <v/>
      </c>
      <c r="O248" s="25">
        <f>SUM(O218:O247)</f>
        <v/>
      </c>
      <c r="P248" s="25">
        <f>SUM(P218:P247)</f>
        <v/>
      </c>
      <c r="Q248" s="25">
        <f>SUM(Q218:Q247)</f>
        <v/>
      </c>
      <c r="R248" s="25">
        <f>SUM(R218:R247)</f>
        <v/>
      </c>
      <c r="S248" s="25">
        <f>SUM(S218:S247)</f>
        <v/>
      </c>
      <c r="T248" s="25">
        <f>SUM(T218:T247)</f>
        <v/>
      </c>
      <c r="U248" s="25">
        <f>SUM(U218:U247)</f>
        <v/>
      </c>
      <c r="V248" s="25">
        <f>SUM(V218:V247)</f>
        <v/>
      </c>
      <c r="W248" s="25">
        <f>SUM(W218:W247)</f>
        <v/>
      </c>
      <c r="X248" s="25">
        <f>SUM(X218:X247)</f>
        <v/>
      </c>
      <c r="Y248" s="25">
        <f>SUM(Y218:Y247)</f>
        <v/>
      </c>
      <c r="Z248" s="25">
        <f>SUM(Z218:Z247)</f>
        <v/>
      </c>
      <c r="AA248" s="25">
        <f>SUM(AA218:AA247)</f>
        <v/>
      </c>
      <c r="AB248" s="25">
        <f>SUM(AB218:AB247)</f>
        <v/>
      </c>
      <c r="AC248" s="25">
        <f>SUM(AC218:AC247)</f>
        <v/>
      </c>
      <c r="AD248" s="25">
        <f>SUM(AD218:AD247)</f>
        <v/>
      </c>
      <c r="AE248" s="25">
        <f>SUM(AE218:AE247)</f>
        <v/>
      </c>
      <c r="AF248" s="25">
        <f>SUM(AF218:AF247)</f>
        <v/>
      </c>
    </row>
    <row r="250">
      <c r="A250" s="10" t="inlineStr">
        <is>
          <t>Singolo: ordini per coorte (righe = mese di acquisizione, colonne = mese di calendario)</t>
        </is>
      </c>
    </row>
    <row r="251">
      <c r="A251" s="4" t="inlineStr">
        <is>
          <t>Coorte del mese 1</t>
        </is>
      </c>
      <c r="C251" s="24">
        <f>$C$115*INDEX($C$97:$AL$97,1,1)</f>
        <v/>
      </c>
      <c r="D251" s="24">
        <f>$C$115*INDEX($C$97:$AL$97,1,2)</f>
        <v/>
      </c>
      <c r="E251" s="24">
        <f>$C$115*INDEX($C$97:$AL$97,1,3)</f>
        <v/>
      </c>
      <c r="F251" s="24">
        <f>$C$115*INDEX($C$97:$AL$97,1,4)</f>
        <v/>
      </c>
      <c r="G251" s="24">
        <f>$C$115*INDEX($C$97:$AL$97,1,5)</f>
        <v/>
      </c>
      <c r="H251" s="24">
        <f>$C$115*INDEX($C$97:$AL$97,1,6)</f>
        <v/>
      </c>
      <c r="I251" s="24">
        <f>$C$115*INDEX($C$97:$AL$97,1,7)</f>
        <v/>
      </c>
      <c r="J251" s="24">
        <f>$C$115*INDEX($C$97:$AL$97,1,8)</f>
        <v/>
      </c>
      <c r="K251" s="24">
        <f>$C$115*INDEX($C$97:$AL$97,1,9)</f>
        <v/>
      </c>
      <c r="L251" s="24">
        <f>$C$115*INDEX($C$97:$AL$97,1,10)</f>
        <v/>
      </c>
      <c r="M251" s="24">
        <f>$C$115*INDEX($C$97:$AL$97,1,11)</f>
        <v/>
      </c>
      <c r="N251" s="24">
        <f>$C$115*INDEX($C$97:$AL$97,1,12)</f>
        <v/>
      </c>
      <c r="O251" s="24">
        <f>$C$115*INDEX($C$97:$AL$97,1,13)</f>
        <v/>
      </c>
      <c r="P251" s="24">
        <f>$C$115*INDEX($C$97:$AL$97,1,14)</f>
        <v/>
      </c>
      <c r="Q251" s="24">
        <f>$C$115*INDEX($C$97:$AL$97,1,15)</f>
        <v/>
      </c>
      <c r="R251" s="24">
        <f>$C$115*INDEX($C$97:$AL$97,1,16)</f>
        <v/>
      </c>
      <c r="S251" s="24">
        <f>$C$115*INDEX($C$97:$AL$97,1,17)</f>
        <v/>
      </c>
      <c r="T251" s="24">
        <f>$C$115*INDEX($C$97:$AL$97,1,18)</f>
        <v/>
      </c>
      <c r="U251" s="24">
        <f>$C$115*INDEX($C$97:$AL$97,1,19)</f>
        <v/>
      </c>
      <c r="V251" s="24">
        <f>$C$115*INDEX($C$97:$AL$97,1,20)</f>
        <v/>
      </c>
      <c r="W251" s="24">
        <f>$C$115*INDEX($C$97:$AL$97,1,21)</f>
        <v/>
      </c>
      <c r="X251" s="24">
        <f>$C$115*INDEX($C$97:$AL$97,1,22)</f>
        <v/>
      </c>
      <c r="Y251" s="24">
        <f>$C$115*INDEX($C$97:$AL$97,1,23)</f>
        <v/>
      </c>
      <c r="Z251" s="24">
        <f>$C$115*INDEX($C$97:$AL$97,1,24)</f>
        <v/>
      </c>
      <c r="AA251" s="24">
        <f>$C$115*INDEX($C$97:$AL$97,1,25)</f>
        <v/>
      </c>
      <c r="AB251" s="24">
        <f>$C$115*INDEX($C$97:$AL$97,1,26)</f>
        <v/>
      </c>
      <c r="AC251" s="24">
        <f>$C$115*INDEX($C$97:$AL$97,1,27)</f>
        <v/>
      </c>
      <c r="AD251" s="24">
        <f>$C$115*INDEX($C$97:$AL$97,1,28)</f>
        <v/>
      </c>
      <c r="AE251" s="24">
        <f>$C$115*INDEX($C$97:$AL$97,1,29)</f>
        <v/>
      </c>
      <c r="AF251" s="24">
        <f>$C$115*INDEX($C$97:$AL$97,1,30)</f>
        <v/>
      </c>
    </row>
    <row r="252">
      <c r="A252" s="4" t="inlineStr">
        <is>
          <t>Coorte del mese 2</t>
        </is>
      </c>
      <c r="C252" s="24" t="n">
        <v>0</v>
      </c>
      <c r="D252" s="24">
        <f>$D$115*INDEX($C$97:$AL$97,1,1)</f>
        <v/>
      </c>
      <c r="E252" s="24">
        <f>$D$115*INDEX($C$97:$AL$97,1,2)</f>
        <v/>
      </c>
      <c r="F252" s="24">
        <f>$D$115*INDEX($C$97:$AL$97,1,3)</f>
        <v/>
      </c>
      <c r="G252" s="24">
        <f>$D$115*INDEX($C$97:$AL$97,1,4)</f>
        <v/>
      </c>
      <c r="H252" s="24">
        <f>$D$115*INDEX($C$97:$AL$97,1,5)</f>
        <v/>
      </c>
      <c r="I252" s="24">
        <f>$D$115*INDEX($C$97:$AL$97,1,6)</f>
        <v/>
      </c>
      <c r="J252" s="24">
        <f>$D$115*INDEX($C$97:$AL$97,1,7)</f>
        <v/>
      </c>
      <c r="K252" s="24">
        <f>$D$115*INDEX($C$97:$AL$97,1,8)</f>
        <v/>
      </c>
      <c r="L252" s="24">
        <f>$D$115*INDEX($C$97:$AL$97,1,9)</f>
        <v/>
      </c>
      <c r="M252" s="24">
        <f>$D$115*INDEX($C$97:$AL$97,1,10)</f>
        <v/>
      </c>
      <c r="N252" s="24">
        <f>$D$115*INDEX($C$97:$AL$97,1,11)</f>
        <v/>
      </c>
      <c r="O252" s="24">
        <f>$D$115*INDEX($C$97:$AL$97,1,12)</f>
        <v/>
      </c>
      <c r="P252" s="24">
        <f>$D$115*INDEX($C$97:$AL$97,1,13)</f>
        <v/>
      </c>
      <c r="Q252" s="24">
        <f>$D$115*INDEX($C$97:$AL$97,1,14)</f>
        <v/>
      </c>
      <c r="R252" s="24">
        <f>$D$115*INDEX($C$97:$AL$97,1,15)</f>
        <v/>
      </c>
      <c r="S252" s="24">
        <f>$D$115*INDEX($C$97:$AL$97,1,16)</f>
        <v/>
      </c>
      <c r="T252" s="24">
        <f>$D$115*INDEX($C$97:$AL$97,1,17)</f>
        <v/>
      </c>
      <c r="U252" s="24">
        <f>$D$115*INDEX($C$97:$AL$97,1,18)</f>
        <v/>
      </c>
      <c r="V252" s="24">
        <f>$D$115*INDEX($C$97:$AL$97,1,19)</f>
        <v/>
      </c>
      <c r="W252" s="24">
        <f>$D$115*INDEX($C$97:$AL$97,1,20)</f>
        <v/>
      </c>
      <c r="X252" s="24">
        <f>$D$115*INDEX($C$97:$AL$97,1,21)</f>
        <v/>
      </c>
      <c r="Y252" s="24">
        <f>$D$115*INDEX($C$97:$AL$97,1,22)</f>
        <v/>
      </c>
      <c r="Z252" s="24">
        <f>$D$115*INDEX($C$97:$AL$97,1,23)</f>
        <v/>
      </c>
      <c r="AA252" s="24">
        <f>$D$115*INDEX($C$97:$AL$97,1,24)</f>
        <v/>
      </c>
      <c r="AB252" s="24">
        <f>$D$115*INDEX($C$97:$AL$97,1,25)</f>
        <v/>
      </c>
      <c r="AC252" s="24">
        <f>$D$115*INDEX($C$97:$AL$97,1,26)</f>
        <v/>
      </c>
      <c r="AD252" s="24">
        <f>$D$115*INDEX($C$97:$AL$97,1,27)</f>
        <v/>
      </c>
      <c r="AE252" s="24">
        <f>$D$115*INDEX($C$97:$AL$97,1,28)</f>
        <v/>
      </c>
      <c r="AF252" s="24">
        <f>$D$115*INDEX($C$97:$AL$97,1,29)</f>
        <v/>
      </c>
    </row>
    <row r="253">
      <c r="A253" s="4" t="inlineStr">
        <is>
          <t>Coorte del mese 3</t>
        </is>
      </c>
      <c r="C253" s="24" t="n">
        <v>0</v>
      </c>
      <c r="D253" s="24" t="n">
        <v>0</v>
      </c>
      <c r="E253" s="24">
        <f>$E$115*INDEX($C$97:$AL$97,1,1)</f>
        <v/>
      </c>
      <c r="F253" s="24">
        <f>$E$115*INDEX($C$97:$AL$97,1,2)</f>
        <v/>
      </c>
      <c r="G253" s="24">
        <f>$E$115*INDEX($C$97:$AL$97,1,3)</f>
        <v/>
      </c>
      <c r="H253" s="24">
        <f>$E$115*INDEX($C$97:$AL$97,1,4)</f>
        <v/>
      </c>
      <c r="I253" s="24">
        <f>$E$115*INDEX($C$97:$AL$97,1,5)</f>
        <v/>
      </c>
      <c r="J253" s="24">
        <f>$E$115*INDEX($C$97:$AL$97,1,6)</f>
        <v/>
      </c>
      <c r="K253" s="24">
        <f>$E$115*INDEX($C$97:$AL$97,1,7)</f>
        <v/>
      </c>
      <c r="L253" s="24">
        <f>$E$115*INDEX($C$97:$AL$97,1,8)</f>
        <v/>
      </c>
      <c r="M253" s="24">
        <f>$E$115*INDEX($C$97:$AL$97,1,9)</f>
        <v/>
      </c>
      <c r="N253" s="24">
        <f>$E$115*INDEX($C$97:$AL$97,1,10)</f>
        <v/>
      </c>
      <c r="O253" s="24">
        <f>$E$115*INDEX($C$97:$AL$97,1,11)</f>
        <v/>
      </c>
      <c r="P253" s="24">
        <f>$E$115*INDEX($C$97:$AL$97,1,12)</f>
        <v/>
      </c>
      <c r="Q253" s="24">
        <f>$E$115*INDEX($C$97:$AL$97,1,13)</f>
        <v/>
      </c>
      <c r="R253" s="24">
        <f>$E$115*INDEX($C$97:$AL$97,1,14)</f>
        <v/>
      </c>
      <c r="S253" s="24">
        <f>$E$115*INDEX($C$97:$AL$97,1,15)</f>
        <v/>
      </c>
      <c r="T253" s="24">
        <f>$E$115*INDEX($C$97:$AL$97,1,16)</f>
        <v/>
      </c>
      <c r="U253" s="24">
        <f>$E$115*INDEX($C$97:$AL$97,1,17)</f>
        <v/>
      </c>
      <c r="V253" s="24">
        <f>$E$115*INDEX($C$97:$AL$97,1,18)</f>
        <v/>
      </c>
      <c r="W253" s="24">
        <f>$E$115*INDEX($C$97:$AL$97,1,19)</f>
        <v/>
      </c>
      <c r="X253" s="24">
        <f>$E$115*INDEX($C$97:$AL$97,1,20)</f>
        <v/>
      </c>
      <c r="Y253" s="24">
        <f>$E$115*INDEX($C$97:$AL$97,1,21)</f>
        <v/>
      </c>
      <c r="Z253" s="24">
        <f>$E$115*INDEX($C$97:$AL$97,1,22)</f>
        <v/>
      </c>
      <c r="AA253" s="24">
        <f>$E$115*INDEX($C$97:$AL$97,1,23)</f>
        <v/>
      </c>
      <c r="AB253" s="24">
        <f>$E$115*INDEX($C$97:$AL$97,1,24)</f>
        <v/>
      </c>
      <c r="AC253" s="24">
        <f>$E$115*INDEX($C$97:$AL$97,1,25)</f>
        <v/>
      </c>
      <c r="AD253" s="24">
        <f>$E$115*INDEX($C$97:$AL$97,1,26)</f>
        <v/>
      </c>
      <c r="AE253" s="24">
        <f>$E$115*INDEX($C$97:$AL$97,1,27)</f>
        <v/>
      </c>
      <c r="AF253" s="24">
        <f>$E$115*INDEX($C$97:$AL$97,1,28)</f>
        <v/>
      </c>
    </row>
    <row r="254">
      <c r="A254" s="4" t="inlineStr">
        <is>
          <t>Coorte del mese 4</t>
        </is>
      </c>
      <c r="C254" s="24" t="n">
        <v>0</v>
      </c>
      <c r="D254" s="24" t="n">
        <v>0</v>
      </c>
      <c r="E254" s="24" t="n">
        <v>0</v>
      </c>
      <c r="F254" s="24">
        <f>$F$115*INDEX($C$97:$AL$97,1,1)</f>
        <v/>
      </c>
      <c r="G254" s="24">
        <f>$F$115*INDEX($C$97:$AL$97,1,2)</f>
        <v/>
      </c>
      <c r="H254" s="24">
        <f>$F$115*INDEX($C$97:$AL$97,1,3)</f>
        <v/>
      </c>
      <c r="I254" s="24">
        <f>$F$115*INDEX($C$97:$AL$97,1,4)</f>
        <v/>
      </c>
      <c r="J254" s="24">
        <f>$F$115*INDEX($C$97:$AL$97,1,5)</f>
        <v/>
      </c>
      <c r="K254" s="24">
        <f>$F$115*INDEX($C$97:$AL$97,1,6)</f>
        <v/>
      </c>
      <c r="L254" s="24">
        <f>$F$115*INDEX($C$97:$AL$97,1,7)</f>
        <v/>
      </c>
      <c r="M254" s="24">
        <f>$F$115*INDEX($C$97:$AL$97,1,8)</f>
        <v/>
      </c>
      <c r="N254" s="24">
        <f>$F$115*INDEX($C$97:$AL$97,1,9)</f>
        <v/>
      </c>
      <c r="O254" s="24">
        <f>$F$115*INDEX($C$97:$AL$97,1,10)</f>
        <v/>
      </c>
      <c r="P254" s="24">
        <f>$F$115*INDEX($C$97:$AL$97,1,11)</f>
        <v/>
      </c>
      <c r="Q254" s="24">
        <f>$F$115*INDEX($C$97:$AL$97,1,12)</f>
        <v/>
      </c>
      <c r="R254" s="24">
        <f>$F$115*INDEX($C$97:$AL$97,1,13)</f>
        <v/>
      </c>
      <c r="S254" s="24">
        <f>$F$115*INDEX($C$97:$AL$97,1,14)</f>
        <v/>
      </c>
      <c r="T254" s="24">
        <f>$F$115*INDEX($C$97:$AL$97,1,15)</f>
        <v/>
      </c>
      <c r="U254" s="24">
        <f>$F$115*INDEX($C$97:$AL$97,1,16)</f>
        <v/>
      </c>
      <c r="V254" s="24">
        <f>$F$115*INDEX($C$97:$AL$97,1,17)</f>
        <v/>
      </c>
      <c r="W254" s="24">
        <f>$F$115*INDEX($C$97:$AL$97,1,18)</f>
        <v/>
      </c>
      <c r="X254" s="24">
        <f>$F$115*INDEX($C$97:$AL$97,1,19)</f>
        <v/>
      </c>
      <c r="Y254" s="24">
        <f>$F$115*INDEX($C$97:$AL$97,1,20)</f>
        <v/>
      </c>
      <c r="Z254" s="24">
        <f>$F$115*INDEX($C$97:$AL$97,1,21)</f>
        <v/>
      </c>
      <c r="AA254" s="24">
        <f>$F$115*INDEX($C$97:$AL$97,1,22)</f>
        <v/>
      </c>
      <c r="AB254" s="24">
        <f>$F$115*INDEX($C$97:$AL$97,1,23)</f>
        <v/>
      </c>
      <c r="AC254" s="24">
        <f>$F$115*INDEX($C$97:$AL$97,1,24)</f>
        <v/>
      </c>
      <c r="AD254" s="24">
        <f>$F$115*INDEX($C$97:$AL$97,1,25)</f>
        <v/>
      </c>
      <c r="AE254" s="24">
        <f>$F$115*INDEX($C$97:$AL$97,1,26)</f>
        <v/>
      </c>
      <c r="AF254" s="24">
        <f>$F$115*INDEX($C$97:$AL$97,1,27)</f>
        <v/>
      </c>
    </row>
    <row r="255">
      <c r="A255" s="4" t="inlineStr">
        <is>
          <t>Coorte del mese 5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>
        <f>$G$115*INDEX($C$97:$AL$97,1,1)</f>
        <v/>
      </c>
      <c r="H255" s="24">
        <f>$G$115*INDEX($C$97:$AL$97,1,2)</f>
        <v/>
      </c>
      <c r="I255" s="24">
        <f>$G$115*INDEX($C$97:$AL$97,1,3)</f>
        <v/>
      </c>
      <c r="J255" s="24">
        <f>$G$115*INDEX($C$97:$AL$97,1,4)</f>
        <v/>
      </c>
      <c r="K255" s="24">
        <f>$G$115*INDEX($C$97:$AL$97,1,5)</f>
        <v/>
      </c>
      <c r="L255" s="24">
        <f>$G$115*INDEX($C$97:$AL$97,1,6)</f>
        <v/>
      </c>
      <c r="M255" s="24">
        <f>$G$115*INDEX($C$97:$AL$97,1,7)</f>
        <v/>
      </c>
      <c r="N255" s="24">
        <f>$G$115*INDEX($C$97:$AL$97,1,8)</f>
        <v/>
      </c>
      <c r="O255" s="24">
        <f>$G$115*INDEX($C$97:$AL$97,1,9)</f>
        <v/>
      </c>
      <c r="P255" s="24">
        <f>$G$115*INDEX($C$97:$AL$97,1,10)</f>
        <v/>
      </c>
      <c r="Q255" s="24">
        <f>$G$115*INDEX($C$97:$AL$97,1,11)</f>
        <v/>
      </c>
      <c r="R255" s="24">
        <f>$G$115*INDEX($C$97:$AL$97,1,12)</f>
        <v/>
      </c>
      <c r="S255" s="24">
        <f>$G$115*INDEX($C$97:$AL$97,1,13)</f>
        <v/>
      </c>
      <c r="T255" s="24">
        <f>$G$115*INDEX($C$97:$AL$97,1,14)</f>
        <v/>
      </c>
      <c r="U255" s="24">
        <f>$G$115*INDEX($C$97:$AL$97,1,15)</f>
        <v/>
      </c>
      <c r="V255" s="24">
        <f>$G$115*INDEX($C$97:$AL$97,1,16)</f>
        <v/>
      </c>
      <c r="W255" s="24">
        <f>$G$115*INDEX($C$97:$AL$97,1,17)</f>
        <v/>
      </c>
      <c r="X255" s="24">
        <f>$G$115*INDEX($C$97:$AL$97,1,18)</f>
        <v/>
      </c>
      <c r="Y255" s="24">
        <f>$G$115*INDEX($C$97:$AL$97,1,19)</f>
        <v/>
      </c>
      <c r="Z255" s="24">
        <f>$G$115*INDEX($C$97:$AL$97,1,20)</f>
        <v/>
      </c>
      <c r="AA255" s="24">
        <f>$G$115*INDEX($C$97:$AL$97,1,21)</f>
        <v/>
      </c>
      <c r="AB255" s="24">
        <f>$G$115*INDEX($C$97:$AL$97,1,22)</f>
        <v/>
      </c>
      <c r="AC255" s="24">
        <f>$G$115*INDEX($C$97:$AL$97,1,23)</f>
        <v/>
      </c>
      <c r="AD255" s="24">
        <f>$G$115*INDEX($C$97:$AL$97,1,24)</f>
        <v/>
      </c>
      <c r="AE255" s="24">
        <f>$G$115*INDEX($C$97:$AL$97,1,25)</f>
        <v/>
      </c>
      <c r="AF255" s="24">
        <f>$G$115*INDEX($C$97:$AL$97,1,26)</f>
        <v/>
      </c>
    </row>
    <row r="256">
      <c r="A256" s="4" t="inlineStr">
        <is>
          <t>Coorte del mese 6</t>
        </is>
      </c>
      <c r="C256" s="24" t="n">
        <v>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$H$115*INDEX($C$97:$AL$97,1,1)</f>
        <v/>
      </c>
      <c r="I256" s="24">
        <f>$H$115*INDEX($C$97:$AL$97,1,2)</f>
        <v/>
      </c>
      <c r="J256" s="24">
        <f>$H$115*INDEX($C$97:$AL$97,1,3)</f>
        <v/>
      </c>
      <c r="K256" s="24">
        <f>$H$115*INDEX($C$97:$AL$97,1,4)</f>
        <v/>
      </c>
      <c r="L256" s="24">
        <f>$H$115*INDEX($C$97:$AL$97,1,5)</f>
        <v/>
      </c>
      <c r="M256" s="24">
        <f>$H$115*INDEX($C$97:$AL$97,1,6)</f>
        <v/>
      </c>
      <c r="N256" s="24">
        <f>$H$115*INDEX($C$97:$AL$97,1,7)</f>
        <v/>
      </c>
      <c r="O256" s="24">
        <f>$H$115*INDEX($C$97:$AL$97,1,8)</f>
        <v/>
      </c>
      <c r="P256" s="24">
        <f>$H$115*INDEX($C$97:$AL$97,1,9)</f>
        <v/>
      </c>
      <c r="Q256" s="24">
        <f>$H$115*INDEX($C$97:$AL$97,1,10)</f>
        <v/>
      </c>
      <c r="R256" s="24">
        <f>$H$115*INDEX($C$97:$AL$97,1,11)</f>
        <v/>
      </c>
      <c r="S256" s="24">
        <f>$H$115*INDEX($C$97:$AL$97,1,12)</f>
        <v/>
      </c>
      <c r="T256" s="24">
        <f>$H$115*INDEX($C$97:$AL$97,1,13)</f>
        <v/>
      </c>
      <c r="U256" s="24">
        <f>$H$115*INDEX($C$97:$AL$97,1,14)</f>
        <v/>
      </c>
      <c r="V256" s="24">
        <f>$H$115*INDEX($C$97:$AL$97,1,15)</f>
        <v/>
      </c>
      <c r="W256" s="24">
        <f>$H$115*INDEX($C$97:$AL$97,1,16)</f>
        <v/>
      </c>
      <c r="X256" s="24">
        <f>$H$115*INDEX($C$97:$AL$97,1,17)</f>
        <v/>
      </c>
      <c r="Y256" s="24">
        <f>$H$115*INDEX($C$97:$AL$97,1,18)</f>
        <v/>
      </c>
      <c r="Z256" s="24">
        <f>$H$115*INDEX($C$97:$AL$97,1,19)</f>
        <v/>
      </c>
      <c r="AA256" s="24">
        <f>$H$115*INDEX($C$97:$AL$97,1,20)</f>
        <v/>
      </c>
      <c r="AB256" s="24">
        <f>$H$115*INDEX($C$97:$AL$97,1,21)</f>
        <v/>
      </c>
      <c r="AC256" s="24">
        <f>$H$115*INDEX($C$97:$AL$97,1,22)</f>
        <v/>
      </c>
      <c r="AD256" s="24">
        <f>$H$115*INDEX($C$97:$AL$97,1,23)</f>
        <v/>
      </c>
      <c r="AE256" s="24">
        <f>$H$115*INDEX($C$97:$AL$97,1,24)</f>
        <v/>
      </c>
      <c r="AF256" s="24">
        <f>$H$115*INDEX($C$97:$AL$97,1,25)</f>
        <v/>
      </c>
    </row>
    <row r="257">
      <c r="A257" s="4" t="inlineStr">
        <is>
          <t>Coorte del mese 7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>
        <f>$I$115*INDEX($C$97:$AL$97,1,1)</f>
        <v/>
      </c>
      <c r="J257" s="24">
        <f>$I$115*INDEX($C$97:$AL$97,1,2)</f>
        <v/>
      </c>
      <c r="K257" s="24">
        <f>$I$115*INDEX($C$97:$AL$97,1,3)</f>
        <v/>
      </c>
      <c r="L257" s="24">
        <f>$I$115*INDEX($C$97:$AL$97,1,4)</f>
        <v/>
      </c>
      <c r="M257" s="24">
        <f>$I$115*INDEX($C$97:$AL$97,1,5)</f>
        <v/>
      </c>
      <c r="N257" s="24">
        <f>$I$115*INDEX($C$97:$AL$97,1,6)</f>
        <v/>
      </c>
      <c r="O257" s="24">
        <f>$I$115*INDEX($C$97:$AL$97,1,7)</f>
        <v/>
      </c>
      <c r="P257" s="24">
        <f>$I$115*INDEX($C$97:$AL$97,1,8)</f>
        <v/>
      </c>
      <c r="Q257" s="24">
        <f>$I$115*INDEX($C$97:$AL$97,1,9)</f>
        <v/>
      </c>
      <c r="R257" s="24">
        <f>$I$115*INDEX($C$97:$AL$97,1,10)</f>
        <v/>
      </c>
      <c r="S257" s="24">
        <f>$I$115*INDEX($C$97:$AL$97,1,11)</f>
        <v/>
      </c>
      <c r="T257" s="24">
        <f>$I$115*INDEX($C$97:$AL$97,1,12)</f>
        <v/>
      </c>
      <c r="U257" s="24">
        <f>$I$115*INDEX($C$97:$AL$97,1,13)</f>
        <v/>
      </c>
      <c r="V257" s="24">
        <f>$I$115*INDEX($C$97:$AL$97,1,14)</f>
        <v/>
      </c>
      <c r="W257" s="24">
        <f>$I$115*INDEX($C$97:$AL$97,1,15)</f>
        <v/>
      </c>
      <c r="X257" s="24">
        <f>$I$115*INDEX($C$97:$AL$97,1,16)</f>
        <v/>
      </c>
      <c r="Y257" s="24">
        <f>$I$115*INDEX($C$97:$AL$97,1,17)</f>
        <v/>
      </c>
      <c r="Z257" s="24">
        <f>$I$115*INDEX($C$97:$AL$97,1,18)</f>
        <v/>
      </c>
      <c r="AA257" s="24">
        <f>$I$115*INDEX($C$97:$AL$97,1,19)</f>
        <v/>
      </c>
      <c r="AB257" s="24">
        <f>$I$115*INDEX($C$97:$AL$97,1,20)</f>
        <v/>
      </c>
      <c r="AC257" s="24">
        <f>$I$115*INDEX($C$97:$AL$97,1,21)</f>
        <v/>
      </c>
      <c r="AD257" s="24">
        <f>$I$115*INDEX($C$97:$AL$97,1,22)</f>
        <v/>
      </c>
      <c r="AE257" s="24">
        <f>$I$115*INDEX($C$97:$AL$97,1,23)</f>
        <v/>
      </c>
      <c r="AF257" s="24">
        <f>$I$115*INDEX($C$97:$AL$97,1,24)</f>
        <v/>
      </c>
    </row>
    <row r="258">
      <c r="A258" s="4" t="inlineStr">
        <is>
          <t>Coorte del mese 8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>
        <f>$J$115*INDEX($C$97:$AL$97,1,1)</f>
        <v/>
      </c>
      <c r="K258" s="24">
        <f>$J$115*INDEX($C$97:$AL$97,1,2)</f>
        <v/>
      </c>
      <c r="L258" s="24">
        <f>$J$115*INDEX($C$97:$AL$97,1,3)</f>
        <v/>
      </c>
      <c r="M258" s="24">
        <f>$J$115*INDEX($C$97:$AL$97,1,4)</f>
        <v/>
      </c>
      <c r="N258" s="24">
        <f>$J$115*INDEX($C$97:$AL$97,1,5)</f>
        <v/>
      </c>
      <c r="O258" s="24">
        <f>$J$115*INDEX($C$97:$AL$97,1,6)</f>
        <v/>
      </c>
      <c r="P258" s="24">
        <f>$J$115*INDEX($C$97:$AL$97,1,7)</f>
        <v/>
      </c>
      <c r="Q258" s="24">
        <f>$J$115*INDEX($C$97:$AL$97,1,8)</f>
        <v/>
      </c>
      <c r="R258" s="24">
        <f>$J$115*INDEX($C$97:$AL$97,1,9)</f>
        <v/>
      </c>
      <c r="S258" s="24">
        <f>$J$115*INDEX($C$97:$AL$97,1,10)</f>
        <v/>
      </c>
      <c r="T258" s="24">
        <f>$J$115*INDEX($C$97:$AL$97,1,11)</f>
        <v/>
      </c>
      <c r="U258" s="24">
        <f>$J$115*INDEX($C$97:$AL$97,1,12)</f>
        <v/>
      </c>
      <c r="V258" s="24">
        <f>$J$115*INDEX($C$97:$AL$97,1,13)</f>
        <v/>
      </c>
      <c r="W258" s="24">
        <f>$J$115*INDEX($C$97:$AL$97,1,14)</f>
        <v/>
      </c>
      <c r="X258" s="24">
        <f>$J$115*INDEX($C$97:$AL$97,1,15)</f>
        <v/>
      </c>
      <c r="Y258" s="24">
        <f>$J$115*INDEX($C$97:$AL$97,1,16)</f>
        <v/>
      </c>
      <c r="Z258" s="24">
        <f>$J$115*INDEX($C$97:$AL$97,1,17)</f>
        <v/>
      </c>
      <c r="AA258" s="24">
        <f>$J$115*INDEX($C$97:$AL$97,1,18)</f>
        <v/>
      </c>
      <c r="AB258" s="24">
        <f>$J$115*INDEX($C$97:$AL$97,1,19)</f>
        <v/>
      </c>
      <c r="AC258" s="24">
        <f>$J$115*INDEX($C$97:$AL$97,1,20)</f>
        <v/>
      </c>
      <c r="AD258" s="24">
        <f>$J$115*INDEX($C$97:$AL$97,1,21)</f>
        <v/>
      </c>
      <c r="AE258" s="24">
        <f>$J$115*INDEX($C$97:$AL$97,1,22)</f>
        <v/>
      </c>
      <c r="AF258" s="24">
        <f>$J$115*INDEX($C$97:$AL$97,1,23)</f>
        <v/>
      </c>
    </row>
    <row r="259">
      <c r="A259" s="4" t="inlineStr">
        <is>
          <t>Coorte del mese 9</t>
        </is>
      </c>
      <c r="C259" s="24" t="n">
        <v>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>
        <f>$K$115*INDEX($C$97:$AL$97,1,1)</f>
        <v/>
      </c>
      <c r="L259" s="24">
        <f>$K$115*INDEX($C$97:$AL$97,1,2)</f>
        <v/>
      </c>
      <c r="M259" s="24">
        <f>$K$115*INDEX($C$97:$AL$97,1,3)</f>
        <v/>
      </c>
      <c r="N259" s="24">
        <f>$K$115*INDEX($C$97:$AL$97,1,4)</f>
        <v/>
      </c>
      <c r="O259" s="24">
        <f>$K$115*INDEX($C$97:$AL$97,1,5)</f>
        <v/>
      </c>
      <c r="P259" s="24">
        <f>$K$115*INDEX($C$97:$AL$97,1,6)</f>
        <v/>
      </c>
      <c r="Q259" s="24">
        <f>$K$115*INDEX($C$97:$AL$97,1,7)</f>
        <v/>
      </c>
      <c r="R259" s="24">
        <f>$K$115*INDEX($C$97:$AL$97,1,8)</f>
        <v/>
      </c>
      <c r="S259" s="24">
        <f>$K$115*INDEX($C$97:$AL$97,1,9)</f>
        <v/>
      </c>
      <c r="T259" s="24">
        <f>$K$115*INDEX($C$97:$AL$97,1,10)</f>
        <v/>
      </c>
      <c r="U259" s="24">
        <f>$K$115*INDEX($C$97:$AL$97,1,11)</f>
        <v/>
      </c>
      <c r="V259" s="24">
        <f>$K$115*INDEX($C$97:$AL$97,1,12)</f>
        <v/>
      </c>
      <c r="W259" s="24">
        <f>$K$115*INDEX($C$97:$AL$97,1,13)</f>
        <v/>
      </c>
      <c r="X259" s="24">
        <f>$K$115*INDEX($C$97:$AL$97,1,14)</f>
        <v/>
      </c>
      <c r="Y259" s="24">
        <f>$K$115*INDEX($C$97:$AL$97,1,15)</f>
        <v/>
      </c>
      <c r="Z259" s="24">
        <f>$K$115*INDEX($C$97:$AL$97,1,16)</f>
        <v/>
      </c>
      <c r="AA259" s="24">
        <f>$K$115*INDEX($C$97:$AL$97,1,17)</f>
        <v/>
      </c>
      <c r="AB259" s="24">
        <f>$K$115*INDEX($C$97:$AL$97,1,18)</f>
        <v/>
      </c>
      <c r="AC259" s="24">
        <f>$K$115*INDEX($C$97:$AL$97,1,19)</f>
        <v/>
      </c>
      <c r="AD259" s="24">
        <f>$K$115*INDEX($C$97:$AL$97,1,20)</f>
        <v/>
      </c>
      <c r="AE259" s="24">
        <f>$K$115*INDEX($C$97:$AL$97,1,21)</f>
        <v/>
      </c>
      <c r="AF259" s="24">
        <f>$K$115*INDEX($C$97:$AL$97,1,22)</f>
        <v/>
      </c>
    </row>
    <row r="260">
      <c r="A260" s="4" t="inlineStr">
        <is>
          <t>Coorte del mese 10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>
        <f>$L$115*INDEX($C$97:$AL$97,1,1)</f>
        <v/>
      </c>
      <c r="M260" s="24">
        <f>$L$115*INDEX($C$97:$AL$97,1,2)</f>
        <v/>
      </c>
      <c r="N260" s="24">
        <f>$L$115*INDEX($C$97:$AL$97,1,3)</f>
        <v/>
      </c>
      <c r="O260" s="24">
        <f>$L$115*INDEX($C$97:$AL$97,1,4)</f>
        <v/>
      </c>
      <c r="P260" s="24">
        <f>$L$115*INDEX($C$97:$AL$97,1,5)</f>
        <v/>
      </c>
      <c r="Q260" s="24">
        <f>$L$115*INDEX($C$97:$AL$97,1,6)</f>
        <v/>
      </c>
      <c r="R260" s="24">
        <f>$L$115*INDEX($C$97:$AL$97,1,7)</f>
        <v/>
      </c>
      <c r="S260" s="24">
        <f>$L$115*INDEX($C$97:$AL$97,1,8)</f>
        <v/>
      </c>
      <c r="T260" s="24">
        <f>$L$115*INDEX($C$97:$AL$97,1,9)</f>
        <v/>
      </c>
      <c r="U260" s="24">
        <f>$L$115*INDEX($C$97:$AL$97,1,10)</f>
        <v/>
      </c>
      <c r="V260" s="24">
        <f>$L$115*INDEX($C$97:$AL$97,1,11)</f>
        <v/>
      </c>
      <c r="W260" s="24">
        <f>$L$115*INDEX($C$97:$AL$97,1,12)</f>
        <v/>
      </c>
      <c r="X260" s="24">
        <f>$L$115*INDEX($C$97:$AL$97,1,13)</f>
        <v/>
      </c>
      <c r="Y260" s="24">
        <f>$L$115*INDEX($C$97:$AL$97,1,14)</f>
        <v/>
      </c>
      <c r="Z260" s="24">
        <f>$L$115*INDEX($C$97:$AL$97,1,15)</f>
        <v/>
      </c>
      <c r="AA260" s="24">
        <f>$L$115*INDEX($C$97:$AL$97,1,16)</f>
        <v/>
      </c>
      <c r="AB260" s="24">
        <f>$L$115*INDEX($C$97:$AL$97,1,17)</f>
        <v/>
      </c>
      <c r="AC260" s="24">
        <f>$L$115*INDEX($C$97:$AL$97,1,18)</f>
        <v/>
      </c>
      <c r="AD260" s="24">
        <f>$L$115*INDEX($C$97:$AL$97,1,19)</f>
        <v/>
      </c>
      <c r="AE260" s="24">
        <f>$L$115*INDEX($C$97:$AL$97,1,20)</f>
        <v/>
      </c>
      <c r="AF260" s="24">
        <f>$L$115*INDEX($C$97:$AL$97,1,21)</f>
        <v/>
      </c>
    </row>
    <row r="261">
      <c r="A261" s="4" t="inlineStr">
        <is>
          <t>Coorte del mese 11</t>
        </is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4">
        <f>$M$115*INDEX($C$97:$AL$97,1,1)</f>
        <v/>
      </c>
      <c r="N261" s="24">
        <f>$M$115*INDEX($C$97:$AL$97,1,2)</f>
        <v/>
      </c>
      <c r="O261" s="24">
        <f>$M$115*INDEX($C$97:$AL$97,1,3)</f>
        <v/>
      </c>
      <c r="P261" s="24">
        <f>$M$115*INDEX($C$97:$AL$97,1,4)</f>
        <v/>
      </c>
      <c r="Q261" s="24">
        <f>$M$115*INDEX($C$97:$AL$97,1,5)</f>
        <v/>
      </c>
      <c r="R261" s="24">
        <f>$M$115*INDEX($C$97:$AL$97,1,6)</f>
        <v/>
      </c>
      <c r="S261" s="24">
        <f>$M$115*INDEX($C$97:$AL$97,1,7)</f>
        <v/>
      </c>
      <c r="T261" s="24">
        <f>$M$115*INDEX($C$97:$AL$97,1,8)</f>
        <v/>
      </c>
      <c r="U261" s="24">
        <f>$M$115*INDEX($C$97:$AL$97,1,9)</f>
        <v/>
      </c>
      <c r="V261" s="24">
        <f>$M$115*INDEX($C$97:$AL$97,1,10)</f>
        <v/>
      </c>
      <c r="W261" s="24">
        <f>$M$115*INDEX($C$97:$AL$97,1,11)</f>
        <v/>
      </c>
      <c r="X261" s="24">
        <f>$M$115*INDEX($C$97:$AL$97,1,12)</f>
        <v/>
      </c>
      <c r="Y261" s="24">
        <f>$M$115*INDEX($C$97:$AL$97,1,13)</f>
        <v/>
      </c>
      <c r="Z261" s="24">
        <f>$M$115*INDEX($C$97:$AL$97,1,14)</f>
        <v/>
      </c>
      <c r="AA261" s="24">
        <f>$M$115*INDEX($C$97:$AL$97,1,15)</f>
        <v/>
      </c>
      <c r="AB261" s="24">
        <f>$M$115*INDEX($C$97:$AL$97,1,16)</f>
        <v/>
      </c>
      <c r="AC261" s="24">
        <f>$M$115*INDEX($C$97:$AL$97,1,17)</f>
        <v/>
      </c>
      <c r="AD261" s="24">
        <f>$M$115*INDEX($C$97:$AL$97,1,18)</f>
        <v/>
      </c>
      <c r="AE261" s="24">
        <f>$M$115*INDEX($C$97:$AL$97,1,19)</f>
        <v/>
      </c>
      <c r="AF261" s="24">
        <f>$M$115*INDEX($C$97:$AL$97,1,20)</f>
        <v/>
      </c>
    </row>
    <row r="262">
      <c r="A262" s="4" t="inlineStr">
        <is>
          <t>Coorte del mese 12</t>
        </is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>
        <f>$N$115*INDEX($C$97:$AL$97,1,1)</f>
        <v/>
      </c>
      <c r="O262" s="24">
        <f>$N$115*INDEX($C$97:$AL$97,1,2)</f>
        <v/>
      </c>
      <c r="P262" s="24">
        <f>$N$115*INDEX($C$97:$AL$97,1,3)</f>
        <v/>
      </c>
      <c r="Q262" s="24">
        <f>$N$115*INDEX($C$97:$AL$97,1,4)</f>
        <v/>
      </c>
      <c r="R262" s="24">
        <f>$N$115*INDEX($C$97:$AL$97,1,5)</f>
        <v/>
      </c>
      <c r="S262" s="24">
        <f>$N$115*INDEX($C$97:$AL$97,1,6)</f>
        <v/>
      </c>
      <c r="T262" s="24">
        <f>$N$115*INDEX($C$97:$AL$97,1,7)</f>
        <v/>
      </c>
      <c r="U262" s="24">
        <f>$N$115*INDEX($C$97:$AL$97,1,8)</f>
        <v/>
      </c>
      <c r="V262" s="24">
        <f>$N$115*INDEX($C$97:$AL$97,1,9)</f>
        <v/>
      </c>
      <c r="W262" s="24">
        <f>$N$115*INDEX($C$97:$AL$97,1,10)</f>
        <v/>
      </c>
      <c r="X262" s="24">
        <f>$N$115*INDEX($C$97:$AL$97,1,11)</f>
        <v/>
      </c>
      <c r="Y262" s="24">
        <f>$N$115*INDEX($C$97:$AL$97,1,12)</f>
        <v/>
      </c>
      <c r="Z262" s="24">
        <f>$N$115*INDEX($C$97:$AL$97,1,13)</f>
        <v/>
      </c>
      <c r="AA262" s="24">
        <f>$N$115*INDEX($C$97:$AL$97,1,14)</f>
        <v/>
      </c>
      <c r="AB262" s="24">
        <f>$N$115*INDEX($C$97:$AL$97,1,15)</f>
        <v/>
      </c>
      <c r="AC262" s="24">
        <f>$N$115*INDEX($C$97:$AL$97,1,16)</f>
        <v/>
      </c>
      <c r="AD262" s="24">
        <f>$N$115*INDEX($C$97:$AL$97,1,17)</f>
        <v/>
      </c>
      <c r="AE262" s="24">
        <f>$N$115*INDEX($C$97:$AL$97,1,18)</f>
        <v/>
      </c>
      <c r="AF262" s="24">
        <f>$N$115*INDEX($C$97:$AL$97,1,19)</f>
        <v/>
      </c>
    </row>
    <row r="263">
      <c r="A263" s="4" t="inlineStr">
        <is>
          <t>Coorte del mese 13</t>
        </is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>
        <f>$O$115*INDEX($C$97:$AL$97,1,1)</f>
        <v/>
      </c>
      <c r="P263" s="24">
        <f>$O$115*INDEX($C$97:$AL$97,1,2)</f>
        <v/>
      </c>
      <c r="Q263" s="24">
        <f>$O$115*INDEX($C$97:$AL$97,1,3)</f>
        <v/>
      </c>
      <c r="R263" s="24">
        <f>$O$115*INDEX($C$97:$AL$97,1,4)</f>
        <v/>
      </c>
      <c r="S263" s="24">
        <f>$O$115*INDEX($C$97:$AL$97,1,5)</f>
        <v/>
      </c>
      <c r="T263" s="24">
        <f>$O$115*INDEX($C$97:$AL$97,1,6)</f>
        <v/>
      </c>
      <c r="U263" s="24">
        <f>$O$115*INDEX($C$97:$AL$97,1,7)</f>
        <v/>
      </c>
      <c r="V263" s="24">
        <f>$O$115*INDEX($C$97:$AL$97,1,8)</f>
        <v/>
      </c>
      <c r="W263" s="24">
        <f>$O$115*INDEX($C$97:$AL$97,1,9)</f>
        <v/>
      </c>
      <c r="X263" s="24">
        <f>$O$115*INDEX($C$97:$AL$97,1,10)</f>
        <v/>
      </c>
      <c r="Y263" s="24">
        <f>$O$115*INDEX($C$97:$AL$97,1,11)</f>
        <v/>
      </c>
      <c r="Z263" s="24">
        <f>$O$115*INDEX($C$97:$AL$97,1,12)</f>
        <v/>
      </c>
      <c r="AA263" s="24">
        <f>$O$115*INDEX($C$97:$AL$97,1,13)</f>
        <v/>
      </c>
      <c r="AB263" s="24">
        <f>$O$115*INDEX($C$97:$AL$97,1,14)</f>
        <v/>
      </c>
      <c r="AC263" s="24">
        <f>$O$115*INDEX($C$97:$AL$97,1,15)</f>
        <v/>
      </c>
      <c r="AD263" s="24">
        <f>$O$115*INDEX($C$97:$AL$97,1,16)</f>
        <v/>
      </c>
      <c r="AE263" s="24">
        <f>$O$115*INDEX($C$97:$AL$97,1,17)</f>
        <v/>
      </c>
      <c r="AF263" s="24">
        <f>$O$115*INDEX($C$97:$AL$97,1,18)</f>
        <v/>
      </c>
    </row>
    <row r="264">
      <c r="A264" s="4" t="inlineStr">
        <is>
          <t>Coorte del mese 14</t>
        </is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>
        <f>$P$115*INDEX($C$97:$AL$97,1,1)</f>
        <v/>
      </c>
      <c r="Q264" s="24">
        <f>$P$115*INDEX($C$97:$AL$97,1,2)</f>
        <v/>
      </c>
      <c r="R264" s="24">
        <f>$P$115*INDEX($C$97:$AL$97,1,3)</f>
        <v/>
      </c>
      <c r="S264" s="24">
        <f>$P$115*INDEX($C$97:$AL$97,1,4)</f>
        <v/>
      </c>
      <c r="T264" s="24">
        <f>$P$115*INDEX($C$97:$AL$97,1,5)</f>
        <v/>
      </c>
      <c r="U264" s="24">
        <f>$P$115*INDEX($C$97:$AL$97,1,6)</f>
        <v/>
      </c>
      <c r="V264" s="24">
        <f>$P$115*INDEX($C$97:$AL$97,1,7)</f>
        <v/>
      </c>
      <c r="W264" s="24">
        <f>$P$115*INDEX($C$97:$AL$97,1,8)</f>
        <v/>
      </c>
      <c r="X264" s="24">
        <f>$P$115*INDEX($C$97:$AL$97,1,9)</f>
        <v/>
      </c>
      <c r="Y264" s="24">
        <f>$P$115*INDEX($C$97:$AL$97,1,10)</f>
        <v/>
      </c>
      <c r="Z264" s="24">
        <f>$P$115*INDEX($C$97:$AL$97,1,11)</f>
        <v/>
      </c>
      <c r="AA264" s="24">
        <f>$P$115*INDEX($C$97:$AL$97,1,12)</f>
        <v/>
      </c>
      <c r="AB264" s="24">
        <f>$P$115*INDEX($C$97:$AL$97,1,13)</f>
        <v/>
      </c>
      <c r="AC264" s="24">
        <f>$P$115*INDEX($C$97:$AL$97,1,14)</f>
        <v/>
      </c>
      <c r="AD264" s="24">
        <f>$P$115*INDEX($C$97:$AL$97,1,15)</f>
        <v/>
      </c>
      <c r="AE264" s="24">
        <f>$P$115*INDEX($C$97:$AL$97,1,16)</f>
        <v/>
      </c>
      <c r="AF264" s="24">
        <f>$P$115*INDEX($C$97:$AL$97,1,17)</f>
        <v/>
      </c>
    </row>
    <row r="265">
      <c r="A265" s="4" t="inlineStr">
        <is>
          <t>Coorte del mese 15</t>
        </is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>
        <f>$Q$115*INDEX($C$97:$AL$97,1,1)</f>
        <v/>
      </c>
      <c r="R265" s="24">
        <f>$Q$115*INDEX($C$97:$AL$97,1,2)</f>
        <v/>
      </c>
      <c r="S265" s="24">
        <f>$Q$115*INDEX($C$97:$AL$97,1,3)</f>
        <v/>
      </c>
      <c r="T265" s="24">
        <f>$Q$115*INDEX($C$97:$AL$97,1,4)</f>
        <v/>
      </c>
      <c r="U265" s="24">
        <f>$Q$115*INDEX($C$97:$AL$97,1,5)</f>
        <v/>
      </c>
      <c r="V265" s="24">
        <f>$Q$115*INDEX($C$97:$AL$97,1,6)</f>
        <v/>
      </c>
      <c r="W265" s="24">
        <f>$Q$115*INDEX($C$97:$AL$97,1,7)</f>
        <v/>
      </c>
      <c r="X265" s="24">
        <f>$Q$115*INDEX($C$97:$AL$97,1,8)</f>
        <v/>
      </c>
      <c r="Y265" s="24">
        <f>$Q$115*INDEX($C$97:$AL$97,1,9)</f>
        <v/>
      </c>
      <c r="Z265" s="24">
        <f>$Q$115*INDEX($C$97:$AL$97,1,10)</f>
        <v/>
      </c>
      <c r="AA265" s="24">
        <f>$Q$115*INDEX($C$97:$AL$97,1,11)</f>
        <v/>
      </c>
      <c r="AB265" s="24">
        <f>$Q$115*INDEX($C$97:$AL$97,1,12)</f>
        <v/>
      </c>
      <c r="AC265" s="24">
        <f>$Q$115*INDEX($C$97:$AL$97,1,13)</f>
        <v/>
      </c>
      <c r="AD265" s="24">
        <f>$Q$115*INDEX($C$97:$AL$97,1,14)</f>
        <v/>
      </c>
      <c r="AE265" s="24">
        <f>$Q$115*INDEX($C$97:$AL$97,1,15)</f>
        <v/>
      </c>
      <c r="AF265" s="24">
        <f>$Q$115*INDEX($C$97:$AL$97,1,16)</f>
        <v/>
      </c>
    </row>
    <row r="266">
      <c r="A266" s="4" t="inlineStr">
        <is>
          <t>Coorte del mese 16</t>
        </is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>
        <f>$R$115*INDEX($C$97:$AL$97,1,1)</f>
        <v/>
      </c>
      <c r="S266" s="24">
        <f>$R$115*INDEX($C$97:$AL$97,1,2)</f>
        <v/>
      </c>
      <c r="T266" s="24">
        <f>$R$115*INDEX($C$97:$AL$97,1,3)</f>
        <v/>
      </c>
      <c r="U266" s="24">
        <f>$R$115*INDEX($C$97:$AL$97,1,4)</f>
        <v/>
      </c>
      <c r="V266" s="24">
        <f>$R$115*INDEX($C$97:$AL$97,1,5)</f>
        <v/>
      </c>
      <c r="W266" s="24">
        <f>$R$115*INDEX($C$97:$AL$97,1,6)</f>
        <v/>
      </c>
      <c r="X266" s="24">
        <f>$R$115*INDEX($C$97:$AL$97,1,7)</f>
        <v/>
      </c>
      <c r="Y266" s="24">
        <f>$R$115*INDEX($C$97:$AL$97,1,8)</f>
        <v/>
      </c>
      <c r="Z266" s="24">
        <f>$R$115*INDEX($C$97:$AL$97,1,9)</f>
        <v/>
      </c>
      <c r="AA266" s="24">
        <f>$R$115*INDEX($C$97:$AL$97,1,10)</f>
        <v/>
      </c>
      <c r="AB266" s="24">
        <f>$R$115*INDEX($C$97:$AL$97,1,11)</f>
        <v/>
      </c>
      <c r="AC266" s="24">
        <f>$R$115*INDEX($C$97:$AL$97,1,12)</f>
        <v/>
      </c>
      <c r="AD266" s="24">
        <f>$R$115*INDEX($C$97:$AL$97,1,13)</f>
        <v/>
      </c>
      <c r="AE266" s="24">
        <f>$R$115*INDEX($C$97:$AL$97,1,14)</f>
        <v/>
      </c>
      <c r="AF266" s="24">
        <f>$R$115*INDEX($C$97:$AL$97,1,15)</f>
        <v/>
      </c>
    </row>
    <row r="267">
      <c r="A267" s="4" t="inlineStr">
        <is>
          <t>Coorte del mese 17</t>
        </is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>
        <f>$S$115*INDEX($C$97:$AL$97,1,1)</f>
        <v/>
      </c>
      <c r="T267" s="24">
        <f>$S$115*INDEX($C$97:$AL$97,1,2)</f>
        <v/>
      </c>
      <c r="U267" s="24">
        <f>$S$115*INDEX($C$97:$AL$97,1,3)</f>
        <v/>
      </c>
      <c r="V267" s="24">
        <f>$S$115*INDEX($C$97:$AL$97,1,4)</f>
        <v/>
      </c>
      <c r="W267" s="24">
        <f>$S$115*INDEX($C$97:$AL$97,1,5)</f>
        <v/>
      </c>
      <c r="X267" s="24">
        <f>$S$115*INDEX($C$97:$AL$97,1,6)</f>
        <v/>
      </c>
      <c r="Y267" s="24">
        <f>$S$115*INDEX($C$97:$AL$97,1,7)</f>
        <v/>
      </c>
      <c r="Z267" s="24">
        <f>$S$115*INDEX($C$97:$AL$97,1,8)</f>
        <v/>
      </c>
      <c r="AA267" s="24">
        <f>$S$115*INDEX($C$97:$AL$97,1,9)</f>
        <v/>
      </c>
      <c r="AB267" s="24">
        <f>$S$115*INDEX($C$97:$AL$97,1,10)</f>
        <v/>
      </c>
      <c r="AC267" s="24">
        <f>$S$115*INDEX($C$97:$AL$97,1,11)</f>
        <v/>
      </c>
      <c r="AD267" s="24">
        <f>$S$115*INDEX($C$97:$AL$97,1,12)</f>
        <v/>
      </c>
      <c r="AE267" s="24">
        <f>$S$115*INDEX($C$97:$AL$97,1,13)</f>
        <v/>
      </c>
      <c r="AF267" s="24">
        <f>$S$115*INDEX($C$97:$AL$97,1,14)</f>
        <v/>
      </c>
    </row>
    <row r="268">
      <c r="A268" s="4" t="inlineStr">
        <is>
          <t>Coorte del mese 18</t>
        </is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>
        <f>$T$115*INDEX($C$97:$AL$97,1,1)</f>
        <v/>
      </c>
      <c r="U268" s="24">
        <f>$T$115*INDEX($C$97:$AL$97,1,2)</f>
        <v/>
      </c>
      <c r="V268" s="24">
        <f>$T$115*INDEX($C$97:$AL$97,1,3)</f>
        <v/>
      </c>
      <c r="W268" s="24">
        <f>$T$115*INDEX($C$97:$AL$97,1,4)</f>
        <v/>
      </c>
      <c r="X268" s="24">
        <f>$T$115*INDEX($C$97:$AL$97,1,5)</f>
        <v/>
      </c>
      <c r="Y268" s="24">
        <f>$T$115*INDEX($C$97:$AL$97,1,6)</f>
        <v/>
      </c>
      <c r="Z268" s="24">
        <f>$T$115*INDEX($C$97:$AL$97,1,7)</f>
        <v/>
      </c>
      <c r="AA268" s="24">
        <f>$T$115*INDEX($C$97:$AL$97,1,8)</f>
        <v/>
      </c>
      <c r="AB268" s="24">
        <f>$T$115*INDEX($C$97:$AL$97,1,9)</f>
        <v/>
      </c>
      <c r="AC268" s="24">
        <f>$T$115*INDEX($C$97:$AL$97,1,10)</f>
        <v/>
      </c>
      <c r="AD268" s="24">
        <f>$T$115*INDEX($C$97:$AL$97,1,11)</f>
        <v/>
      </c>
      <c r="AE268" s="24">
        <f>$T$115*INDEX($C$97:$AL$97,1,12)</f>
        <v/>
      </c>
      <c r="AF268" s="24">
        <f>$T$115*INDEX($C$97:$AL$97,1,13)</f>
        <v/>
      </c>
    </row>
    <row r="269">
      <c r="A269" s="4" t="inlineStr">
        <is>
          <t>Coorte del mese 19</t>
        </is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>
        <f>$U$115*INDEX($C$97:$AL$97,1,1)</f>
        <v/>
      </c>
      <c r="V269" s="24">
        <f>$U$115*INDEX($C$97:$AL$97,1,2)</f>
        <v/>
      </c>
      <c r="W269" s="24">
        <f>$U$115*INDEX($C$97:$AL$97,1,3)</f>
        <v/>
      </c>
      <c r="X269" s="24">
        <f>$U$115*INDEX($C$97:$AL$97,1,4)</f>
        <v/>
      </c>
      <c r="Y269" s="24">
        <f>$U$115*INDEX($C$97:$AL$97,1,5)</f>
        <v/>
      </c>
      <c r="Z269" s="24">
        <f>$U$115*INDEX($C$97:$AL$97,1,6)</f>
        <v/>
      </c>
      <c r="AA269" s="24">
        <f>$U$115*INDEX($C$97:$AL$97,1,7)</f>
        <v/>
      </c>
      <c r="AB269" s="24">
        <f>$U$115*INDEX($C$97:$AL$97,1,8)</f>
        <v/>
      </c>
      <c r="AC269" s="24">
        <f>$U$115*INDEX($C$97:$AL$97,1,9)</f>
        <v/>
      </c>
      <c r="AD269" s="24">
        <f>$U$115*INDEX($C$97:$AL$97,1,10)</f>
        <v/>
      </c>
      <c r="AE269" s="24">
        <f>$U$115*INDEX($C$97:$AL$97,1,11)</f>
        <v/>
      </c>
      <c r="AF269" s="24">
        <f>$U$115*INDEX($C$97:$AL$97,1,12)</f>
        <v/>
      </c>
    </row>
    <row r="270">
      <c r="A270" s="4" t="inlineStr">
        <is>
          <t>Coorte del mese 20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>
        <f>$V$115*INDEX($C$97:$AL$97,1,1)</f>
        <v/>
      </c>
      <c r="W270" s="24">
        <f>$V$115*INDEX($C$97:$AL$97,1,2)</f>
        <v/>
      </c>
      <c r="X270" s="24">
        <f>$V$115*INDEX($C$97:$AL$97,1,3)</f>
        <v/>
      </c>
      <c r="Y270" s="24">
        <f>$V$115*INDEX($C$97:$AL$97,1,4)</f>
        <v/>
      </c>
      <c r="Z270" s="24">
        <f>$V$115*INDEX($C$97:$AL$97,1,5)</f>
        <v/>
      </c>
      <c r="AA270" s="24">
        <f>$V$115*INDEX($C$97:$AL$97,1,6)</f>
        <v/>
      </c>
      <c r="AB270" s="24">
        <f>$V$115*INDEX($C$97:$AL$97,1,7)</f>
        <v/>
      </c>
      <c r="AC270" s="24">
        <f>$V$115*INDEX($C$97:$AL$97,1,8)</f>
        <v/>
      </c>
      <c r="AD270" s="24">
        <f>$V$115*INDEX($C$97:$AL$97,1,9)</f>
        <v/>
      </c>
      <c r="AE270" s="24">
        <f>$V$115*INDEX($C$97:$AL$97,1,10)</f>
        <v/>
      </c>
      <c r="AF270" s="24">
        <f>$V$115*INDEX($C$97:$AL$97,1,11)</f>
        <v/>
      </c>
    </row>
    <row r="271">
      <c r="A271" s="4" t="inlineStr">
        <is>
          <t>Coorte del mese 21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>
        <f>$W$115*INDEX($C$97:$AL$97,1,1)</f>
        <v/>
      </c>
      <c r="X271" s="24">
        <f>$W$115*INDEX($C$97:$AL$97,1,2)</f>
        <v/>
      </c>
      <c r="Y271" s="24">
        <f>$W$115*INDEX($C$97:$AL$97,1,3)</f>
        <v/>
      </c>
      <c r="Z271" s="24">
        <f>$W$115*INDEX($C$97:$AL$97,1,4)</f>
        <v/>
      </c>
      <c r="AA271" s="24">
        <f>$W$115*INDEX($C$97:$AL$97,1,5)</f>
        <v/>
      </c>
      <c r="AB271" s="24">
        <f>$W$115*INDEX($C$97:$AL$97,1,6)</f>
        <v/>
      </c>
      <c r="AC271" s="24">
        <f>$W$115*INDEX($C$97:$AL$97,1,7)</f>
        <v/>
      </c>
      <c r="AD271" s="24">
        <f>$W$115*INDEX($C$97:$AL$97,1,8)</f>
        <v/>
      </c>
      <c r="AE271" s="24">
        <f>$W$115*INDEX($C$97:$AL$97,1,9)</f>
        <v/>
      </c>
      <c r="AF271" s="24">
        <f>$W$115*INDEX($C$97:$AL$97,1,10)</f>
        <v/>
      </c>
    </row>
    <row r="272">
      <c r="A272" s="4" t="inlineStr">
        <is>
          <t>Coorte del mese 22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>
        <f>$X$115*INDEX($C$97:$AL$97,1,1)</f>
        <v/>
      </c>
      <c r="Y272" s="24">
        <f>$X$115*INDEX($C$97:$AL$97,1,2)</f>
        <v/>
      </c>
      <c r="Z272" s="24">
        <f>$X$115*INDEX($C$97:$AL$97,1,3)</f>
        <v/>
      </c>
      <c r="AA272" s="24">
        <f>$X$115*INDEX($C$97:$AL$97,1,4)</f>
        <v/>
      </c>
      <c r="AB272" s="24">
        <f>$X$115*INDEX($C$97:$AL$97,1,5)</f>
        <v/>
      </c>
      <c r="AC272" s="24">
        <f>$X$115*INDEX($C$97:$AL$97,1,6)</f>
        <v/>
      </c>
      <c r="AD272" s="24">
        <f>$X$115*INDEX($C$97:$AL$97,1,7)</f>
        <v/>
      </c>
      <c r="AE272" s="24">
        <f>$X$115*INDEX($C$97:$AL$97,1,8)</f>
        <v/>
      </c>
      <c r="AF272" s="24">
        <f>$X$115*INDEX($C$97:$AL$97,1,9)</f>
        <v/>
      </c>
    </row>
    <row r="273">
      <c r="A273" s="4" t="inlineStr">
        <is>
          <t>Coorte del mese 23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>
        <f>$Y$115*INDEX($C$97:$AL$97,1,1)</f>
        <v/>
      </c>
      <c r="Z273" s="24">
        <f>$Y$115*INDEX($C$97:$AL$97,1,2)</f>
        <v/>
      </c>
      <c r="AA273" s="24">
        <f>$Y$115*INDEX($C$97:$AL$97,1,3)</f>
        <v/>
      </c>
      <c r="AB273" s="24">
        <f>$Y$115*INDEX($C$97:$AL$97,1,4)</f>
        <v/>
      </c>
      <c r="AC273" s="24">
        <f>$Y$115*INDEX($C$97:$AL$97,1,5)</f>
        <v/>
      </c>
      <c r="AD273" s="24">
        <f>$Y$115*INDEX($C$97:$AL$97,1,6)</f>
        <v/>
      </c>
      <c r="AE273" s="24">
        <f>$Y$115*INDEX($C$97:$AL$97,1,7)</f>
        <v/>
      </c>
      <c r="AF273" s="24">
        <f>$Y$115*INDEX($C$97:$AL$97,1,8)</f>
        <v/>
      </c>
    </row>
    <row r="274">
      <c r="A274" s="4" t="inlineStr">
        <is>
          <t>Coorte del mese 24</t>
        </is>
      </c>
      <c r="C274" s="24" t="n">
        <v>0</v>
      </c>
      <c r="D274" s="24" t="n">
        <v>0</v>
      </c>
      <c r="E274" s="24" t="n">
        <v>0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24">
        <f>$Z$115*INDEX($C$97:$AL$97,1,1)</f>
        <v/>
      </c>
      <c r="AA274" s="24">
        <f>$Z$115*INDEX($C$97:$AL$97,1,2)</f>
        <v/>
      </c>
      <c r="AB274" s="24">
        <f>$Z$115*INDEX($C$97:$AL$97,1,3)</f>
        <v/>
      </c>
      <c r="AC274" s="24">
        <f>$Z$115*INDEX($C$97:$AL$97,1,4)</f>
        <v/>
      </c>
      <c r="AD274" s="24">
        <f>$Z$115*INDEX($C$97:$AL$97,1,5)</f>
        <v/>
      </c>
      <c r="AE274" s="24">
        <f>$Z$115*INDEX($C$97:$AL$97,1,6)</f>
        <v/>
      </c>
      <c r="AF274" s="24">
        <f>$Z$115*INDEX($C$97:$AL$97,1,7)</f>
        <v/>
      </c>
    </row>
    <row r="275">
      <c r="A275" s="4" t="inlineStr">
        <is>
          <t>Coorte del mese 25</t>
        </is>
      </c>
      <c r="C275" s="24" t="n">
        <v>0</v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>
        <f>$AA$115*INDEX($C$97:$AL$97,1,1)</f>
        <v/>
      </c>
      <c r="AB275" s="24">
        <f>$AA$115*INDEX($C$97:$AL$97,1,2)</f>
        <v/>
      </c>
      <c r="AC275" s="24">
        <f>$AA$115*INDEX($C$97:$AL$97,1,3)</f>
        <v/>
      </c>
      <c r="AD275" s="24">
        <f>$AA$115*INDEX($C$97:$AL$97,1,4)</f>
        <v/>
      </c>
      <c r="AE275" s="24">
        <f>$AA$115*INDEX($C$97:$AL$97,1,5)</f>
        <v/>
      </c>
      <c r="AF275" s="24">
        <f>$AA$115*INDEX($C$97:$AL$97,1,6)</f>
        <v/>
      </c>
    </row>
    <row r="276">
      <c r="A276" s="4" t="inlineStr">
        <is>
          <t>Coorte del mese 26</t>
        </is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24" t="n">
        <v>0</v>
      </c>
      <c r="AA276" s="24" t="n">
        <v>0</v>
      </c>
      <c r="AB276" s="24">
        <f>$AB$115*INDEX($C$97:$AL$97,1,1)</f>
        <v/>
      </c>
      <c r="AC276" s="24">
        <f>$AB$115*INDEX($C$97:$AL$97,1,2)</f>
        <v/>
      </c>
      <c r="AD276" s="24">
        <f>$AB$115*INDEX($C$97:$AL$97,1,3)</f>
        <v/>
      </c>
      <c r="AE276" s="24">
        <f>$AB$115*INDEX($C$97:$AL$97,1,4)</f>
        <v/>
      </c>
      <c r="AF276" s="24">
        <f>$AB$115*INDEX($C$97:$AL$97,1,5)</f>
        <v/>
      </c>
    </row>
    <row r="277">
      <c r="A277" s="4" t="inlineStr">
        <is>
          <t>Coorte del mese 27</t>
        </is>
      </c>
      <c r="C277" s="24" t="n">
        <v>0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>
        <f>$AC$115*INDEX($C$97:$AL$97,1,1)</f>
        <v/>
      </c>
      <c r="AD277" s="24">
        <f>$AC$115*INDEX($C$97:$AL$97,1,2)</f>
        <v/>
      </c>
      <c r="AE277" s="24">
        <f>$AC$115*INDEX($C$97:$AL$97,1,3)</f>
        <v/>
      </c>
      <c r="AF277" s="24">
        <f>$AC$115*INDEX($C$97:$AL$97,1,4)</f>
        <v/>
      </c>
    </row>
    <row r="278">
      <c r="A278" s="4" t="inlineStr">
        <is>
          <t>Coorte del mese 28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>
        <f>$AD$115*INDEX($C$97:$AL$97,1,1)</f>
        <v/>
      </c>
      <c r="AE278" s="24">
        <f>$AD$115*INDEX($C$97:$AL$97,1,2)</f>
        <v/>
      </c>
      <c r="AF278" s="24">
        <f>$AD$115*INDEX($C$97:$AL$97,1,3)</f>
        <v/>
      </c>
    </row>
    <row r="279">
      <c r="A279" s="4" t="inlineStr">
        <is>
          <t>Coorte del mese 29</t>
        </is>
      </c>
      <c r="C279" s="24" t="n">
        <v>0</v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>
        <f>$AE$115*INDEX($C$97:$AL$97,1,1)</f>
        <v/>
      </c>
      <c r="AF279" s="24">
        <f>$AE$115*INDEX($C$97:$AL$97,1,2)</f>
        <v/>
      </c>
    </row>
    <row r="280">
      <c r="A280" s="4" t="inlineStr">
        <is>
          <t>Coorte del mese 30</t>
        </is>
      </c>
      <c r="C280" s="24" t="n">
        <v>0</v>
      </c>
      <c r="D280" s="24" t="n">
        <v>0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24" t="n">
        <v>0</v>
      </c>
      <c r="AA280" s="24" t="n">
        <v>0</v>
      </c>
      <c r="AB280" s="24" t="n">
        <v>0</v>
      </c>
      <c r="AC280" s="24" t="n">
        <v>0</v>
      </c>
      <c r="AD280" s="24" t="n">
        <v>0</v>
      </c>
      <c r="AE280" s="24" t="n">
        <v>0</v>
      </c>
      <c r="AF280" s="24">
        <f>$AF$115*INDEX($C$97:$AL$97,1,1)</f>
        <v/>
      </c>
    </row>
    <row r="281">
      <c r="A281" s="3" t="inlineStr">
        <is>
          <t>Totale singolo: ordini</t>
        </is>
      </c>
      <c r="C281" s="25">
        <f>SUM(C251:C280)</f>
        <v/>
      </c>
      <c r="D281" s="25">
        <f>SUM(D251:D280)</f>
        <v/>
      </c>
      <c r="E281" s="25">
        <f>SUM(E251:E280)</f>
        <v/>
      </c>
      <c r="F281" s="25">
        <f>SUM(F251:F280)</f>
        <v/>
      </c>
      <c r="G281" s="25">
        <f>SUM(G251:G280)</f>
        <v/>
      </c>
      <c r="H281" s="25">
        <f>SUM(H251:H280)</f>
        <v/>
      </c>
      <c r="I281" s="25">
        <f>SUM(I251:I280)</f>
        <v/>
      </c>
      <c r="J281" s="25">
        <f>SUM(J251:J280)</f>
        <v/>
      </c>
      <c r="K281" s="25">
        <f>SUM(K251:K280)</f>
        <v/>
      </c>
      <c r="L281" s="25">
        <f>SUM(L251:L280)</f>
        <v/>
      </c>
      <c r="M281" s="25">
        <f>SUM(M251:M280)</f>
        <v/>
      </c>
      <c r="N281" s="25">
        <f>SUM(N251:N280)</f>
        <v/>
      </c>
      <c r="O281" s="25">
        <f>SUM(O251:O280)</f>
        <v/>
      </c>
      <c r="P281" s="25">
        <f>SUM(P251:P280)</f>
        <v/>
      </c>
      <c r="Q281" s="25">
        <f>SUM(Q251:Q280)</f>
        <v/>
      </c>
      <c r="R281" s="25">
        <f>SUM(R251:R280)</f>
        <v/>
      </c>
      <c r="S281" s="25">
        <f>SUM(S251:S280)</f>
        <v/>
      </c>
      <c r="T281" s="25">
        <f>SUM(T251:T280)</f>
        <v/>
      </c>
      <c r="U281" s="25">
        <f>SUM(U251:U280)</f>
        <v/>
      </c>
      <c r="V281" s="25">
        <f>SUM(V251:V280)</f>
        <v/>
      </c>
      <c r="W281" s="25">
        <f>SUM(W251:W280)</f>
        <v/>
      </c>
      <c r="X281" s="25">
        <f>SUM(X251:X280)</f>
        <v/>
      </c>
      <c r="Y281" s="25">
        <f>SUM(Y251:Y280)</f>
        <v/>
      </c>
      <c r="Z281" s="25">
        <f>SUM(Z251:Z280)</f>
        <v/>
      </c>
      <c r="AA281" s="25">
        <f>SUM(AA251:AA280)</f>
        <v/>
      </c>
      <c r="AB281" s="25">
        <f>SUM(AB251:AB280)</f>
        <v/>
      </c>
      <c r="AC281" s="25">
        <f>SUM(AC251:AC280)</f>
        <v/>
      </c>
      <c r="AD281" s="25">
        <f>SUM(AD251:AD280)</f>
        <v/>
      </c>
      <c r="AE281" s="25">
        <f>SUM(AE251:AE280)</f>
        <v/>
      </c>
      <c r="AF281" s="25">
        <f>SUM(AF251:AF280)</f>
        <v/>
      </c>
    </row>
    <row r="283">
      <c r="A283" s="10" t="inlineStr">
        <is>
          <t>Vendite e costi variabili per mese</t>
        </is>
      </c>
    </row>
    <row r="284">
      <c r="A284" s="3" t="inlineStr">
        <is>
          <t>Incassi lordi (IVA incl.)</t>
        </is>
      </c>
      <c r="B284" s="4" t="inlineStr">
        <is>
          <t>€</t>
        </is>
      </c>
      <c r="C284" s="20">
        <f>C112*$H$76+(C149-C112)*$C$76+C113*$I$76+(C215-C113)*$D$76+C114*$J$76+(C248-C114)*$E$76+C115*$K$76+(C281-C115)*$F$76</f>
        <v/>
      </c>
      <c r="D284" s="20">
        <f>D112*$H$76+(D149-D112)*$C$76+D113*$I$76+(D215-D113)*$D$76+D114*$J$76+(D248-D114)*$E$76+D115*$K$76+(D281-D115)*$F$76</f>
        <v/>
      </c>
      <c r="E284" s="20">
        <f>E112*$H$76+(E149-E112)*$C$76+E113*$I$76+(E215-E113)*$D$76+E114*$J$76+(E248-E114)*$E$76+E115*$K$76+(E281-E115)*$F$76</f>
        <v/>
      </c>
      <c r="F284" s="20">
        <f>F112*$H$76+(F149-F112)*$C$76+F113*$I$76+(F215-F113)*$D$76+F114*$J$76+(F248-F114)*$E$76+F115*$K$76+(F281-F115)*$F$76</f>
        <v/>
      </c>
      <c r="G284" s="20">
        <f>G112*$H$76+(G149-G112)*$C$76+G113*$I$76+(G215-G113)*$D$76+G114*$J$76+(G248-G114)*$E$76+G115*$K$76+(G281-G115)*$F$76</f>
        <v/>
      </c>
      <c r="H284" s="20">
        <f>H112*$H$76+(H149-H112)*$C$76+H113*$I$76+(H215-H113)*$D$76+H114*$J$76+(H248-H114)*$E$76+H115*$K$76+(H281-H115)*$F$76</f>
        <v/>
      </c>
      <c r="I284" s="20">
        <f>I112*$H$76+(I149-I112)*$C$76+I113*$I$76+(I215-I113)*$D$76+I114*$J$76+(I248-I114)*$E$76+I115*$K$76+(I281-I115)*$F$76</f>
        <v/>
      </c>
      <c r="J284" s="20">
        <f>J112*$H$76+(J149-J112)*$C$76+J113*$I$76+(J215-J113)*$D$76+J114*$J$76+(J248-J114)*$E$76+J115*$K$76+(J281-J115)*$F$76</f>
        <v/>
      </c>
      <c r="K284" s="20">
        <f>K112*$H$76+(K149-K112)*$C$76+K113*$I$76+(K215-K113)*$D$76+K114*$J$76+(K248-K114)*$E$76+K115*$K$76+(K281-K115)*$F$76</f>
        <v/>
      </c>
      <c r="L284" s="20">
        <f>L112*$H$76+(L149-L112)*$C$76+L113*$I$76+(L215-L113)*$D$76+L114*$J$76+(L248-L114)*$E$76+L115*$K$76+(L281-L115)*$F$76</f>
        <v/>
      </c>
      <c r="M284" s="20">
        <f>M112*$H$76+(M149-M112)*$C$76+M113*$I$76+(M215-M113)*$D$76+M114*$J$76+(M248-M114)*$E$76+M115*$K$76+(M281-M115)*$F$76</f>
        <v/>
      </c>
      <c r="N284" s="20">
        <f>N112*$H$76+(N149-N112)*$C$76+N113*$I$76+(N215-N113)*$D$76+N114*$J$76+(N248-N114)*$E$76+N115*$K$76+(N281-N115)*$F$76</f>
        <v/>
      </c>
      <c r="O284" s="20">
        <f>O112*$H$76+(O149-O112)*$C$76+O113*$I$76+(O215-O113)*$D$76+O114*$J$76+(O248-O114)*$E$76+O115*$K$76+(O281-O115)*$F$76</f>
        <v/>
      </c>
      <c r="P284" s="20">
        <f>P112*$H$76+(P149-P112)*$C$76+P113*$I$76+(P215-P113)*$D$76+P114*$J$76+(P248-P114)*$E$76+P115*$K$76+(P281-P115)*$F$76</f>
        <v/>
      </c>
      <c r="Q284" s="20">
        <f>Q112*$H$76+(Q149-Q112)*$C$76+Q113*$I$76+(Q215-Q113)*$D$76+Q114*$J$76+(Q248-Q114)*$E$76+Q115*$K$76+(Q281-Q115)*$F$76</f>
        <v/>
      </c>
      <c r="R284" s="20">
        <f>R112*$H$76+(R149-R112)*$C$76+R113*$I$76+(R215-R113)*$D$76+R114*$J$76+(R248-R114)*$E$76+R115*$K$76+(R281-R115)*$F$76</f>
        <v/>
      </c>
      <c r="S284" s="20">
        <f>S112*$H$76+(S149-S112)*$C$76+S113*$I$76+(S215-S113)*$D$76+S114*$J$76+(S248-S114)*$E$76+S115*$K$76+(S281-S115)*$F$76</f>
        <v/>
      </c>
      <c r="T284" s="20">
        <f>T112*$H$76+(T149-T112)*$C$76+T113*$I$76+(T215-T113)*$D$76+T114*$J$76+(T248-T114)*$E$76+T115*$K$76+(T281-T115)*$F$76</f>
        <v/>
      </c>
      <c r="U284" s="20">
        <f>U112*$H$76+(U149-U112)*$C$76+U113*$I$76+(U215-U113)*$D$76+U114*$J$76+(U248-U114)*$E$76+U115*$K$76+(U281-U115)*$F$76</f>
        <v/>
      </c>
      <c r="V284" s="20">
        <f>V112*$H$76+(V149-V112)*$C$76+V113*$I$76+(V215-V113)*$D$76+V114*$J$76+(V248-V114)*$E$76+V115*$K$76+(V281-V115)*$F$76</f>
        <v/>
      </c>
      <c r="W284" s="20">
        <f>W112*$H$76+(W149-W112)*$C$76+W113*$I$76+(W215-W113)*$D$76+W114*$J$76+(W248-W114)*$E$76+W115*$K$76+(W281-W115)*$F$76</f>
        <v/>
      </c>
      <c r="X284" s="20">
        <f>X112*$H$76+(X149-X112)*$C$76+X113*$I$76+(X215-X113)*$D$76+X114*$J$76+(X248-X114)*$E$76+X115*$K$76+(X281-X115)*$F$76</f>
        <v/>
      </c>
      <c r="Y284" s="20">
        <f>Y112*$H$76+(Y149-Y112)*$C$76+Y113*$I$76+(Y215-Y113)*$D$76+Y114*$J$76+(Y248-Y114)*$E$76+Y115*$K$76+(Y281-Y115)*$F$76</f>
        <v/>
      </c>
      <c r="Z284" s="20">
        <f>Z112*$H$76+(Z149-Z112)*$C$76+Z113*$I$76+(Z215-Z113)*$D$76+Z114*$J$76+(Z248-Z114)*$E$76+Z115*$K$76+(Z281-Z115)*$F$76</f>
        <v/>
      </c>
      <c r="AA284" s="20">
        <f>AA112*$H$76+(AA149-AA112)*$C$76+AA113*$I$76+(AA215-AA113)*$D$76+AA114*$J$76+(AA248-AA114)*$E$76+AA115*$K$76+(AA281-AA115)*$F$76</f>
        <v/>
      </c>
      <c r="AB284" s="20">
        <f>AB112*$H$76+(AB149-AB112)*$C$76+AB113*$I$76+(AB215-AB113)*$D$76+AB114*$J$76+(AB248-AB114)*$E$76+AB115*$K$76+(AB281-AB115)*$F$76</f>
        <v/>
      </c>
      <c r="AC284" s="20">
        <f>AC112*$H$76+(AC149-AC112)*$C$76+AC113*$I$76+(AC215-AC113)*$D$76+AC114*$J$76+(AC248-AC114)*$E$76+AC115*$K$76+(AC281-AC115)*$F$76</f>
        <v/>
      </c>
      <c r="AD284" s="20">
        <f>AD112*$H$76+(AD149-AD112)*$C$76+AD113*$I$76+(AD215-AD113)*$D$76+AD114*$J$76+(AD248-AD114)*$E$76+AD115*$K$76+(AD281-AD115)*$F$76</f>
        <v/>
      </c>
      <c r="AE284" s="20">
        <f>AE112*$H$76+(AE149-AE112)*$C$76+AE113*$I$76+(AE215-AE113)*$D$76+AE114*$J$76+(AE248-AE114)*$E$76+AE115*$K$76+(AE281-AE115)*$F$76</f>
        <v/>
      </c>
      <c r="AF284" s="20">
        <f>AF112*$H$76+(AF149-AF112)*$C$76+AF113*$I$76+(AF215-AF113)*$D$76+AF114*$J$76+(AF248-AF114)*$E$76+AF115*$K$76+(AF281-AF115)*$F$76</f>
        <v/>
      </c>
    </row>
    <row r="285">
      <c r="A285" s="3" t="inlineStr">
        <is>
          <t>Ricavi netti IVA</t>
        </is>
      </c>
      <c r="B285" s="4" t="inlineStr">
        <is>
          <t>€</t>
        </is>
      </c>
      <c r="C285" s="20">
        <f>C112*$H$77+(C149-C112)*$C$77+C113*$I$77+(C215-C113)*$D$77+C114*$J$77+(C248-C114)*$E$77+C115*$K$77+(C281-C115)*$F$77</f>
        <v/>
      </c>
      <c r="D285" s="20">
        <f>D112*$H$77+(D149-D112)*$C$77+D113*$I$77+(D215-D113)*$D$77+D114*$J$77+(D248-D114)*$E$77+D115*$K$77+(D281-D115)*$F$77</f>
        <v/>
      </c>
      <c r="E285" s="20">
        <f>E112*$H$77+(E149-E112)*$C$77+E113*$I$77+(E215-E113)*$D$77+E114*$J$77+(E248-E114)*$E$77+E115*$K$77+(E281-E115)*$F$77</f>
        <v/>
      </c>
      <c r="F285" s="20">
        <f>F112*$H$77+(F149-F112)*$C$77+F113*$I$77+(F215-F113)*$D$77+F114*$J$77+(F248-F114)*$E$77+F115*$K$77+(F281-F115)*$F$77</f>
        <v/>
      </c>
      <c r="G285" s="20">
        <f>G112*$H$77+(G149-G112)*$C$77+G113*$I$77+(G215-G113)*$D$77+G114*$J$77+(G248-G114)*$E$77+G115*$K$77+(G281-G115)*$F$77</f>
        <v/>
      </c>
      <c r="H285" s="20">
        <f>H112*$H$77+(H149-H112)*$C$77+H113*$I$77+(H215-H113)*$D$77+H114*$J$77+(H248-H114)*$E$77+H115*$K$77+(H281-H115)*$F$77</f>
        <v/>
      </c>
      <c r="I285" s="20">
        <f>I112*$H$77+(I149-I112)*$C$77+I113*$I$77+(I215-I113)*$D$77+I114*$J$77+(I248-I114)*$E$77+I115*$K$77+(I281-I115)*$F$77</f>
        <v/>
      </c>
      <c r="J285" s="20">
        <f>J112*$H$77+(J149-J112)*$C$77+J113*$I$77+(J215-J113)*$D$77+J114*$J$77+(J248-J114)*$E$77+J115*$K$77+(J281-J115)*$F$77</f>
        <v/>
      </c>
      <c r="K285" s="20">
        <f>K112*$H$77+(K149-K112)*$C$77+K113*$I$77+(K215-K113)*$D$77+K114*$J$77+(K248-K114)*$E$77+K115*$K$77+(K281-K115)*$F$77</f>
        <v/>
      </c>
      <c r="L285" s="20">
        <f>L112*$H$77+(L149-L112)*$C$77+L113*$I$77+(L215-L113)*$D$77+L114*$J$77+(L248-L114)*$E$77+L115*$K$77+(L281-L115)*$F$77</f>
        <v/>
      </c>
      <c r="M285" s="20">
        <f>M112*$H$77+(M149-M112)*$C$77+M113*$I$77+(M215-M113)*$D$77+M114*$J$77+(M248-M114)*$E$77+M115*$K$77+(M281-M115)*$F$77</f>
        <v/>
      </c>
      <c r="N285" s="20">
        <f>N112*$H$77+(N149-N112)*$C$77+N113*$I$77+(N215-N113)*$D$77+N114*$J$77+(N248-N114)*$E$77+N115*$K$77+(N281-N115)*$F$77</f>
        <v/>
      </c>
      <c r="O285" s="20">
        <f>O112*$H$77+(O149-O112)*$C$77+O113*$I$77+(O215-O113)*$D$77+O114*$J$77+(O248-O114)*$E$77+O115*$K$77+(O281-O115)*$F$77</f>
        <v/>
      </c>
      <c r="P285" s="20">
        <f>P112*$H$77+(P149-P112)*$C$77+P113*$I$77+(P215-P113)*$D$77+P114*$J$77+(P248-P114)*$E$77+P115*$K$77+(P281-P115)*$F$77</f>
        <v/>
      </c>
      <c r="Q285" s="20">
        <f>Q112*$H$77+(Q149-Q112)*$C$77+Q113*$I$77+(Q215-Q113)*$D$77+Q114*$J$77+(Q248-Q114)*$E$77+Q115*$K$77+(Q281-Q115)*$F$77</f>
        <v/>
      </c>
      <c r="R285" s="20">
        <f>R112*$H$77+(R149-R112)*$C$77+R113*$I$77+(R215-R113)*$D$77+R114*$J$77+(R248-R114)*$E$77+R115*$K$77+(R281-R115)*$F$77</f>
        <v/>
      </c>
      <c r="S285" s="20">
        <f>S112*$H$77+(S149-S112)*$C$77+S113*$I$77+(S215-S113)*$D$77+S114*$J$77+(S248-S114)*$E$77+S115*$K$77+(S281-S115)*$F$77</f>
        <v/>
      </c>
      <c r="T285" s="20">
        <f>T112*$H$77+(T149-T112)*$C$77+T113*$I$77+(T215-T113)*$D$77+T114*$J$77+(T248-T114)*$E$77+T115*$K$77+(T281-T115)*$F$77</f>
        <v/>
      </c>
      <c r="U285" s="20">
        <f>U112*$H$77+(U149-U112)*$C$77+U113*$I$77+(U215-U113)*$D$77+U114*$J$77+(U248-U114)*$E$77+U115*$K$77+(U281-U115)*$F$77</f>
        <v/>
      </c>
      <c r="V285" s="20">
        <f>V112*$H$77+(V149-V112)*$C$77+V113*$I$77+(V215-V113)*$D$77+V114*$J$77+(V248-V114)*$E$77+V115*$K$77+(V281-V115)*$F$77</f>
        <v/>
      </c>
      <c r="W285" s="20">
        <f>W112*$H$77+(W149-W112)*$C$77+W113*$I$77+(W215-W113)*$D$77+W114*$J$77+(W248-W114)*$E$77+W115*$K$77+(W281-W115)*$F$77</f>
        <v/>
      </c>
      <c r="X285" s="20">
        <f>X112*$H$77+(X149-X112)*$C$77+X113*$I$77+(X215-X113)*$D$77+X114*$J$77+(X248-X114)*$E$77+X115*$K$77+(X281-X115)*$F$77</f>
        <v/>
      </c>
      <c r="Y285" s="20">
        <f>Y112*$H$77+(Y149-Y112)*$C$77+Y113*$I$77+(Y215-Y113)*$D$77+Y114*$J$77+(Y248-Y114)*$E$77+Y115*$K$77+(Y281-Y115)*$F$77</f>
        <v/>
      </c>
      <c r="Z285" s="20">
        <f>Z112*$H$77+(Z149-Z112)*$C$77+Z113*$I$77+(Z215-Z113)*$D$77+Z114*$J$77+(Z248-Z114)*$E$77+Z115*$K$77+(Z281-Z115)*$F$77</f>
        <v/>
      </c>
      <c r="AA285" s="20">
        <f>AA112*$H$77+(AA149-AA112)*$C$77+AA113*$I$77+(AA215-AA113)*$D$77+AA114*$J$77+(AA248-AA114)*$E$77+AA115*$K$77+(AA281-AA115)*$F$77</f>
        <v/>
      </c>
      <c r="AB285" s="20">
        <f>AB112*$H$77+(AB149-AB112)*$C$77+AB113*$I$77+(AB215-AB113)*$D$77+AB114*$J$77+(AB248-AB114)*$E$77+AB115*$K$77+(AB281-AB115)*$F$77</f>
        <v/>
      </c>
      <c r="AC285" s="20">
        <f>AC112*$H$77+(AC149-AC112)*$C$77+AC113*$I$77+(AC215-AC113)*$D$77+AC114*$J$77+(AC248-AC114)*$E$77+AC115*$K$77+(AC281-AC115)*$F$77</f>
        <v/>
      </c>
      <c r="AD285" s="20">
        <f>AD112*$H$77+(AD149-AD112)*$C$77+AD113*$I$77+(AD215-AD113)*$D$77+AD114*$J$77+(AD248-AD114)*$E$77+AD115*$K$77+(AD281-AD115)*$F$77</f>
        <v/>
      </c>
      <c r="AE285" s="20">
        <f>AE112*$H$77+(AE149-AE112)*$C$77+AE113*$I$77+(AE215-AE113)*$D$77+AE114*$J$77+(AE248-AE114)*$E$77+AE115*$K$77+(AE281-AE115)*$F$77</f>
        <v/>
      </c>
      <c r="AF285" s="20">
        <f>AF112*$H$77+(AF149-AF112)*$C$77+AF113*$I$77+(AF215-AF113)*$D$77+AF114*$J$77+(AF248-AF114)*$E$77+AF115*$K$77+(AF281-AF115)*$F$77</f>
        <v/>
      </c>
    </row>
    <row r="286">
      <c r="A286" s="3" t="inlineStr">
        <is>
          <t>IVA sulle vendite</t>
        </is>
      </c>
      <c r="B286" s="4" t="inlineStr">
        <is>
          <t>€</t>
        </is>
      </c>
      <c r="C286" s="20">
        <f>C284-C285</f>
        <v/>
      </c>
      <c r="D286" s="20">
        <f>D284-D285</f>
        <v/>
      </c>
      <c r="E286" s="20">
        <f>E284-E285</f>
        <v/>
      </c>
      <c r="F286" s="20">
        <f>F284-F285</f>
        <v/>
      </c>
      <c r="G286" s="20">
        <f>G284-G285</f>
        <v/>
      </c>
      <c r="H286" s="20">
        <f>H284-H285</f>
        <v/>
      </c>
      <c r="I286" s="20">
        <f>I284-I285</f>
        <v/>
      </c>
      <c r="J286" s="20">
        <f>J284-J285</f>
        <v/>
      </c>
      <c r="K286" s="20">
        <f>K284-K285</f>
        <v/>
      </c>
      <c r="L286" s="20">
        <f>L284-L285</f>
        <v/>
      </c>
      <c r="M286" s="20">
        <f>M284-M285</f>
        <v/>
      </c>
      <c r="N286" s="20">
        <f>N284-N285</f>
        <v/>
      </c>
      <c r="O286" s="20">
        <f>O284-O285</f>
        <v/>
      </c>
      <c r="P286" s="20">
        <f>P284-P285</f>
        <v/>
      </c>
      <c r="Q286" s="20">
        <f>Q284-Q285</f>
        <v/>
      </c>
      <c r="R286" s="20">
        <f>R284-R285</f>
        <v/>
      </c>
      <c r="S286" s="20">
        <f>S284-S285</f>
        <v/>
      </c>
      <c r="T286" s="20">
        <f>T284-T285</f>
        <v/>
      </c>
      <c r="U286" s="20">
        <f>U284-U285</f>
        <v/>
      </c>
      <c r="V286" s="20">
        <f>V284-V285</f>
        <v/>
      </c>
      <c r="W286" s="20">
        <f>W284-W285</f>
        <v/>
      </c>
      <c r="X286" s="20">
        <f>X284-X285</f>
        <v/>
      </c>
      <c r="Y286" s="20">
        <f>Y284-Y285</f>
        <v/>
      </c>
      <c r="Z286" s="20">
        <f>Z284-Z285</f>
        <v/>
      </c>
      <c r="AA286" s="20">
        <f>AA284-AA285</f>
        <v/>
      </c>
      <c r="AB286" s="20">
        <f>AB284-AB285</f>
        <v/>
      </c>
      <c r="AC286" s="20">
        <f>AC284-AC285</f>
        <v/>
      </c>
      <c r="AD286" s="20">
        <f>AD284-AD285</f>
        <v/>
      </c>
      <c r="AE286" s="20">
        <f>AE284-AE285</f>
        <v/>
      </c>
      <c r="AF286" s="20">
        <f>AF284-AF285</f>
        <v/>
      </c>
    </row>
    <row r="287">
      <c r="A287" s="3" t="inlineStr">
        <is>
          <t>Rimborsi di garanzia pagati (lordi)</t>
        </is>
      </c>
      <c r="B287" s="4" t="inlineStr">
        <is>
          <t>€</t>
        </is>
      </c>
      <c r="C287" s="20">
        <f>C182*$H$76</f>
        <v/>
      </c>
      <c r="D287" s="20">
        <f>D182*$H$76</f>
        <v/>
      </c>
      <c r="E287" s="20">
        <f>E182*$H$76</f>
        <v/>
      </c>
      <c r="F287" s="20">
        <f>F182*$H$76</f>
        <v/>
      </c>
      <c r="G287" s="20">
        <f>G182*$H$76</f>
        <v/>
      </c>
      <c r="H287" s="20">
        <f>H182*$H$76</f>
        <v/>
      </c>
      <c r="I287" s="20">
        <f>I182*$H$76</f>
        <v/>
      </c>
      <c r="J287" s="20">
        <f>J182*$H$76</f>
        <v/>
      </c>
      <c r="K287" s="20">
        <f>K182*$H$76</f>
        <v/>
      </c>
      <c r="L287" s="20">
        <f>L182*$H$76</f>
        <v/>
      </c>
      <c r="M287" s="20">
        <f>M182*$H$76</f>
        <v/>
      </c>
      <c r="N287" s="20">
        <f>N182*$H$76</f>
        <v/>
      </c>
      <c r="O287" s="20">
        <f>O182*$H$76</f>
        <v/>
      </c>
      <c r="P287" s="20">
        <f>P182*$H$76</f>
        <v/>
      </c>
      <c r="Q287" s="20">
        <f>Q182*$H$76</f>
        <v/>
      </c>
      <c r="R287" s="20">
        <f>R182*$H$76</f>
        <v/>
      </c>
      <c r="S287" s="20">
        <f>S182*$H$76</f>
        <v/>
      </c>
      <c r="T287" s="20">
        <f>T182*$H$76</f>
        <v/>
      </c>
      <c r="U287" s="20">
        <f>U182*$H$76</f>
        <v/>
      </c>
      <c r="V287" s="20">
        <f>V182*$H$76</f>
        <v/>
      </c>
      <c r="W287" s="20">
        <f>W182*$H$76</f>
        <v/>
      </c>
      <c r="X287" s="20">
        <f>X182*$H$76</f>
        <v/>
      </c>
      <c r="Y287" s="20">
        <f>Y182*$H$76</f>
        <v/>
      </c>
      <c r="Z287" s="20">
        <f>Z182*$H$76</f>
        <v/>
      </c>
      <c r="AA287" s="20">
        <f>AA182*$H$76</f>
        <v/>
      </c>
      <c r="AB287" s="20">
        <f>AB182*$H$76</f>
        <v/>
      </c>
      <c r="AC287" s="20">
        <f>AC182*$H$76</f>
        <v/>
      </c>
      <c r="AD287" s="20">
        <f>AD182*$H$76</f>
        <v/>
      </c>
      <c r="AE287" s="20">
        <f>AE182*$H$76</f>
        <v/>
      </c>
      <c r="AF287" s="20">
        <f>AF182*$H$76</f>
        <v/>
      </c>
    </row>
    <row r="288">
      <c r="A288" s="3" t="inlineStr">
        <is>
          <t>IVA recuperata sui rimborsi</t>
        </is>
      </c>
      <c r="B288" s="4" t="inlineStr">
        <is>
          <t>€</t>
        </is>
      </c>
      <c r="C288" s="20">
        <f>C182*($H$76-$H$77)</f>
        <v/>
      </c>
      <c r="D288" s="20">
        <f>D182*($H$76-$H$77)</f>
        <v/>
      </c>
      <c r="E288" s="20">
        <f>E182*($H$76-$H$77)</f>
        <v/>
      </c>
      <c r="F288" s="20">
        <f>F182*($H$76-$H$77)</f>
        <v/>
      </c>
      <c r="G288" s="20">
        <f>G182*($H$76-$H$77)</f>
        <v/>
      </c>
      <c r="H288" s="20">
        <f>H182*($H$76-$H$77)</f>
        <v/>
      </c>
      <c r="I288" s="20">
        <f>I182*($H$76-$H$77)</f>
        <v/>
      </c>
      <c r="J288" s="20">
        <f>J182*($H$76-$H$77)</f>
        <v/>
      </c>
      <c r="K288" s="20">
        <f>K182*($H$76-$H$77)</f>
        <v/>
      </c>
      <c r="L288" s="20">
        <f>L182*($H$76-$H$77)</f>
        <v/>
      </c>
      <c r="M288" s="20">
        <f>M182*($H$76-$H$77)</f>
        <v/>
      </c>
      <c r="N288" s="20">
        <f>N182*($H$76-$H$77)</f>
        <v/>
      </c>
      <c r="O288" s="20">
        <f>O182*($H$76-$H$77)</f>
        <v/>
      </c>
      <c r="P288" s="20">
        <f>P182*($H$76-$H$77)</f>
        <v/>
      </c>
      <c r="Q288" s="20">
        <f>Q182*($H$76-$H$77)</f>
        <v/>
      </c>
      <c r="R288" s="20">
        <f>R182*($H$76-$H$77)</f>
        <v/>
      </c>
      <c r="S288" s="20">
        <f>S182*($H$76-$H$77)</f>
        <v/>
      </c>
      <c r="T288" s="20">
        <f>T182*($H$76-$H$77)</f>
        <v/>
      </c>
      <c r="U288" s="20">
        <f>U182*($H$76-$H$77)</f>
        <v/>
      </c>
      <c r="V288" s="20">
        <f>V182*($H$76-$H$77)</f>
        <v/>
      </c>
      <c r="W288" s="20">
        <f>W182*($H$76-$H$77)</f>
        <v/>
      </c>
      <c r="X288" s="20">
        <f>X182*($H$76-$H$77)</f>
        <v/>
      </c>
      <c r="Y288" s="20">
        <f>Y182*($H$76-$H$77)</f>
        <v/>
      </c>
      <c r="Z288" s="20">
        <f>Z182*($H$76-$H$77)</f>
        <v/>
      </c>
      <c r="AA288" s="20">
        <f>AA182*($H$76-$H$77)</f>
        <v/>
      </c>
      <c r="AB288" s="20">
        <f>AB182*($H$76-$H$77)</f>
        <v/>
      </c>
      <c r="AC288" s="20">
        <f>AC182*($H$76-$H$77)</f>
        <v/>
      </c>
      <c r="AD288" s="20">
        <f>AD182*($H$76-$H$77)</f>
        <v/>
      </c>
      <c r="AE288" s="20">
        <f>AE182*($H$76-$H$77)</f>
        <v/>
      </c>
      <c r="AF288" s="20">
        <f>AF182*($H$76-$H$77)</f>
        <v/>
      </c>
    </row>
    <row r="289">
      <c r="A289" s="3" t="inlineStr">
        <is>
          <t>Logistica (netto IVA)</t>
        </is>
      </c>
      <c r="B289" s="4" t="inlineStr">
        <is>
          <t>€</t>
        </is>
      </c>
      <c r="C289" s="20">
        <f>C112*$H$79+(C149-C112)*$C$79+C113*$I$79+(C215-C113)*$D$79+C114*$J$79+(C248-C114)*$E$79+C115*$K$79+(C281-C115)*$F$79</f>
        <v/>
      </c>
      <c r="D289" s="20">
        <f>D112*$H$79+(D149-D112)*$C$79+D113*$I$79+(D215-D113)*$D$79+D114*$J$79+(D248-D114)*$E$79+D115*$K$79+(D281-D115)*$F$79</f>
        <v/>
      </c>
      <c r="E289" s="20">
        <f>E112*$H$79+(E149-E112)*$C$79+E113*$I$79+(E215-E113)*$D$79+E114*$J$79+(E248-E114)*$E$79+E115*$K$79+(E281-E115)*$F$79</f>
        <v/>
      </c>
      <c r="F289" s="20">
        <f>F112*$H$79+(F149-F112)*$C$79+F113*$I$79+(F215-F113)*$D$79+F114*$J$79+(F248-F114)*$E$79+F115*$K$79+(F281-F115)*$F$79</f>
        <v/>
      </c>
      <c r="G289" s="20">
        <f>G112*$H$79+(G149-G112)*$C$79+G113*$I$79+(G215-G113)*$D$79+G114*$J$79+(G248-G114)*$E$79+G115*$K$79+(G281-G115)*$F$79</f>
        <v/>
      </c>
      <c r="H289" s="20">
        <f>H112*$H$79+(H149-H112)*$C$79+H113*$I$79+(H215-H113)*$D$79+H114*$J$79+(H248-H114)*$E$79+H115*$K$79+(H281-H115)*$F$79</f>
        <v/>
      </c>
      <c r="I289" s="20">
        <f>I112*$H$79+(I149-I112)*$C$79+I113*$I$79+(I215-I113)*$D$79+I114*$J$79+(I248-I114)*$E$79+I115*$K$79+(I281-I115)*$F$79</f>
        <v/>
      </c>
      <c r="J289" s="20">
        <f>J112*$H$79+(J149-J112)*$C$79+J113*$I$79+(J215-J113)*$D$79+J114*$J$79+(J248-J114)*$E$79+J115*$K$79+(J281-J115)*$F$79</f>
        <v/>
      </c>
      <c r="K289" s="20">
        <f>K112*$H$79+(K149-K112)*$C$79+K113*$I$79+(K215-K113)*$D$79+K114*$J$79+(K248-K114)*$E$79+K115*$K$79+(K281-K115)*$F$79</f>
        <v/>
      </c>
      <c r="L289" s="20">
        <f>L112*$H$79+(L149-L112)*$C$79+L113*$I$79+(L215-L113)*$D$79+L114*$J$79+(L248-L114)*$E$79+L115*$K$79+(L281-L115)*$F$79</f>
        <v/>
      </c>
      <c r="M289" s="20">
        <f>M112*$H$79+(M149-M112)*$C$79+M113*$I$79+(M215-M113)*$D$79+M114*$J$79+(M248-M114)*$E$79+M115*$K$79+(M281-M115)*$F$79</f>
        <v/>
      </c>
      <c r="N289" s="20">
        <f>N112*$H$79+(N149-N112)*$C$79+N113*$I$79+(N215-N113)*$D$79+N114*$J$79+(N248-N114)*$E$79+N115*$K$79+(N281-N115)*$F$79</f>
        <v/>
      </c>
      <c r="O289" s="20">
        <f>O112*$H$79+(O149-O112)*$C$79+O113*$I$79+(O215-O113)*$D$79+O114*$J$79+(O248-O114)*$E$79+O115*$K$79+(O281-O115)*$F$79</f>
        <v/>
      </c>
      <c r="P289" s="20">
        <f>P112*$H$79+(P149-P112)*$C$79+P113*$I$79+(P215-P113)*$D$79+P114*$J$79+(P248-P114)*$E$79+P115*$K$79+(P281-P115)*$F$79</f>
        <v/>
      </c>
      <c r="Q289" s="20">
        <f>Q112*$H$79+(Q149-Q112)*$C$79+Q113*$I$79+(Q215-Q113)*$D$79+Q114*$J$79+(Q248-Q114)*$E$79+Q115*$K$79+(Q281-Q115)*$F$79</f>
        <v/>
      </c>
      <c r="R289" s="20">
        <f>R112*$H$79+(R149-R112)*$C$79+R113*$I$79+(R215-R113)*$D$79+R114*$J$79+(R248-R114)*$E$79+R115*$K$79+(R281-R115)*$F$79</f>
        <v/>
      </c>
      <c r="S289" s="20">
        <f>S112*$H$79+(S149-S112)*$C$79+S113*$I$79+(S215-S113)*$D$79+S114*$J$79+(S248-S114)*$E$79+S115*$K$79+(S281-S115)*$F$79</f>
        <v/>
      </c>
      <c r="T289" s="20">
        <f>T112*$H$79+(T149-T112)*$C$79+T113*$I$79+(T215-T113)*$D$79+T114*$J$79+(T248-T114)*$E$79+T115*$K$79+(T281-T115)*$F$79</f>
        <v/>
      </c>
      <c r="U289" s="20">
        <f>U112*$H$79+(U149-U112)*$C$79+U113*$I$79+(U215-U113)*$D$79+U114*$J$79+(U248-U114)*$E$79+U115*$K$79+(U281-U115)*$F$79</f>
        <v/>
      </c>
      <c r="V289" s="20">
        <f>V112*$H$79+(V149-V112)*$C$79+V113*$I$79+(V215-V113)*$D$79+V114*$J$79+(V248-V114)*$E$79+V115*$K$79+(V281-V115)*$F$79</f>
        <v/>
      </c>
      <c r="W289" s="20">
        <f>W112*$H$79+(W149-W112)*$C$79+W113*$I$79+(W215-W113)*$D$79+W114*$J$79+(W248-W114)*$E$79+W115*$K$79+(W281-W115)*$F$79</f>
        <v/>
      </c>
      <c r="X289" s="20">
        <f>X112*$H$79+(X149-X112)*$C$79+X113*$I$79+(X215-X113)*$D$79+X114*$J$79+(X248-X114)*$E$79+X115*$K$79+(X281-X115)*$F$79</f>
        <v/>
      </c>
      <c r="Y289" s="20">
        <f>Y112*$H$79+(Y149-Y112)*$C$79+Y113*$I$79+(Y215-Y113)*$D$79+Y114*$J$79+(Y248-Y114)*$E$79+Y115*$K$79+(Y281-Y115)*$F$79</f>
        <v/>
      </c>
      <c r="Z289" s="20">
        <f>Z112*$H$79+(Z149-Z112)*$C$79+Z113*$I$79+(Z215-Z113)*$D$79+Z114*$J$79+(Z248-Z114)*$E$79+Z115*$K$79+(Z281-Z115)*$F$79</f>
        <v/>
      </c>
      <c r="AA289" s="20">
        <f>AA112*$H$79+(AA149-AA112)*$C$79+AA113*$I$79+(AA215-AA113)*$D$79+AA114*$J$79+(AA248-AA114)*$E$79+AA115*$K$79+(AA281-AA115)*$F$79</f>
        <v/>
      </c>
      <c r="AB289" s="20">
        <f>AB112*$H$79+(AB149-AB112)*$C$79+AB113*$I$79+(AB215-AB113)*$D$79+AB114*$J$79+(AB248-AB114)*$E$79+AB115*$K$79+(AB281-AB115)*$F$79</f>
        <v/>
      </c>
      <c r="AC289" s="20">
        <f>AC112*$H$79+(AC149-AC112)*$C$79+AC113*$I$79+(AC215-AC113)*$D$79+AC114*$J$79+(AC248-AC114)*$E$79+AC115*$K$79+(AC281-AC115)*$F$79</f>
        <v/>
      </c>
      <c r="AD289" s="20">
        <f>AD112*$H$79+(AD149-AD112)*$C$79+AD113*$I$79+(AD215-AD113)*$D$79+AD114*$J$79+(AD248-AD114)*$E$79+AD115*$K$79+(AD281-AD115)*$F$79</f>
        <v/>
      </c>
      <c r="AE289" s="20">
        <f>AE112*$H$79+(AE149-AE112)*$C$79+AE113*$I$79+(AE215-AE113)*$D$79+AE114*$J$79+(AE248-AE114)*$E$79+AE115*$K$79+(AE281-AE115)*$F$79</f>
        <v/>
      </c>
      <c r="AF289" s="20">
        <f>AF112*$H$79+(AF149-AF112)*$C$79+AF113*$I$79+(AF215-AF113)*$D$79+AF114*$J$79+(AF248-AF114)*$E$79+AF115*$K$79+(AF281-AF115)*$F$79</f>
        <v/>
      </c>
    </row>
    <row r="290">
      <c r="A290" s="3" t="inlineStr">
        <is>
          <t>Commissioni di incasso</t>
        </is>
      </c>
      <c r="B290" s="4" t="inlineStr">
        <is>
          <t>€</t>
        </is>
      </c>
      <c r="C290" s="20">
        <f>C112*$H$80+(C149-C112)*$C$80+C113*$I$80+(C215-C113)*$D$80+C114*$J$80+(C248-C114)*$E$80+C115*$K$80+(C281-C115)*$F$80</f>
        <v/>
      </c>
      <c r="D290" s="20">
        <f>D112*$H$80+(D149-D112)*$C$80+D113*$I$80+(D215-D113)*$D$80+D114*$J$80+(D248-D114)*$E$80+D115*$K$80+(D281-D115)*$F$80</f>
        <v/>
      </c>
      <c r="E290" s="20">
        <f>E112*$H$80+(E149-E112)*$C$80+E113*$I$80+(E215-E113)*$D$80+E114*$J$80+(E248-E114)*$E$80+E115*$K$80+(E281-E115)*$F$80</f>
        <v/>
      </c>
      <c r="F290" s="20">
        <f>F112*$H$80+(F149-F112)*$C$80+F113*$I$80+(F215-F113)*$D$80+F114*$J$80+(F248-F114)*$E$80+F115*$K$80+(F281-F115)*$F$80</f>
        <v/>
      </c>
      <c r="G290" s="20">
        <f>G112*$H$80+(G149-G112)*$C$80+G113*$I$80+(G215-G113)*$D$80+G114*$J$80+(G248-G114)*$E$80+G115*$K$80+(G281-G115)*$F$80</f>
        <v/>
      </c>
      <c r="H290" s="20">
        <f>H112*$H$80+(H149-H112)*$C$80+H113*$I$80+(H215-H113)*$D$80+H114*$J$80+(H248-H114)*$E$80+H115*$K$80+(H281-H115)*$F$80</f>
        <v/>
      </c>
      <c r="I290" s="20">
        <f>I112*$H$80+(I149-I112)*$C$80+I113*$I$80+(I215-I113)*$D$80+I114*$J$80+(I248-I114)*$E$80+I115*$K$80+(I281-I115)*$F$80</f>
        <v/>
      </c>
      <c r="J290" s="20">
        <f>J112*$H$80+(J149-J112)*$C$80+J113*$I$80+(J215-J113)*$D$80+J114*$J$80+(J248-J114)*$E$80+J115*$K$80+(J281-J115)*$F$80</f>
        <v/>
      </c>
      <c r="K290" s="20">
        <f>K112*$H$80+(K149-K112)*$C$80+K113*$I$80+(K215-K113)*$D$80+K114*$J$80+(K248-K114)*$E$80+K115*$K$80+(K281-K115)*$F$80</f>
        <v/>
      </c>
      <c r="L290" s="20">
        <f>L112*$H$80+(L149-L112)*$C$80+L113*$I$80+(L215-L113)*$D$80+L114*$J$80+(L248-L114)*$E$80+L115*$K$80+(L281-L115)*$F$80</f>
        <v/>
      </c>
      <c r="M290" s="20">
        <f>M112*$H$80+(M149-M112)*$C$80+M113*$I$80+(M215-M113)*$D$80+M114*$J$80+(M248-M114)*$E$80+M115*$K$80+(M281-M115)*$F$80</f>
        <v/>
      </c>
      <c r="N290" s="20">
        <f>N112*$H$80+(N149-N112)*$C$80+N113*$I$80+(N215-N113)*$D$80+N114*$J$80+(N248-N114)*$E$80+N115*$K$80+(N281-N115)*$F$80</f>
        <v/>
      </c>
      <c r="O290" s="20">
        <f>O112*$H$80+(O149-O112)*$C$80+O113*$I$80+(O215-O113)*$D$80+O114*$J$80+(O248-O114)*$E$80+O115*$K$80+(O281-O115)*$F$80</f>
        <v/>
      </c>
      <c r="P290" s="20">
        <f>P112*$H$80+(P149-P112)*$C$80+P113*$I$80+(P215-P113)*$D$80+P114*$J$80+(P248-P114)*$E$80+P115*$K$80+(P281-P115)*$F$80</f>
        <v/>
      </c>
      <c r="Q290" s="20">
        <f>Q112*$H$80+(Q149-Q112)*$C$80+Q113*$I$80+(Q215-Q113)*$D$80+Q114*$J$80+(Q248-Q114)*$E$80+Q115*$K$80+(Q281-Q115)*$F$80</f>
        <v/>
      </c>
      <c r="R290" s="20">
        <f>R112*$H$80+(R149-R112)*$C$80+R113*$I$80+(R215-R113)*$D$80+R114*$J$80+(R248-R114)*$E$80+R115*$K$80+(R281-R115)*$F$80</f>
        <v/>
      </c>
      <c r="S290" s="20">
        <f>S112*$H$80+(S149-S112)*$C$80+S113*$I$80+(S215-S113)*$D$80+S114*$J$80+(S248-S114)*$E$80+S115*$K$80+(S281-S115)*$F$80</f>
        <v/>
      </c>
      <c r="T290" s="20">
        <f>T112*$H$80+(T149-T112)*$C$80+T113*$I$80+(T215-T113)*$D$80+T114*$J$80+(T248-T114)*$E$80+T115*$K$80+(T281-T115)*$F$80</f>
        <v/>
      </c>
      <c r="U290" s="20">
        <f>U112*$H$80+(U149-U112)*$C$80+U113*$I$80+(U215-U113)*$D$80+U114*$J$80+(U248-U114)*$E$80+U115*$K$80+(U281-U115)*$F$80</f>
        <v/>
      </c>
      <c r="V290" s="20">
        <f>V112*$H$80+(V149-V112)*$C$80+V113*$I$80+(V215-V113)*$D$80+V114*$J$80+(V248-V114)*$E$80+V115*$K$80+(V281-V115)*$F$80</f>
        <v/>
      </c>
      <c r="W290" s="20">
        <f>W112*$H$80+(W149-W112)*$C$80+W113*$I$80+(W215-W113)*$D$80+W114*$J$80+(W248-W114)*$E$80+W115*$K$80+(W281-W115)*$F$80</f>
        <v/>
      </c>
      <c r="X290" s="20">
        <f>X112*$H$80+(X149-X112)*$C$80+X113*$I$80+(X215-X113)*$D$80+X114*$J$80+(X248-X114)*$E$80+X115*$K$80+(X281-X115)*$F$80</f>
        <v/>
      </c>
      <c r="Y290" s="20">
        <f>Y112*$H$80+(Y149-Y112)*$C$80+Y113*$I$80+(Y215-Y113)*$D$80+Y114*$J$80+(Y248-Y114)*$E$80+Y115*$K$80+(Y281-Y115)*$F$80</f>
        <v/>
      </c>
      <c r="Z290" s="20">
        <f>Z112*$H$80+(Z149-Z112)*$C$80+Z113*$I$80+(Z215-Z113)*$D$80+Z114*$J$80+(Z248-Z114)*$E$80+Z115*$K$80+(Z281-Z115)*$F$80</f>
        <v/>
      </c>
      <c r="AA290" s="20">
        <f>AA112*$H$80+(AA149-AA112)*$C$80+AA113*$I$80+(AA215-AA113)*$D$80+AA114*$J$80+(AA248-AA114)*$E$80+AA115*$K$80+(AA281-AA115)*$F$80</f>
        <v/>
      </c>
      <c r="AB290" s="20">
        <f>AB112*$H$80+(AB149-AB112)*$C$80+AB113*$I$80+(AB215-AB113)*$D$80+AB114*$J$80+(AB248-AB114)*$E$80+AB115*$K$80+(AB281-AB115)*$F$80</f>
        <v/>
      </c>
      <c r="AC290" s="20">
        <f>AC112*$H$80+(AC149-AC112)*$C$80+AC113*$I$80+(AC215-AC113)*$D$80+AC114*$J$80+(AC248-AC114)*$E$80+AC115*$K$80+(AC281-AC115)*$F$80</f>
        <v/>
      </c>
      <c r="AD290" s="20">
        <f>AD112*$H$80+(AD149-AD112)*$C$80+AD113*$I$80+(AD215-AD113)*$D$80+AD114*$J$80+(AD248-AD114)*$E$80+AD115*$K$80+(AD281-AD115)*$F$80</f>
        <v/>
      </c>
      <c r="AE290" s="20">
        <f>AE112*$H$80+(AE149-AE112)*$C$80+AE113*$I$80+(AE215-AE113)*$D$80+AE114*$J$80+(AE248-AE114)*$E$80+AE115*$K$80+(AE281-AE115)*$F$80</f>
        <v/>
      </c>
      <c r="AF290" s="20">
        <f>AF112*$H$80+(AF149-AF112)*$C$80+AF113*$I$80+(AF215-AF113)*$D$80+AF114*$J$80+(AF248-AF114)*$E$80+AF115*$K$80+(AF281-AF115)*$F$80</f>
        <v/>
      </c>
    </row>
    <row r="291">
      <c r="A291" s="3" t="inlineStr">
        <is>
          <t>Assistenza e resi ordinari</t>
        </is>
      </c>
      <c r="B291" s="4" t="inlineStr">
        <is>
          <t>€</t>
        </is>
      </c>
      <c r="C291" s="20">
        <f>C112*$H$81+(C149-C112)*$C$81+C113*$I$81+(C215-C113)*$D$81+C114*$J$81+(C248-C114)*$E$81+C115*$K$81+(C281-C115)*$F$81</f>
        <v/>
      </c>
      <c r="D291" s="20">
        <f>D112*$H$81+(D149-D112)*$C$81+D113*$I$81+(D215-D113)*$D$81+D114*$J$81+(D248-D114)*$E$81+D115*$K$81+(D281-D115)*$F$81</f>
        <v/>
      </c>
      <c r="E291" s="20">
        <f>E112*$H$81+(E149-E112)*$C$81+E113*$I$81+(E215-E113)*$D$81+E114*$J$81+(E248-E114)*$E$81+E115*$K$81+(E281-E115)*$F$81</f>
        <v/>
      </c>
      <c r="F291" s="20">
        <f>F112*$H$81+(F149-F112)*$C$81+F113*$I$81+(F215-F113)*$D$81+F114*$J$81+(F248-F114)*$E$81+F115*$K$81+(F281-F115)*$F$81</f>
        <v/>
      </c>
      <c r="G291" s="20">
        <f>G112*$H$81+(G149-G112)*$C$81+G113*$I$81+(G215-G113)*$D$81+G114*$J$81+(G248-G114)*$E$81+G115*$K$81+(G281-G115)*$F$81</f>
        <v/>
      </c>
      <c r="H291" s="20">
        <f>H112*$H$81+(H149-H112)*$C$81+H113*$I$81+(H215-H113)*$D$81+H114*$J$81+(H248-H114)*$E$81+H115*$K$81+(H281-H115)*$F$81</f>
        <v/>
      </c>
      <c r="I291" s="20">
        <f>I112*$H$81+(I149-I112)*$C$81+I113*$I$81+(I215-I113)*$D$81+I114*$J$81+(I248-I114)*$E$81+I115*$K$81+(I281-I115)*$F$81</f>
        <v/>
      </c>
      <c r="J291" s="20">
        <f>J112*$H$81+(J149-J112)*$C$81+J113*$I$81+(J215-J113)*$D$81+J114*$J$81+(J248-J114)*$E$81+J115*$K$81+(J281-J115)*$F$81</f>
        <v/>
      </c>
      <c r="K291" s="20">
        <f>K112*$H$81+(K149-K112)*$C$81+K113*$I$81+(K215-K113)*$D$81+K114*$J$81+(K248-K114)*$E$81+K115*$K$81+(K281-K115)*$F$81</f>
        <v/>
      </c>
      <c r="L291" s="20">
        <f>L112*$H$81+(L149-L112)*$C$81+L113*$I$81+(L215-L113)*$D$81+L114*$J$81+(L248-L114)*$E$81+L115*$K$81+(L281-L115)*$F$81</f>
        <v/>
      </c>
      <c r="M291" s="20">
        <f>M112*$H$81+(M149-M112)*$C$81+M113*$I$81+(M215-M113)*$D$81+M114*$J$81+(M248-M114)*$E$81+M115*$K$81+(M281-M115)*$F$81</f>
        <v/>
      </c>
      <c r="N291" s="20">
        <f>N112*$H$81+(N149-N112)*$C$81+N113*$I$81+(N215-N113)*$D$81+N114*$J$81+(N248-N114)*$E$81+N115*$K$81+(N281-N115)*$F$81</f>
        <v/>
      </c>
      <c r="O291" s="20">
        <f>O112*$H$81+(O149-O112)*$C$81+O113*$I$81+(O215-O113)*$D$81+O114*$J$81+(O248-O114)*$E$81+O115*$K$81+(O281-O115)*$F$81</f>
        <v/>
      </c>
      <c r="P291" s="20">
        <f>P112*$H$81+(P149-P112)*$C$81+P113*$I$81+(P215-P113)*$D$81+P114*$J$81+(P248-P114)*$E$81+P115*$K$81+(P281-P115)*$F$81</f>
        <v/>
      </c>
      <c r="Q291" s="20">
        <f>Q112*$H$81+(Q149-Q112)*$C$81+Q113*$I$81+(Q215-Q113)*$D$81+Q114*$J$81+(Q248-Q114)*$E$81+Q115*$K$81+(Q281-Q115)*$F$81</f>
        <v/>
      </c>
      <c r="R291" s="20">
        <f>R112*$H$81+(R149-R112)*$C$81+R113*$I$81+(R215-R113)*$D$81+R114*$J$81+(R248-R114)*$E$81+R115*$K$81+(R281-R115)*$F$81</f>
        <v/>
      </c>
      <c r="S291" s="20">
        <f>S112*$H$81+(S149-S112)*$C$81+S113*$I$81+(S215-S113)*$D$81+S114*$J$81+(S248-S114)*$E$81+S115*$K$81+(S281-S115)*$F$81</f>
        <v/>
      </c>
      <c r="T291" s="20">
        <f>T112*$H$81+(T149-T112)*$C$81+T113*$I$81+(T215-T113)*$D$81+T114*$J$81+(T248-T114)*$E$81+T115*$K$81+(T281-T115)*$F$81</f>
        <v/>
      </c>
      <c r="U291" s="20">
        <f>U112*$H$81+(U149-U112)*$C$81+U113*$I$81+(U215-U113)*$D$81+U114*$J$81+(U248-U114)*$E$81+U115*$K$81+(U281-U115)*$F$81</f>
        <v/>
      </c>
      <c r="V291" s="20">
        <f>V112*$H$81+(V149-V112)*$C$81+V113*$I$81+(V215-V113)*$D$81+V114*$J$81+(V248-V114)*$E$81+V115*$K$81+(V281-V115)*$F$81</f>
        <v/>
      </c>
      <c r="W291" s="20">
        <f>W112*$H$81+(W149-W112)*$C$81+W113*$I$81+(W215-W113)*$D$81+W114*$J$81+(W248-W114)*$E$81+W115*$K$81+(W281-W115)*$F$81</f>
        <v/>
      </c>
      <c r="X291" s="20">
        <f>X112*$H$81+(X149-X112)*$C$81+X113*$I$81+(X215-X113)*$D$81+X114*$J$81+(X248-X114)*$E$81+X115*$K$81+(X281-X115)*$F$81</f>
        <v/>
      </c>
      <c r="Y291" s="20">
        <f>Y112*$H$81+(Y149-Y112)*$C$81+Y113*$I$81+(Y215-Y113)*$D$81+Y114*$J$81+(Y248-Y114)*$E$81+Y115*$K$81+(Y281-Y115)*$F$81</f>
        <v/>
      </c>
      <c r="Z291" s="20">
        <f>Z112*$H$81+(Z149-Z112)*$C$81+Z113*$I$81+(Z215-Z113)*$D$81+Z114*$J$81+(Z248-Z114)*$E$81+Z115*$K$81+(Z281-Z115)*$F$81</f>
        <v/>
      </c>
      <c r="AA291" s="20">
        <f>AA112*$H$81+(AA149-AA112)*$C$81+AA113*$I$81+(AA215-AA113)*$D$81+AA114*$J$81+(AA248-AA114)*$E$81+AA115*$K$81+(AA281-AA115)*$F$81</f>
        <v/>
      </c>
      <c r="AB291" s="20">
        <f>AB112*$H$81+(AB149-AB112)*$C$81+AB113*$I$81+(AB215-AB113)*$D$81+AB114*$J$81+(AB248-AB114)*$E$81+AB115*$K$81+(AB281-AB115)*$F$81</f>
        <v/>
      </c>
      <c r="AC291" s="20">
        <f>AC112*$H$81+(AC149-AC112)*$C$81+AC113*$I$81+(AC215-AC113)*$D$81+AC114*$J$81+(AC248-AC114)*$E$81+AC115*$K$81+(AC281-AC115)*$F$81</f>
        <v/>
      </c>
      <c r="AD291" s="20">
        <f>AD112*$H$81+(AD149-AD112)*$C$81+AD113*$I$81+(AD215-AD113)*$D$81+AD114*$J$81+(AD248-AD114)*$E$81+AD115*$K$81+(AD281-AD115)*$F$81</f>
        <v/>
      </c>
      <c r="AE291" s="20">
        <f>AE112*$H$81+(AE149-AE112)*$C$81+AE113*$I$81+(AE215-AE113)*$D$81+AE114*$J$81+(AE248-AE114)*$E$81+AE115*$K$81+(AE281-AE115)*$F$81</f>
        <v/>
      </c>
      <c r="AF291" s="20">
        <f>AF112*$H$81+(AF149-AF112)*$C$81+AF113*$I$81+(AF215-AF113)*$D$81+AF114*$J$81+(AF248-AF114)*$E$81+AF115*$K$81+(AF281-AF115)*$F$81</f>
        <v/>
      </c>
    </row>
    <row r="292">
      <c r="A292" s="3" t="inlineStr">
        <is>
          <t>Costo del prodotto venduto (competenza)</t>
        </is>
      </c>
      <c r="B292" s="4" t="inlineStr">
        <is>
          <t>€</t>
        </is>
      </c>
      <c r="C292" s="20">
        <f>C112*$H$78+(C149-C112)*$C$78+C113*$I$78+(C215-C113)*$D$78+C114*$J$78+(C248-C114)*$E$78+C115*$K$78+(C281-C115)*$F$78</f>
        <v/>
      </c>
      <c r="D292" s="20">
        <f>D112*$H$78+(D149-D112)*$C$78+D113*$I$78+(D215-D113)*$D$78+D114*$J$78+(D248-D114)*$E$78+D115*$K$78+(D281-D115)*$F$78</f>
        <v/>
      </c>
      <c r="E292" s="20">
        <f>E112*$H$78+(E149-E112)*$C$78+E113*$I$78+(E215-E113)*$D$78+E114*$J$78+(E248-E114)*$E$78+E115*$K$78+(E281-E115)*$F$78</f>
        <v/>
      </c>
      <c r="F292" s="20">
        <f>F112*$H$78+(F149-F112)*$C$78+F113*$I$78+(F215-F113)*$D$78+F114*$J$78+(F248-F114)*$E$78+F115*$K$78+(F281-F115)*$F$78</f>
        <v/>
      </c>
      <c r="G292" s="20">
        <f>G112*$H$78+(G149-G112)*$C$78+G113*$I$78+(G215-G113)*$D$78+G114*$J$78+(G248-G114)*$E$78+G115*$K$78+(G281-G115)*$F$78</f>
        <v/>
      </c>
      <c r="H292" s="20">
        <f>H112*$H$78+(H149-H112)*$C$78+H113*$I$78+(H215-H113)*$D$78+H114*$J$78+(H248-H114)*$E$78+H115*$K$78+(H281-H115)*$F$78</f>
        <v/>
      </c>
      <c r="I292" s="20">
        <f>I112*$H$78+(I149-I112)*$C$78+I113*$I$78+(I215-I113)*$D$78+I114*$J$78+(I248-I114)*$E$78+I115*$K$78+(I281-I115)*$F$78</f>
        <v/>
      </c>
      <c r="J292" s="20">
        <f>J112*$H$78+(J149-J112)*$C$78+J113*$I$78+(J215-J113)*$D$78+J114*$J$78+(J248-J114)*$E$78+J115*$K$78+(J281-J115)*$F$78</f>
        <v/>
      </c>
      <c r="K292" s="20">
        <f>K112*$H$78+(K149-K112)*$C$78+K113*$I$78+(K215-K113)*$D$78+K114*$J$78+(K248-K114)*$E$78+K115*$K$78+(K281-K115)*$F$78</f>
        <v/>
      </c>
      <c r="L292" s="20">
        <f>L112*$H$78+(L149-L112)*$C$78+L113*$I$78+(L215-L113)*$D$78+L114*$J$78+(L248-L114)*$E$78+L115*$K$78+(L281-L115)*$F$78</f>
        <v/>
      </c>
      <c r="M292" s="20">
        <f>M112*$H$78+(M149-M112)*$C$78+M113*$I$78+(M215-M113)*$D$78+M114*$J$78+(M248-M114)*$E$78+M115*$K$78+(M281-M115)*$F$78</f>
        <v/>
      </c>
      <c r="N292" s="20">
        <f>N112*$H$78+(N149-N112)*$C$78+N113*$I$78+(N215-N113)*$D$78+N114*$J$78+(N248-N114)*$E$78+N115*$K$78+(N281-N115)*$F$78</f>
        <v/>
      </c>
      <c r="O292" s="20">
        <f>O112*$H$78+(O149-O112)*$C$78+O113*$I$78+(O215-O113)*$D$78+O114*$J$78+(O248-O114)*$E$78+O115*$K$78+(O281-O115)*$F$78</f>
        <v/>
      </c>
      <c r="P292" s="20">
        <f>P112*$H$78+(P149-P112)*$C$78+P113*$I$78+(P215-P113)*$D$78+P114*$J$78+(P248-P114)*$E$78+P115*$K$78+(P281-P115)*$F$78</f>
        <v/>
      </c>
      <c r="Q292" s="20">
        <f>Q112*$H$78+(Q149-Q112)*$C$78+Q113*$I$78+(Q215-Q113)*$D$78+Q114*$J$78+(Q248-Q114)*$E$78+Q115*$K$78+(Q281-Q115)*$F$78</f>
        <v/>
      </c>
      <c r="R292" s="20">
        <f>R112*$H$78+(R149-R112)*$C$78+R113*$I$78+(R215-R113)*$D$78+R114*$J$78+(R248-R114)*$E$78+R115*$K$78+(R281-R115)*$F$78</f>
        <v/>
      </c>
      <c r="S292" s="20">
        <f>S112*$H$78+(S149-S112)*$C$78+S113*$I$78+(S215-S113)*$D$78+S114*$J$78+(S248-S114)*$E$78+S115*$K$78+(S281-S115)*$F$78</f>
        <v/>
      </c>
      <c r="T292" s="20">
        <f>T112*$H$78+(T149-T112)*$C$78+T113*$I$78+(T215-T113)*$D$78+T114*$J$78+(T248-T114)*$E$78+T115*$K$78+(T281-T115)*$F$78</f>
        <v/>
      </c>
      <c r="U292" s="20">
        <f>U112*$H$78+(U149-U112)*$C$78+U113*$I$78+(U215-U113)*$D$78+U114*$J$78+(U248-U114)*$E$78+U115*$K$78+(U281-U115)*$F$78</f>
        <v/>
      </c>
      <c r="V292" s="20">
        <f>V112*$H$78+(V149-V112)*$C$78+V113*$I$78+(V215-V113)*$D$78+V114*$J$78+(V248-V114)*$E$78+V115*$K$78+(V281-V115)*$F$78</f>
        <v/>
      </c>
      <c r="W292" s="20">
        <f>W112*$H$78+(W149-W112)*$C$78+W113*$I$78+(W215-W113)*$D$78+W114*$J$78+(W248-W114)*$E$78+W115*$K$78+(W281-W115)*$F$78</f>
        <v/>
      </c>
      <c r="X292" s="20">
        <f>X112*$H$78+(X149-X112)*$C$78+X113*$I$78+(X215-X113)*$D$78+X114*$J$78+(X248-X114)*$E$78+X115*$K$78+(X281-X115)*$F$78</f>
        <v/>
      </c>
      <c r="Y292" s="20">
        <f>Y112*$H$78+(Y149-Y112)*$C$78+Y113*$I$78+(Y215-Y113)*$D$78+Y114*$J$78+(Y248-Y114)*$E$78+Y115*$K$78+(Y281-Y115)*$F$78</f>
        <v/>
      </c>
      <c r="Z292" s="20">
        <f>Z112*$H$78+(Z149-Z112)*$C$78+Z113*$I$78+(Z215-Z113)*$D$78+Z114*$J$78+(Z248-Z114)*$E$78+Z115*$K$78+(Z281-Z115)*$F$78</f>
        <v/>
      </c>
      <c r="AA292" s="20">
        <f>AA112*$H$78+(AA149-AA112)*$C$78+AA113*$I$78+(AA215-AA113)*$D$78+AA114*$J$78+(AA248-AA114)*$E$78+AA115*$K$78+(AA281-AA115)*$F$78</f>
        <v/>
      </c>
      <c r="AB292" s="20">
        <f>AB112*$H$78+(AB149-AB112)*$C$78+AB113*$I$78+(AB215-AB113)*$D$78+AB114*$J$78+(AB248-AB114)*$E$78+AB115*$K$78+(AB281-AB115)*$F$78</f>
        <v/>
      </c>
      <c r="AC292" s="20">
        <f>AC112*$H$78+(AC149-AC112)*$C$78+AC113*$I$78+(AC215-AC113)*$D$78+AC114*$J$78+(AC248-AC114)*$E$78+AC115*$K$78+(AC281-AC115)*$F$78</f>
        <v/>
      </c>
      <c r="AD292" s="20">
        <f>AD112*$H$78+(AD149-AD112)*$C$78+AD113*$I$78+(AD215-AD113)*$D$78+AD114*$J$78+(AD248-AD114)*$E$78+AD115*$K$78+(AD281-AD115)*$F$78</f>
        <v/>
      </c>
      <c r="AE292" s="20">
        <f>AE112*$H$78+(AE149-AE112)*$C$78+AE113*$I$78+(AE215-AE113)*$D$78+AE114*$J$78+(AE248-AE114)*$E$78+AE115*$K$78+(AE281-AE115)*$F$78</f>
        <v/>
      </c>
      <c r="AF292" s="20">
        <f>AF112*$H$78+(AF149-AF112)*$C$78+AF113*$I$78+(AF215-AF113)*$D$78+AF114*$J$78+(AF248-AF114)*$E$78+AF115*$K$78+(AF281-AF115)*$F$78</f>
        <v/>
      </c>
    </row>
    <row r="293">
      <c r="A293" s="3" t="inlineStr">
        <is>
          <t>Flaconi spediti con gli ordini</t>
        </is>
      </c>
      <c r="C293" s="24">
        <f>C149*$C$49+C215*$C$50+C248*$C$51+C281*$C$52</f>
        <v/>
      </c>
      <c r="D293" s="24">
        <f>D149*$C$49+D215*$C$50+D248*$C$51+D281*$C$52</f>
        <v/>
      </c>
      <c r="E293" s="24">
        <f>E149*$C$49+E215*$C$50+E248*$C$51+E281*$C$52</f>
        <v/>
      </c>
      <c r="F293" s="24">
        <f>F149*$C$49+F215*$C$50+F248*$C$51+F281*$C$52</f>
        <v/>
      </c>
      <c r="G293" s="24">
        <f>G149*$C$49+G215*$C$50+G248*$C$51+G281*$C$52</f>
        <v/>
      </c>
      <c r="H293" s="24">
        <f>H149*$C$49+H215*$C$50+H248*$C$51+H281*$C$52</f>
        <v/>
      </c>
      <c r="I293" s="24">
        <f>I149*$C$49+I215*$C$50+I248*$C$51+I281*$C$52</f>
        <v/>
      </c>
      <c r="J293" s="24">
        <f>J149*$C$49+J215*$C$50+J248*$C$51+J281*$C$52</f>
        <v/>
      </c>
      <c r="K293" s="24">
        <f>K149*$C$49+K215*$C$50+K248*$C$51+K281*$C$52</f>
        <v/>
      </c>
      <c r="L293" s="24">
        <f>L149*$C$49+L215*$C$50+L248*$C$51+L281*$C$52</f>
        <v/>
      </c>
      <c r="M293" s="24">
        <f>M149*$C$49+M215*$C$50+M248*$C$51+M281*$C$52</f>
        <v/>
      </c>
      <c r="N293" s="24">
        <f>N149*$C$49+N215*$C$50+N248*$C$51+N281*$C$52</f>
        <v/>
      </c>
      <c r="O293" s="24">
        <f>O149*$C$49+O215*$C$50+O248*$C$51+O281*$C$52</f>
        <v/>
      </c>
      <c r="P293" s="24">
        <f>P149*$C$49+P215*$C$50+P248*$C$51+P281*$C$52</f>
        <v/>
      </c>
      <c r="Q293" s="24">
        <f>Q149*$C$49+Q215*$C$50+Q248*$C$51+Q281*$C$52</f>
        <v/>
      </c>
      <c r="R293" s="24">
        <f>R149*$C$49+R215*$C$50+R248*$C$51+R281*$C$52</f>
        <v/>
      </c>
      <c r="S293" s="24">
        <f>S149*$C$49+S215*$C$50+S248*$C$51+S281*$C$52</f>
        <v/>
      </c>
      <c r="T293" s="24">
        <f>T149*$C$49+T215*$C$50+T248*$C$51+T281*$C$52</f>
        <v/>
      </c>
      <c r="U293" s="24">
        <f>U149*$C$49+U215*$C$50+U248*$C$51+U281*$C$52</f>
        <v/>
      </c>
      <c r="V293" s="24">
        <f>V149*$C$49+V215*$C$50+V248*$C$51+V281*$C$52</f>
        <v/>
      </c>
      <c r="W293" s="24">
        <f>W149*$C$49+W215*$C$50+W248*$C$51+W281*$C$52</f>
        <v/>
      </c>
      <c r="X293" s="24">
        <f>X149*$C$49+X215*$C$50+X248*$C$51+X281*$C$52</f>
        <v/>
      </c>
      <c r="Y293" s="24">
        <f>Y149*$C$49+Y215*$C$50+Y248*$C$51+Y281*$C$52</f>
        <v/>
      </c>
      <c r="Z293" s="24">
        <f>Z149*$C$49+Z215*$C$50+Z248*$C$51+Z281*$C$52</f>
        <v/>
      </c>
      <c r="AA293" s="24">
        <f>AA149*$C$49+AA215*$C$50+AA248*$C$51+AA281*$C$52</f>
        <v/>
      </c>
      <c r="AB293" s="24">
        <f>AB149*$C$49+AB215*$C$50+AB248*$C$51+AB281*$C$52</f>
        <v/>
      </c>
      <c r="AC293" s="24">
        <f>AC149*$C$49+AC215*$C$50+AC248*$C$51+AC281*$C$52</f>
        <v/>
      </c>
      <c r="AD293" s="24">
        <f>AD149*$C$49+AD215*$C$50+AD248*$C$51+AD281*$C$52</f>
        <v/>
      </c>
      <c r="AE293" s="24">
        <f>AE149*$C$49+AE215*$C$50+AE248*$C$51+AE281*$C$52</f>
        <v/>
      </c>
      <c r="AF293" s="24">
        <f>AF149*$C$49+AF215*$C$50+AF248*$C$51+AF281*$C$52</f>
        <v/>
      </c>
    </row>
    <row r="294">
      <c r="A294" s="3" t="inlineStr">
        <is>
          <t>Campioni</t>
        </is>
      </c>
      <c r="C294" s="24">
        <f>IF(C106=0,$C$67,IF(C106&gt;0,$C$68,0))</f>
        <v/>
      </c>
      <c r="D294" s="24">
        <f>IF(D106=0,$C$67,IF(D106&gt;0,$C$68,0))</f>
        <v/>
      </c>
      <c r="E294" s="24">
        <f>IF(E106=0,$C$67,IF(E106&gt;0,$C$68,0))</f>
        <v/>
      </c>
      <c r="F294" s="24">
        <f>IF(F106=0,$C$67,IF(F106&gt;0,$C$68,0))</f>
        <v/>
      </c>
      <c r="G294" s="24">
        <f>IF(G106=0,$C$67,IF(G106&gt;0,$C$68,0))</f>
        <v/>
      </c>
      <c r="H294" s="24">
        <f>IF(H106=0,$C$67,IF(H106&gt;0,$C$68,0))</f>
        <v/>
      </c>
      <c r="I294" s="24">
        <f>IF(I106=0,$C$67,IF(I106&gt;0,$C$68,0))</f>
        <v/>
      </c>
      <c r="J294" s="24">
        <f>IF(J106=0,$C$67,IF(J106&gt;0,$C$68,0))</f>
        <v/>
      </c>
      <c r="K294" s="24">
        <f>IF(K106=0,$C$67,IF(K106&gt;0,$C$68,0))</f>
        <v/>
      </c>
      <c r="L294" s="24">
        <f>IF(L106=0,$C$67,IF(L106&gt;0,$C$68,0))</f>
        <v/>
      </c>
      <c r="M294" s="24">
        <f>IF(M106=0,$C$67,IF(M106&gt;0,$C$68,0))</f>
        <v/>
      </c>
      <c r="N294" s="24">
        <f>IF(N106=0,$C$67,IF(N106&gt;0,$C$68,0))</f>
        <v/>
      </c>
      <c r="O294" s="24">
        <f>IF(O106=0,$C$67,IF(O106&gt;0,$C$68,0))</f>
        <v/>
      </c>
      <c r="P294" s="24">
        <f>IF(P106=0,$C$67,IF(P106&gt;0,$C$68,0))</f>
        <v/>
      </c>
      <c r="Q294" s="24">
        <f>IF(Q106=0,$C$67,IF(Q106&gt;0,$C$68,0))</f>
        <v/>
      </c>
      <c r="R294" s="24">
        <f>IF(R106=0,$C$67,IF(R106&gt;0,$C$68,0))</f>
        <v/>
      </c>
      <c r="S294" s="24">
        <f>IF(S106=0,$C$67,IF(S106&gt;0,$C$68,0))</f>
        <v/>
      </c>
      <c r="T294" s="24">
        <f>IF(T106=0,$C$67,IF(T106&gt;0,$C$68,0))</f>
        <v/>
      </c>
      <c r="U294" s="24">
        <f>IF(U106=0,$C$67,IF(U106&gt;0,$C$68,0))</f>
        <v/>
      </c>
      <c r="V294" s="24">
        <f>IF(V106=0,$C$67,IF(V106&gt;0,$C$68,0))</f>
        <v/>
      </c>
      <c r="W294" s="24">
        <f>IF(W106=0,$C$67,IF(W106&gt;0,$C$68,0))</f>
        <v/>
      </c>
      <c r="X294" s="24">
        <f>IF(X106=0,$C$67,IF(X106&gt;0,$C$68,0))</f>
        <v/>
      </c>
      <c r="Y294" s="24">
        <f>IF(Y106=0,$C$67,IF(Y106&gt;0,$C$68,0))</f>
        <v/>
      </c>
      <c r="Z294" s="24">
        <f>IF(Z106=0,$C$67,IF(Z106&gt;0,$C$68,0))</f>
        <v/>
      </c>
      <c r="AA294" s="24">
        <f>IF(AA106=0,$C$67,IF(AA106&gt;0,$C$68,0))</f>
        <v/>
      </c>
      <c r="AB294" s="24">
        <f>IF(AB106=0,$C$67,IF(AB106&gt;0,$C$68,0))</f>
        <v/>
      </c>
      <c r="AC294" s="24">
        <f>IF(AC106=0,$C$67,IF(AC106&gt;0,$C$68,0))</f>
        <v/>
      </c>
      <c r="AD294" s="24">
        <f>IF(AD106=0,$C$67,IF(AD106&gt;0,$C$68,0))</f>
        <v/>
      </c>
      <c r="AE294" s="24">
        <f>IF(AE106=0,$C$67,IF(AE106&gt;0,$C$68,0))</f>
        <v/>
      </c>
      <c r="AF294" s="24">
        <f>IF(AF106=0,$C$67,IF(AF106&gt;0,$C$68,0))</f>
        <v/>
      </c>
    </row>
    <row r="295">
      <c r="A295" s="3" t="inlineStr">
        <is>
          <t>Sostituzioni</t>
        </is>
      </c>
      <c r="C295" s="24">
        <f>C293*$C$69</f>
        <v/>
      </c>
      <c r="D295" s="24">
        <f>D293*$C$69</f>
        <v/>
      </c>
      <c r="E295" s="24">
        <f>E293*$C$69</f>
        <v/>
      </c>
      <c r="F295" s="24">
        <f>F293*$C$69</f>
        <v/>
      </c>
      <c r="G295" s="24">
        <f>G293*$C$69</f>
        <v/>
      </c>
      <c r="H295" s="24">
        <f>H293*$C$69</f>
        <v/>
      </c>
      <c r="I295" s="24">
        <f>I293*$C$69</f>
        <v/>
      </c>
      <c r="J295" s="24">
        <f>J293*$C$69</f>
        <v/>
      </c>
      <c r="K295" s="24">
        <f>K293*$C$69</f>
        <v/>
      </c>
      <c r="L295" s="24">
        <f>L293*$C$69</f>
        <v/>
      </c>
      <c r="M295" s="24">
        <f>M293*$C$69</f>
        <v/>
      </c>
      <c r="N295" s="24">
        <f>N293*$C$69</f>
        <v/>
      </c>
      <c r="O295" s="24">
        <f>O293*$C$69</f>
        <v/>
      </c>
      <c r="P295" s="24">
        <f>P293*$C$69</f>
        <v/>
      </c>
      <c r="Q295" s="24">
        <f>Q293*$C$69</f>
        <v/>
      </c>
      <c r="R295" s="24">
        <f>R293*$C$69</f>
        <v/>
      </c>
      <c r="S295" s="24">
        <f>S293*$C$69</f>
        <v/>
      </c>
      <c r="T295" s="24">
        <f>T293*$C$69</f>
        <v/>
      </c>
      <c r="U295" s="24">
        <f>U293*$C$69</f>
        <v/>
      </c>
      <c r="V295" s="24">
        <f>V293*$C$69</f>
        <v/>
      </c>
      <c r="W295" s="24">
        <f>W293*$C$69</f>
        <v/>
      </c>
      <c r="X295" s="24">
        <f>X293*$C$69</f>
        <v/>
      </c>
      <c r="Y295" s="24">
        <f>Y293*$C$69</f>
        <v/>
      </c>
      <c r="Z295" s="24">
        <f>Z293*$C$69</f>
        <v/>
      </c>
      <c r="AA295" s="24">
        <f>AA293*$C$69</f>
        <v/>
      </c>
      <c r="AB295" s="24">
        <f>AB293*$C$69</f>
        <v/>
      </c>
      <c r="AC295" s="24">
        <f>AC293*$C$69</f>
        <v/>
      </c>
      <c r="AD295" s="24">
        <f>AD293*$C$69</f>
        <v/>
      </c>
      <c r="AE295" s="24">
        <f>AE293*$C$69</f>
        <v/>
      </c>
      <c r="AF295" s="24">
        <f>AF293*$C$69</f>
        <v/>
      </c>
    </row>
    <row r="297">
      <c r="A297" s="10" t="inlineStr">
        <is>
          <t>Costi di progetto nello scenario (mese effettivo)</t>
        </is>
      </c>
      <c r="C297" s="2" t="inlineStr">
        <is>
          <t>Mese</t>
        </is>
      </c>
      <c r="D297" s="2" t="inlineStr">
        <is>
          <t>Importo</t>
        </is>
      </c>
      <c r="E297" s="2" t="inlineStr">
        <is>
          <t>IVA</t>
        </is>
      </c>
    </row>
    <row r="298">
      <c r="A298" s="21">
        <f>Progetto!A5</f>
        <v/>
      </c>
      <c r="C298" s="21">
        <f>Progetto!B5+IF(Progetto!C5="sì",$C$6-16,0)</f>
        <v/>
      </c>
      <c r="D298" s="6">
        <f>Progetto!D5</f>
        <v/>
      </c>
      <c r="E298" s="6">
        <f>Progetto!D5*Progetto!E5*$C$44</f>
        <v/>
      </c>
    </row>
    <row r="299">
      <c r="A299" s="21">
        <f>Progetto!A6</f>
        <v/>
      </c>
      <c r="C299" s="21">
        <f>Progetto!B6+IF(Progetto!C6="sì",$C$6-16,0)</f>
        <v/>
      </c>
      <c r="D299" s="6">
        <f>Progetto!D6</f>
        <v/>
      </c>
      <c r="E299" s="6">
        <f>Progetto!D6*Progetto!E6*$C$44</f>
        <v/>
      </c>
    </row>
    <row r="300">
      <c r="A300" s="21">
        <f>Progetto!A7</f>
        <v/>
      </c>
      <c r="C300" s="21">
        <f>Progetto!B7+IF(Progetto!C7="sì",$C$6-16,0)</f>
        <v/>
      </c>
      <c r="D300" s="6">
        <f>Progetto!D7</f>
        <v/>
      </c>
      <c r="E300" s="6">
        <f>Progetto!D7*Progetto!E7*$C$44</f>
        <v/>
      </c>
    </row>
    <row r="301">
      <c r="A301" s="21">
        <f>Progetto!A8</f>
        <v/>
      </c>
      <c r="C301" s="21">
        <f>Progetto!B8+IF(Progetto!C8="sì",$C$6-16,0)</f>
        <v/>
      </c>
      <c r="D301" s="6">
        <f>Progetto!D8</f>
        <v/>
      </c>
      <c r="E301" s="6">
        <f>Progetto!D8*Progetto!E8*$C$44</f>
        <v/>
      </c>
    </row>
    <row r="302">
      <c r="A302" s="21">
        <f>Progetto!A9</f>
        <v/>
      </c>
      <c r="C302" s="21">
        <f>Progetto!B9+IF(Progetto!C9="sì",$C$6-16,0)</f>
        <v/>
      </c>
      <c r="D302" s="6">
        <f>Progetto!D9</f>
        <v/>
      </c>
      <c r="E302" s="6">
        <f>Progetto!D9*Progetto!E9*$C$44</f>
        <v/>
      </c>
    </row>
    <row r="303">
      <c r="A303" s="21">
        <f>Progetto!A10</f>
        <v/>
      </c>
      <c r="C303" s="21">
        <f>Progetto!B10+IF(Progetto!C10="sì",$C$6-16,0)</f>
        <v/>
      </c>
      <c r="D303" s="6">
        <f>Progetto!D10</f>
        <v/>
      </c>
      <c r="E303" s="6">
        <f>Progetto!D10*Progetto!E10*$C$44</f>
        <v/>
      </c>
    </row>
    <row r="304">
      <c r="A304" s="21">
        <f>Progetto!A11</f>
        <v/>
      </c>
      <c r="C304" s="21">
        <f>Progetto!B11+IF(Progetto!C11="sì",$C$6-16,0)</f>
        <v/>
      </c>
      <c r="D304" s="6">
        <f>Progetto!D11</f>
        <v/>
      </c>
      <c r="E304" s="6">
        <f>Progetto!D11*Progetto!E11*$C$44</f>
        <v/>
      </c>
    </row>
    <row r="305">
      <c r="A305" s="21">
        <f>Progetto!A12</f>
        <v/>
      </c>
      <c r="C305" s="21">
        <f>Progetto!B12+IF(Progetto!C12="sì",$C$6-16,0)</f>
        <v/>
      </c>
      <c r="D305" s="6">
        <f>Progetto!D12</f>
        <v/>
      </c>
      <c r="E305" s="6">
        <f>Progetto!D12*Progetto!E12*$C$44</f>
        <v/>
      </c>
    </row>
    <row r="306">
      <c r="A306" s="21">
        <f>Progetto!A13</f>
        <v/>
      </c>
      <c r="C306" s="21">
        <f>Progetto!B13+IF(Progetto!C13="sì",$C$6-16,0)</f>
        <v/>
      </c>
      <c r="D306" s="6">
        <f>Progetto!D13</f>
        <v/>
      </c>
      <c r="E306" s="6">
        <f>Progetto!D13*Progetto!E13*$C$44</f>
        <v/>
      </c>
    </row>
    <row r="307">
      <c r="A307" s="21">
        <f>Progetto!A14</f>
        <v/>
      </c>
      <c r="C307" s="21">
        <f>Progetto!B14+IF(Progetto!C14="sì",$C$6-16,0)</f>
        <v/>
      </c>
      <c r="D307" s="6">
        <f>Progetto!D14</f>
        <v/>
      </c>
      <c r="E307" s="6">
        <f>Progetto!D14*Progetto!E14*$C$44</f>
        <v/>
      </c>
    </row>
    <row r="308">
      <c r="A308" s="21">
        <f>Progetto!A15</f>
        <v/>
      </c>
      <c r="C308" s="21">
        <f>Progetto!B15+IF(Progetto!C15="sì",$C$6-16,0)</f>
        <v/>
      </c>
      <c r="D308" s="6">
        <f>Progetto!D15</f>
        <v/>
      </c>
      <c r="E308" s="6">
        <f>Progetto!D15*Progetto!E15*$C$44</f>
        <v/>
      </c>
    </row>
    <row r="309">
      <c r="A309" s="21">
        <f>Progetto!A16</f>
        <v/>
      </c>
      <c r="C309" s="21">
        <f>Progetto!B16+IF(Progetto!C16="sì",$C$6-16,0)</f>
        <v/>
      </c>
      <c r="D309" s="6">
        <f>Progetto!D16</f>
        <v/>
      </c>
      <c r="E309" s="6">
        <f>Progetto!D16*Progetto!E16*$C$44</f>
        <v/>
      </c>
    </row>
    <row r="310">
      <c r="A310" s="21">
        <f>Progetto!A17</f>
        <v/>
      </c>
      <c r="C310" s="21">
        <f>Progetto!B17+IF(Progetto!C17="sì",$C$6-16,0)</f>
        <v/>
      </c>
      <c r="D310" s="6">
        <f>Progetto!D17</f>
        <v/>
      </c>
      <c r="E310" s="6">
        <f>Progetto!D17*Progetto!E17*$C$44</f>
        <v/>
      </c>
    </row>
    <row r="311">
      <c r="A311" s="21">
        <f>Progetto!A18</f>
        <v/>
      </c>
      <c r="C311" s="21">
        <f>Progetto!B18+IF(Progetto!C18="sì",$C$6-16,0)</f>
        <v/>
      </c>
      <c r="D311" s="6">
        <f>Progetto!D18</f>
        <v/>
      </c>
      <c r="E311" s="6">
        <f>Progetto!D18*Progetto!E18*$C$44</f>
        <v/>
      </c>
    </row>
    <row r="312">
      <c r="A312" s="21">
        <f>Progetto!A19</f>
        <v/>
      </c>
      <c r="C312" s="21">
        <f>Progetto!B19+IF(Progetto!C19="sì",$C$6-16,0)</f>
        <v/>
      </c>
      <c r="D312" s="6">
        <f>Progetto!D19</f>
        <v/>
      </c>
      <c r="E312" s="6">
        <f>Progetto!D19*Progetto!E19*$C$44</f>
        <v/>
      </c>
    </row>
    <row r="313">
      <c r="A313" s="21">
        <f>Progetto!A20</f>
        <v/>
      </c>
      <c r="C313" s="21">
        <f>Progetto!B20+IF(Progetto!C20="sì",$C$6-16,0)</f>
        <v/>
      </c>
      <c r="D313" s="6">
        <f>Progetto!D20</f>
        <v/>
      </c>
      <c r="E313" s="6">
        <f>Progetto!D20*Progetto!E20*$C$44</f>
        <v/>
      </c>
    </row>
    <row r="314">
      <c r="A314" s="21">
        <f>Progetto!A21</f>
        <v/>
      </c>
      <c r="C314" s="21">
        <f>Progetto!B21+IF(Progetto!C21="sì",$C$6-16,0)</f>
        <v/>
      </c>
      <c r="D314" s="6">
        <f>Progetto!D21</f>
        <v/>
      </c>
      <c r="E314" s="6">
        <f>Progetto!D21*Progetto!E21*$C$44</f>
        <v/>
      </c>
    </row>
    <row r="315">
      <c r="A315" s="21">
        <f>Progetto!A22</f>
        <v/>
      </c>
      <c r="C315" s="21">
        <f>Progetto!B22+IF(Progetto!C22="sì",$C$6-16,0)</f>
        <v/>
      </c>
      <c r="D315" s="6">
        <f>Progetto!D22</f>
        <v/>
      </c>
      <c r="E315" s="6">
        <f>Progetto!D22*Progetto!E22*$C$44</f>
        <v/>
      </c>
    </row>
    <row r="316">
      <c r="A316" s="21">
        <f>Progetto!A23</f>
        <v/>
      </c>
      <c r="C316" s="21">
        <f>Progetto!B23+IF(Progetto!C23="sì",$C$6-16,0)</f>
        <v/>
      </c>
      <c r="D316" s="6">
        <f>Progetto!D23</f>
        <v/>
      </c>
      <c r="E316" s="6">
        <f>Progetto!D23*Progetto!E23*$C$44</f>
        <v/>
      </c>
    </row>
    <row r="317">
      <c r="A317" s="21">
        <f>Progetto!A24</f>
        <v/>
      </c>
      <c r="C317" s="21">
        <f>Progetto!B24+IF(Progetto!C24="sì",$C$6-16,0)</f>
        <v/>
      </c>
      <c r="D317" s="6">
        <f>Progetto!D24</f>
        <v/>
      </c>
      <c r="E317" s="6">
        <f>Progetto!D24*Progetto!E24*$C$44</f>
        <v/>
      </c>
    </row>
    <row r="318">
      <c r="A318" s="21">
        <f>Progetto!A25</f>
        <v/>
      </c>
      <c r="C318" s="21">
        <f>Progetto!B25+IF(Progetto!C25="sì",$C$6-16,0)</f>
        <v/>
      </c>
      <c r="D318" s="6">
        <f>Progetto!D25</f>
        <v/>
      </c>
      <c r="E318" s="6">
        <f>Progetto!D25*Progetto!E25*$C$44</f>
        <v/>
      </c>
    </row>
    <row r="319">
      <c r="A319" s="21">
        <f>Progetto!A26</f>
        <v/>
      </c>
      <c r="C319" s="21">
        <f>Progetto!B26+IF(Progetto!C26="sì",$C$6-16,0)</f>
        <v/>
      </c>
      <c r="D319" s="6">
        <f>Progetto!D26</f>
        <v/>
      </c>
      <c r="E319" s="6">
        <f>Progetto!D26*Progetto!E26*$C$44</f>
        <v/>
      </c>
    </row>
    <row r="320">
      <c r="A320" s="21">
        <f>Progetto!A27</f>
        <v/>
      </c>
      <c r="C320" s="21">
        <f>Progetto!B27+IF(Progetto!C27="sì",$C$6-16,0)</f>
        <v/>
      </c>
      <c r="D320" s="6">
        <f>Progetto!D27</f>
        <v/>
      </c>
      <c r="E320" s="6">
        <f>Progetto!D27*Progetto!E27*$C$44</f>
        <v/>
      </c>
    </row>
    <row r="321">
      <c r="A321" s="21">
        <f>Progetto!A28</f>
        <v/>
      </c>
      <c r="C321" s="21">
        <f>Progetto!B28+IF(Progetto!C28="sì",$C$6-16,0)</f>
        <v/>
      </c>
      <c r="D321" s="6">
        <f>Progetto!D28</f>
        <v/>
      </c>
      <c r="E321" s="6">
        <f>Progetto!D28*Progetto!E28*$C$44</f>
        <v/>
      </c>
    </row>
    <row r="322">
      <c r="A322" s="21">
        <f>Progetto!A29</f>
        <v/>
      </c>
      <c r="C322" s="21">
        <f>Progetto!B29+IF(Progetto!C29="sì",$C$6-16,0)</f>
        <v/>
      </c>
      <c r="D322" s="6">
        <f>Progetto!D29</f>
        <v/>
      </c>
      <c r="E322" s="6">
        <f>Progetto!D29*Progetto!E29*$C$44</f>
        <v/>
      </c>
    </row>
    <row r="323">
      <c r="A323" s="21">
        <f>Progetto!A30</f>
        <v/>
      </c>
      <c r="C323" s="21">
        <f>Progetto!B30+IF(Progetto!C30="sì",$C$6-16,0)</f>
        <v/>
      </c>
      <c r="D323" s="6">
        <f>Progetto!D30</f>
        <v/>
      </c>
      <c r="E323" s="6">
        <f>Progetto!D30*Progetto!E30*$C$44</f>
        <v/>
      </c>
    </row>
    <row r="324">
      <c r="A324" s="21">
        <f>Progetto!A31</f>
        <v/>
      </c>
      <c r="C324" s="21">
        <f>Progetto!B31+IF(Progetto!C31="sì",$C$6-16,0)</f>
        <v/>
      </c>
      <c r="D324" s="6">
        <f>Progetto!D31</f>
        <v/>
      </c>
      <c r="E324" s="6">
        <f>Progetto!D31*Progetto!E31*$C$44</f>
        <v/>
      </c>
    </row>
    <row r="325">
      <c r="A325" s="21">
        <f>Progetto!A32</f>
        <v/>
      </c>
      <c r="C325" s="21">
        <f>Progetto!B32+IF(Progetto!C32="sì",$C$6-16,0)</f>
        <v/>
      </c>
      <c r="D325" s="6">
        <f>Progetto!D32</f>
        <v/>
      </c>
      <c r="E325" s="6">
        <f>Progetto!D32*Progetto!E32*$C$44</f>
        <v/>
      </c>
    </row>
    <row r="326">
      <c r="A326" s="21">
        <f>Progetto!A33</f>
        <v/>
      </c>
      <c r="C326" s="21">
        <f>Progetto!B33+IF(Progetto!C33="sì",$C$6-16,0)</f>
        <v/>
      </c>
      <c r="D326" s="6">
        <f>Progetto!D33</f>
        <v/>
      </c>
      <c r="E326" s="6">
        <f>Progetto!D33*Progetto!E33*$C$44</f>
        <v/>
      </c>
    </row>
    <row r="327">
      <c r="A327" s="21">
        <f>Progetto!A34</f>
        <v/>
      </c>
      <c r="C327" s="21">
        <f>Progetto!B34+IF(Progetto!C34="sì",$C$6-16,0)</f>
        <v/>
      </c>
      <c r="D327" s="6">
        <f>Progetto!D34</f>
        <v/>
      </c>
      <c r="E327" s="6">
        <f>Progetto!D34*Progetto!E34*$C$44</f>
        <v/>
      </c>
    </row>
    <row r="328">
      <c r="A328" s="21">
        <f>Progetto!A35</f>
        <v/>
      </c>
      <c r="C328" s="21">
        <f>Progetto!B35+IF(Progetto!C35="sì",$C$6-16,0)</f>
        <v/>
      </c>
      <c r="D328" s="6">
        <f>Progetto!D35</f>
        <v/>
      </c>
      <c r="E328" s="6">
        <f>Progetto!D35*Progetto!E35*$C$44</f>
        <v/>
      </c>
    </row>
    <row r="329">
      <c r="A329" s="21">
        <f>Progetto!A36</f>
        <v/>
      </c>
      <c r="C329" s="21">
        <f>Progetto!B36+IF(Progetto!C36="sì",$C$6-16,0)</f>
        <v/>
      </c>
      <c r="D329" s="6">
        <f>Progetto!D36</f>
        <v/>
      </c>
      <c r="E329" s="6">
        <f>Progetto!D36*Progetto!E36*$C$44</f>
        <v/>
      </c>
    </row>
    <row r="330">
      <c r="A330" s="21">
        <f>Progetto!A37</f>
        <v/>
      </c>
      <c r="C330" s="21">
        <f>Progetto!B37+IF(Progetto!C37="sì",$C$6-16,0)</f>
        <v/>
      </c>
      <c r="D330" s="6">
        <f>Progetto!D37</f>
        <v/>
      </c>
      <c r="E330" s="6">
        <f>Progetto!D37*Progetto!E37*$C$44</f>
        <v/>
      </c>
    </row>
    <row r="331">
      <c r="A331" s="21">
        <f>Progetto!A38</f>
        <v/>
      </c>
      <c r="C331" s="21">
        <f>Progetto!B38+IF(Progetto!C38="sì",$C$6-16,0)</f>
        <v/>
      </c>
      <c r="D331" s="6">
        <f>Progetto!D38</f>
        <v/>
      </c>
      <c r="E331" s="6">
        <f>Progetto!D38*Progetto!E38*$C$44</f>
        <v/>
      </c>
    </row>
    <row r="332">
      <c r="A332" s="21">
        <f>Progetto!A39</f>
        <v/>
      </c>
      <c r="C332" s="21">
        <f>Progetto!B39+IF(Progetto!C39="sì",$C$6-16,0)</f>
        <v/>
      </c>
      <c r="D332" s="6">
        <f>Progetto!D39</f>
        <v/>
      </c>
      <c r="E332" s="6">
        <f>Progetto!D39*Progetto!E39*$C$44</f>
        <v/>
      </c>
    </row>
    <row r="333">
      <c r="A333" s="21">
        <f>Progetto!A40</f>
        <v/>
      </c>
      <c r="C333" s="21">
        <f>Progetto!B40+IF(Progetto!C40="sì",$C$6-16,0)</f>
        <v/>
      </c>
      <c r="D333" s="6">
        <f>Progetto!D40</f>
        <v/>
      </c>
      <c r="E333" s="6">
        <f>Progetto!D40*Progetto!E40*$C$44</f>
        <v/>
      </c>
    </row>
    <row r="334">
      <c r="A334" s="21">
        <f>Progetto!A41</f>
        <v/>
      </c>
      <c r="C334" s="21">
        <f>Progetto!B41+IF(Progetto!C41="sì",$C$6-16,0)</f>
        <v/>
      </c>
      <c r="D334" s="6">
        <f>Progetto!D41</f>
        <v/>
      </c>
      <c r="E334" s="6">
        <f>Progetto!D41*Progetto!E41*$C$44</f>
        <v/>
      </c>
    </row>
    <row r="335">
      <c r="A335" s="21">
        <f>Progetto!A42</f>
        <v/>
      </c>
      <c r="C335" s="21">
        <f>Progetto!B42+IF(Progetto!C42="sì",$C$6-16,0)</f>
        <v/>
      </c>
      <c r="D335" s="6">
        <f>Progetto!D42</f>
        <v/>
      </c>
      <c r="E335" s="6">
        <f>Progetto!D42*Progetto!E42*$C$44</f>
        <v/>
      </c>
    </row>
    <row r="336">
      <c r="A336" s="3" t="inlineStr">
        <is>
          <t>Ciclo di laboratorio aggiuntivo</t>
        </is>
      </c>
      <c r="C336" t="n">
        <v>10</v>
      </c>
      <c r="D336" s="20">
        <f>$C$39</f>
        <v/>
      </c>
      <c r="E336" s="20">
        <f>D336*$C$44</f>
        <v/>
      </c>
    </row>
    <row r="337">
      <c r="A337" s="3" t="inlineStr">
        <is>
          <t>Ciclo di laboratorio aggiuntivo</t>
        </is>
      </c>
      <c r="C337" t="n">
        <v>11</v>
      </c>
      <c r="D337" s="20">
        <f>$C$40</f>
        <v/>
      </c>
      <c r="E337" s="20">
        <f>D337*$C$44</f>
        <v/>
      </c>
    </row>
    <row r="339">
      <c r="A339" s="10" t="inlineStr">
        <is>
          <t>Scorte e lotti di produzione</t>
        </is>
      </c>
    </row>
    <row r="340">
      <c r="A340" s="3" t="inlineStr">
        <is>
          <t>Consumo di flaconi (ordini, campioni, sostituzioni)</t>
        </is>
      </c>
      <c r="C340" s="24">
        <f>C293+C294+C295</f>
        <v/>
      </c>
      <c r="D340" s="24">
        <f>D293+D294+D295</f>
        <v/>
      </c>
      <c r="E340" s="24">
        <f>E293+E294+E295</f>
        <v/>
      </c>
      <c r="F340" s="24">
        <f>F293+F294+F295</f>
        <v/>
      </c>
      <c r="G340" s="24">
        <f>G293+G294+G295</f>
        <v/>
      </c>
      <c r="H340" s="24">
        <f>H293+H294+H295</f>
        <v/>
      </c>
      <c r="I340" s="24">
        <f>I293+I294+I295</f>
        <v/>
      </c>
      <c r="J340" s="24">
        <f>J293+J294+J295</f>
        <v/>
      </c>
      <c r="K340" s="24">
        <f>K293+K294+K295</f>
        <v/>
      </c>
      <c r="L340" s="24">
        <f>L293+L294+L295</f>
        <v/>
      </c>
      <c r="M340" s="24">
        <f>M293+M294+M295</f>
        <v/>
      </c>
      <c r="N340" s="24">
        <f>N293+N294+N295</f>
        <v/>
      </c>
      <c r="O340" s="24">
        <f>O293+O294+O295</f>
        <v/>
      </c>
      <c r="P340" s="24">
        <f>P293+P294+P295</f>
        <v/>
      </c>
      <c r="Q340" s="24">
        <f>Q293+Q294+Q295</f>
        <v/>
      </c>
      <c r="R340" s="24">
        <f>R293+R294+R295</f>
        <v/>
      </c>
      <c r="S340" s="24">
        <f>S293+S294+S295</f>
        <v/>
      </c>
      <c r="T340" s="24">
        <f>T293+T294+T295</f>
        <v/>
      </c>
      <c r="U340" s="24">
        <f>U293+U294+U295</f>
        <v/>
      </c>
      <c r="V340" s="24">
        <f>V293+V294+V295</f>
        <v/>
      </c>
      <c r="W340" s="24">
        <f>W293+W294+W295</f>
        <v/>
      </c>
      <c r="X340" s="24">
        <f>X293+X294+X295</f>
        <v/>
      </c>
      <c r="Y340" s="24">
        <f>Y293+Y294+Y295</f>
        <v/>
      </c>
      <c r="Z340" s="24">
        <f>Z293+Z294+Z295</f>
        <v/>
      </c>
      <c r="AA340" s="24">
        <f>AA293+AA294+AA295</f>
        <v/>
      </c>
      <c r="AB340" s="24">
        <f>AB293+AB294+AB295</f>
        <v/>
      </c>
      <c r="AC340" s="24">
        <f>AC293+AC294+AC295</f>
        <v/>
      </c>
      <c r="AD340" s="24">
        <f>AD293+AD294+AD295</f>
        <v/>
      </c>
      <c r="AE340" s="24">
        <f>AE293+AE294+AE295</f>
        <v/>
      </c>
      <c r="AF340" s="24">
        <f>AF293+AF294+AF295</f>
        <v/>
      </c>
    </row>
    <row r="341">
      <c r="A341" s="3" t="inlineStr">
        <is>
          <t>Flaconi in arrivo dal lotto</t>
        </is>
      </c>
      <c r="C341" s="24" t="n">
        <v>0</v>
      </c>
      <c r="D341" s="24" t="n">
        <v>0</v>
      </c>
      <c r="E341" s="24">
        <f>C345</f>
        <v/>
      </c>
      <c r="F341" s="24">
        <f>D345</f>
        <v/>
      </c>
      <c r="G341" s="24">
        <f>E345</f>
        <v/>
      </c>
      <c r="H341" s="24">
        <f>F345</f>
        <v/>
      </c>
      <c r="I341" s="24">
        <f>G345</f>
        <v/>
      </c>
      <c r="J341" s="24">
        <f>H345</f>
        <v/>
      </c>
      <c r="K341" s="24">
        <f>I345</f>
        <v/>
      </c>
      <c r="L341" s="24">
        <f>J345</f>
        <v/>
      </c>
      <c r="M341" s="24">
        <f>K345</f>
        <v/>
      </c>
      <c r="N341" s="24">
        <f>L345</f>
        <v/>
      </c>
      <c r="O341" s="24">
        <f>M345</f>
        <v/>
      </c>
      <c r="P341" s="24">
        <f>N345</f>
        <v/>
      </c>
      <c r="Q341" s="24">
        <f>O345</f>
        <v/>
      </c>
      <c r="R341" s="24">
        <f>P345</f>
        <v/>
      </c>
      <c r="S341" s="24">
        <f>Q345</f>
        <v/>
      </c>
      <c r="T341" s="24">
        <f>R345</f>
        <v/>
      </c>
      <c r="U341" s="24">
        <f>S345</f>
        <v/>
      </c>
      <c r="V341" s="24">
        <f>T345</f>
        <v/>
      </c>
      <c r="W341" s="24">
        <f>U345</f>
        <v/>
      </c>
      <c r="X341" s="24">
        <f>V345</f>
        <v/>
      </c>
      <c r="Y341" s="24">
        <f>W345</f>
        <v/>
      </c>
      <c r="Z341" s="24">
        <f>X345</f>
        <v/>
      </c>
      <c r="AA341" s="24">
        <f>Y345</f>
        <v/>
      </c>
      <c r="AB341" s="24">
        <f>Z345</f>
        <v/>
      </c>
      <c r="AC341" s="24">
        <f>AA345</f>
        <v/>
      </c>
      <c r="AD341" s="24">
        <f>AB345</f>
        <v/>
      </c>
      <c r="AE341" s="24">
        <f>AC345</f>
        <v/>
      </c>
      <c r="AF341" s="24">
        <f>AD345</f>
        <v/>
      </c>
    </row>
    <row r="342">
      <c r="A342" s="3" t="inlineStr">
        <is>
          <t>Flaconi in magazzino a fine mese</t>
        </is>
      </c>
      <c r="C342" s="24">
        <f>0+C341*(1-$C$65)-IF(C341&gt;0,$C$66,0)-C340</f>
        <v/>
      </c>
      <c r="D342" s="24">
        <f>C342+D341*(1-$C$65)-IF(D341&gt;0,$C$66,0)-D340</f>
        <v/>
      </c>
      <c r="E342" s="24">
        <f>D342+E341*(1-$C$65)-IF(E341&gt;0,$C$66,0)-E340</f>
        <v/>
      </c>
      <c r="F342" s="24">
        <f>E342+F341*(1-$C$65)-IF(F341&gt;0,$C$66,0)-F340</f>
        <v/>
      </c>
      <c r="G342" s="24">
        <f>F342+G341*(1-$C$65)-IF(G341&gt;0,$C$66,0)-G340</f>
        <v/>
      </c>
      <c r="H342" s="24">
        <f>G342+H341*(1-$C$65)-IF(H341&gt;0,$C$66,0)-H340</f>
        <v/>
      </c>
      <c r="I342" s="24">
        <f>H342+I341*(1-$C$65)-IF(I341&gt;0,$C$66,0)-I340</f>
        <v/>
      </c>
      <c r="J342" s="24">
        <f>I342+J341*(1-$C$65)-IF(J341&gt;0,$C$66,0)-J340</f>
        <v/>
      </c>
      <c r="K342" s="24">
        <f>J342+K341*(1-$C$65)-IF(K341&gt;0,$C$66,0)-K340</f>
        <v/>
      </c>
      <c r="L342" s="24">
        <f>K342+L341*(1-$C$65)-IF(L341&gt;0,$C$66,0)-L340</f>
        <v/>
      </c>
      <c r="M342" s="24">
        <f>L342+M341*(1-$C$65)-IF(M341&gt;0,$C$66,0)-M340</f>
        <v/>
      </c>
      <c r="N342" s="24">
        <f>M342+N341*(1-$C$65)-IF(N341&gt;0,$C$66,0)-N340</f>
        <v/>
      </c>
      <c r="O342" s="24">
        <f>N342+O341*(1-$C$65)-IF(O341&gt;0,$C$66,0)-O340</f>
        <v/>
      </c>
      <c r="P342" s="24">
        <f>O342+P341*(1-$C$65)-IF(P341&gt;0,$C$66,0)-P340</f>
        <v/>
      </c>
      <c r="Q342" s="24">
        <f>P342+Q341*(1-$C$65)-IF(Q341&gt;0,$C$66,0)-Q340</f>
        <v/>
      </c>
      <c r="R342" s="24">
        <f>Q342+R341*(1-$C$65)-IF(R341&gt;0,$C$66,0)-R340</f>
        <v/>
      </c>
      <c r="S342" s="24">
        <f>R342+S341*(1-$C$65)-IF(S341&gt;0,$C$66,0)-S340</f>
        <v/>
      </c>
      <c r="T342" s="24">
        <f>S342+T341*(1-$C$65)-IF(T341&gt;0,$C$66,0)-T340</f>
        <v/>
      </c>
      <c r="U342" s="24">
        <f>T342+U341*(1-$C$65)-IF(U341&gt;0,$C$66,0)-U340</f>
        <v/>
      </c>
      <c r="V342" s="24">
        <f>U342+V341*(1-$C$65)-IF(V341&gt;0,$C$66,0)-V340</f>
        <v/>
      </c>
      <c r="W342" s="24">
        <f>V342+W341*(1-$C$65)-IF(W341&gt;0,$C$66,0)-W340</f>
        <v/>
      </c>
      <c r="X342" s="24">
        <f>W342+X341*(1-$C$65)-IF(X341&gt;0,$C$66,0)-X340</f>
        <v/>
      </c>
      <c r="Y342" s="24">
        <f>X342+Y341*(1-$C$65)-IF(Y341&gt;0,$C$66,0)-Y340</f>
        <v/>
      </c>
      <c r="Z342" s="24">
        <f>Y342+Z341*(1-$C$65)-IF(Z341&gt;0,$C$66,0)-Z340</f>
        <v/>
      </c>
      <c r="AA342" s="24">
        <f>Z342+AA341*(1-$C$65)-IF(AA341&gt;0,$C$66,0)-AA340</f>
        <v/>
      </c>
      <c r="AB342" s="24">
        <f>AA342+AB341*(1-$C$65)-IF(AB341&gt;0,$C$66,0)-AB340</f>
        <v/>
      </c>
      <c r="AC342" s="24">
        <f>AB342+AC341*(1-$C$65)-IF(AC341&gt;0,$C$66,0)-AC340</f>
        <v/>
      </c>
      <c r="AD342" s="24">
        <f>AC342+AD341*(1-$C$65)-IF(AD341&gt;0,$C$66,0)-AD340</f>
        <v/>
      </c>
      <c r="AE342" s="24">
        <f>AD342+AE341*(1-$C$65)-IF(AE341&gt;0,$C$66,0)-AE340</f>
        <v/>
      </c>
      <c r="AF342" s="24">
        <f>AE342+AF341*(1-$C$65)-IF(AF341&gt;0,$C$66,0)-AF340</f>
        <v/>
      </c>
    </row>
    <row r="343">
      <c r="A343" s="3" t="inlineStr">
        <is>
          <t>Consumo medio degli ultimi due mesi</t>
        </is>
      </c>
      <c r="C343" s="24">
        <f>C340</f>
        <v/>
      </c>
      <c r="D343" s="24">
        <f>AVERAGE(C340:D340)</f>
        <v/>
      </c>
      <c r="E343" s="24">
        <f>AVERAGE(D340:E340)</f>
        <v/>
      </c>
      <c r="F343" s="24">
        <f>AVERAGE(E340:F340)</f>
        <v/>
      </c>
      <c r="G343" s="24">
        <f>AVERAGE(F340:G340)</f>
        <v/>
      </c>
      <c r="H343" s="24">
        <f>AVERAGE(G340:H340)</f>
        <v/>
      </c>
      <c r="I343" s="24">
        <f>AVERAGE(H340:I340)</f>
        <v/>
      </c>
      <c r="J343" s="24">
        <f>AVERAGE(I340:J340)</f>
        <v/>
      </c>
      <c r="K343" s="24">
        <f>AVERAGE(J340:K340)</f>
        <v/>
      </c>
      <c r="L343" s="24">
        <f>AVERAGE(K340:L340)</f>
        <v/>
      </c>
      <c r="M343" s="24">
        <f>AVERAGE(L340:M340)</f>
        <v/>
      </c>
      <c r="N343" s="24">
        <f>AVERAGE(M340:N340)</f>
        <v/>
      </c>
      <c r="O343" s="24">
        <f>AVERAGE(N340:O340)</f>
        <v/>
      </c>
      <c r="P343" s="24">
        <f>AVERAGE(O340:P340)</f>
        <v/>
      </c>
      <c r="Q343" s="24">
        <f>AVERAGE(P340:Q340)</f>
        <v/>
      </c>
      <c r="R343" s="24">
        <f>AVERAGE(Q340:R340)</f>
        <v/>
      </c>
      <c r="S343" s="24">
        <f>AVERAGE(R340:S340)</f>
        <v/>
      </c>
      <c r="T343" s="24">
        <f>AVERAGE(S340:T340)</f>
        <v/>
      </c>
      <c r="U343" s="24">
        <f>AVERAGE(T340:U340)</f>
        <v/>
      </c>
      <c r="V343" s="24">
        <f>AVERAGE(U340:V340)</f>
        <v/>
      </c>
      <c r="W343" s="24">
        <f>AVERAGE(V340:W340)</f>
        <v/>
      </c>
      <c r="X343" s="24">
        <f>AVERAGE(W340:X340)</f>
        <v/>
      </c>
      <c r="Y343" s="24">
        <f>AVERAGE(X340:Y340)</f>
        <v/>
      </c>
      <c r="Z343" s="24">
        <f>AVERAGE(Y340:Z340)</f>
        <v/>
      </c>
      <c r="AA343" s="24">
        <f>AVERAGE(Z340:AA340)</f>
        <v/>
      </c>
      <c r="AB343" s="24">
        <f>AVERAGE(AA340:AB340)</f>
        <v/>
      </c>
      <c r="AC343" s="24">
        <f>AVERAGE(AB340:AC340)</f>
        <v/>
      </c>
      <c r="AD343" s="24">
        <f>AVERAGE(AC340:AD340)</f>
        <v/>
      </c>
      <c r="AE343" s="24">
        <f>AVERAGE(AD340:AE340)</f>
        <v/>
      </c>
      <c r="AF343" s="24">
        <f>AVERAGE(AE340:AF340)</f>
        <v/>
      </c>
    </row>
    <row r="344">
      <c r="A344" s="3" t="inlineStr">
        <is>
          <t>Punto di riordino</t>
        </is>
      </c>
      <c r="C344" s="24">
        <f>C343*($C$63+$C$64)</f>
        <v/>
      </c>
      <c r="D344" s="24">
        <f>D343*($C$63+$C$64)</f>
        <v/>
      </c>
      <c r="E344" s="24">
        <f>E343*($C$63+$C$64)</f>
        <v/>
      </c>
      <c r="F344" s="24">
        <f>F343*($C$63+$C$64)</f>
        <v/>
      </c>
      <c r="G344" s="24">
        <f>G343*($C$63+$C$64)</f>
        <v/>
      </c>
      <c r="H344" s="24">
        <f>H343*($C$63+$C$64)</f>
        <v/>
      </c>
      <c r="I344" s="24">
        <f>I343*($C$63+$C$64)</f>
        <v/>
      </c>
      <c r="J344" s="24">
        <f>J343*($C$63+$C$64)</f>
        <v/>
      </c>
      <c r="K344" s="24">
        <f>K343*($C$63+$C$64)</f>
        <v/>
      </c>
      <c r="L344" s="24">
        <f>L343*($C$63+$C$64)</f>
        <v/>
      </c>
      <c r="M344" s="24">
        <f>M343*($C$63+$C$64)</f>
        <v/>
      </c>
      <c r="N344" s="24">
        <f>N343*($C$63+$C$64)</f>
        <v/>
      </c>
      <c r="O344" s="24">
        <f>O343*($C$63+$C$64)</f>
        <v/>
      </c>
      <c r="P344" s="24">
        <f>P343*($C$63+$C$64)</f>
        <v/>
      </c>
      <c r="Q344" s="24">
        <f>Q343*($C$63+$C$64)</f>
        <v/>
      </c>
      <c r="R344" s="24">
        <f>R343*($C$63+$C$64)</f>
        <v/>
      </c>
      <c r="S344" s="24">
        <f>S343*($C$63+$C$64)</f>
        <v/>
      </c>
      <c r="T344" s="24">
        <f>T343*($C$63+$C$64)</f>
        <v/>
      </c>
      <c r="U344" s="24">
        <f>U343*($C$63+$C$64)</f>
        <v/>
      </c>
      <c r="V344" s="24">
        <f>V343*($C$63+$C$64)</f>
        <v/>
      </c>
      <c r="W344" s="24">
        <f>W343*($C$63+$C$64)</f>
        <v/>
      </c>
      <c r="X344" s="24">
        <f>X343*($C$63+$C$64)</f>
        <v/>
      </c>
      <c r="Y344" s="24">
        <f>Y343*($C$63+$C$64)</f>
        <v/>
      </c>
      <c r="Z344" s="24">
        <f>Z343*($C$63+$C$64)</f>
        <v/>
      </c>
      <c r="AA344" s="24">
        <f>AA343*($C$63+$C$64)</f>
        <v/>
      </c>
      <c r="AB344" s="24">
        <f>AB343*($C$63+$C$64)</f>
        <v/>
      </c>
      <c r="AC344" s="24">
        <f>AC343*($C$63+$C$64)</f>
        <v/>
      </c>
      <c r="AD344" s="24">
        <f>AD343*($C$63+$C$64)</f>
        <v/>
      </c>
      <c r="AE344" s="24">
        <f>AE343*($C$63+$C$64)</f>
        <v/>
      </c>
      <c r="AF344" s="24">
        <f>AF343*($C$63+$C$64)</f>
        <v/>
      </c>
    </row>
    <row r="345">
      <c r="A345" s="3" t="inlineStr">
        <is>
          <t>Lotto ordinato nel mese</t>
        </is>
      </c>
      <c r="C345" s="24">
        <f>IF(C106=-3,$C$61,IF(AND(C106&gt;=0,C342+0&lt;=C344),$C$61,0))</f>
        <v/>
      </c>
      <c r="D345" s="24">
        <f>IF(D106=-3,$C$61,IF(AND(D106&gt;=0,D342+C345&lt;=D344),$C$61,0))</f>
        <v/>
      </c>
      <c r="E345" s="24">
        <f>IF(E106=-3,$C$61,IF(AND(E106&gt;=0,E342+D345&lt;=E344),$C$61,0))</f>
        <v/>
      </c>
      <c r="F345" s="24">
        <f>IF(F106=-3,$C$61,IF(AND(F106&gt;=0,F342+E345&lt;=F344),$C$61,0))</f>
        <v/>
      </c>
      <c r="G345" s="24">
        <f>IF(G106=-3,$C$61,IF(AND(G106&gt;=0,G342+F345&lt;=G344),$C$61,0))</f>
        <v/>
      </c>
      <c r="H345" s="24">
        <f>IF(H106=-3,$C$61,IF(AND(H106&gt;=0,H342+G345&lt;=H344),$C$61,0))</f>
        <v/>
      </c>
      <c r="I345" s="24">
        <f>IF(I106=-3,$C$61,IF(AND(I106&gt;=0,I342+H345&lt;=I344),$C$61,0))</f>
        <v/>
      </c>
      <c r="J345" s="24">
        <f>IF(J106=-3,$C$61,IF(AND(J106&gt;=0,J342+I345&lt;=J344),$C$61,0))</f>
        <v/>
      </c>
      <c r="K345" s="24">
        <f>IF(K106=-3,$C$61,IF(AND(K106&gt;=0,K342+J345&lt;=K344),$C$61,0))</f>
        <v/>
      </c>
      <c r="L345" s="24">
        <f>IF(L106=-3,$C$61,IF(AND(L106&gt;=0,L342+K345&lt;=L344),$C$61,0))</f>
        <v/>
      </c>
      <c r="M345" s="24">
        <f>IF(M106=-3,$C$61,IF(AND(M106&gt;=0,M342+L345&lt;=M344),$C$61,0))</f>
        <v/>
      </c>
      <c r="N345" s="24">
        <f>IF(N106=-3,$C$61,IF(AND(N106&gt;=0,N342+M345&lt;=N344),$C$61,0))</f>
        <v/>
      </c>
      <c r="O345" s="24">
        <f>IF(O106=-3,$C$61,IF(AND(O106&gt;=0,O342+N345&lt;=O344),$C$61,0))</f>
        <v/>
      </c>
      <c r="P345" s="24">
        <f>IF(P106=-3,$C$61,IF(AND(P106&gt;=0,P342+O345&lt;=P344),$C$61,0))</f>
        <v/>
      </c>
      <c r="Q345" s="24">
        <f>IF(Q106=-3,$C$61,IF(AND(Q106&gt;=0,Q342+P345&lt;=Q344),$C$61,0))</f>
        <v/>
      </c>
      <c r="R345" s="24">
        <f>IF(R106=-3,$C$61,IF(AND(R106&gt;=0,R342+Q345&lt;=R344),$C$61,0))</f>
        <v/>
      </c>
      <c r="S345" s="24">
        <f>IF(S106=-3,$C$61,IF(AND(S106&gt;=0,S342+R345&lt;=S344),$C$61,0))</f>
        <v/>
      </c>
      <c r="T345" s="24">
        <f>IF(T106=-3,$C$61,IF(AND(T106&gt;=0,T342+S345&lt;=T344),$C$61,0))</f>
        <v/>
      </c>
      <c r="U345" s="24">
        <f>IF(U106=-3,$C$61,IF(AND(U106&gt;=0,U342+T345&lt;=U344),$C$61,0))</f>
        <v/>
      </c>
      <c r="V345" s="24">
        <f>IF(V106=-3,$C$61,IF(AND(V106&gt;=0,V342+U345&lt;=V344),$C$61,0))</f>
        <v/>
      </c>
      <c r="W345" s="24">
        <f>IF(W106=-3,$C$61,IF(AND(W106&gt;=0,W342+V345&lt;=W344),$C$61,0))</f>
        <v/>
      </c>
      <c r="X345" s="24">
        <f>IF(X106=-3,$C$61,IF(AND(X106&gt;=0,X342+W345&lt;=X344),$C$61,0))</f>
        <v/>
      </c>
      <c r="Y345" s="24">
        <f>IF(Y106=-3,$C$61,IF(AND(Y106&gt;=0,Y342+X345&lt;=Y344),$C$61,0))</f>
        <v/>
      </c>
      <c r="Z345" s="24">
        <f>IF(Z106=-3,$C$61,IF(AND(Z106&gt;=0,Z342+Y345&lt;=Z344),$C$61,0))</f>
        <v/>
      </c>
      <c r="AA345" s="24">
        <f>IF(AA106=-3,$C$61,IF(AND(AA106&gt;=0,AA342+Z345&lt;=AA344),$C$61,0))</f>
        <v/>
      </c>
      <c r="AB345" s="24">
        <f>IF(AB106=-3,$C$61,IF(AND(AB106&gt;=0,AB342+AA345&lt;=AB344),$C$61,0))</f>
        <v/>
      </c>
      <c r="AC345" s="24">
        <f>IF(AC106=-3,$C$61,IF(AND(AC106&gt;=0,AC342+AB345&lt;=AC344),$C$61,0))</f>
        <v/>
      </c>
      <c r="AD345" s="24">
        <f>IF(AD106=-3,$C$61,IF(AND(AD106&gt;=0,AD342+AC345&lt;=AD344),$C$61,0))</f>
        <v/>
      </c>
      <c r="AE345" s="24">
        <f>IF(AE106=-3,$C$61,IF(AND(AE106&gt;=0,AE342+AD345&lt;=AE344),$C$61,0))</f>
        <v/>
      </c>
      <c r="AF345" s="24">
        <f>IF(AF106=-3,$C$61,IF(AND(AF106&gt;=0,AF342+AE345&lt;=AF344),$C$61,0))</f>
        <v/>
      </c>
    </row>
    <row r="346">
      <c r="A346" s="3" t="inlineStr">
        <is>
          <t>Pagamenti ai produttori (netto IVA)</t>
        </is>
      </c>
      <c r="B346" s="4" t="inlineStr">
        <is>
          <t>€</t>
        </is>
      </c>
      <c r="C346" s="20">
        <f>C345*$C$7*$C$62+C341*$C$7*(1-$C$62)</f>
        <v/>
      </c>
      <c r="D346" s="20">
        <f>D345*$C$7*$C$62+D341*$C$7*(1-$C$62)</f>
        <v/>
      </c>
      <c r="E346" s="20">
        <f>E345*$C$7*$C$62+E341*$C$7*(1-$C$62)</f>
        <v/>
      </c>
      <c r="F346" s="20">
        <f>F345*$C$7*$C$62+F341*$C$7*(1-$C$62)</f>
        <v/>
      </c>
      <c r="G346" s="20">
        <f>G345*$C$7*$C$62+G341*$C$7*(1-$C$62)</f>
        <v/>
      </c>
      <c r="H346" s="20">
        <f>H345*$C$7*$C$62+H341*$C$7*(1-$C$62)</f>
        <v/>
      </c>
      <c r="I346" s="20">
        <f>I345*$C$7*$C$62+I341*$C$7*(1-$C$62)</f>
        <v/>
      </c>
      <c r="J346" s="20">
        <f>J345*$C$7*$C$62+J341*$C$7*(1-$C$62)</f>
        <v/>
      </c>
      <c r="K346" s="20">
        <f>K345*$C$7*$C$62+K341*$C$7*(1-$C$62)</f>
        <v/>
      </c>
      <c r="L346" s="20">
        <f>L345*$C$7*$C$62+L341*$C$7*(1-$C$62)</f>
        <v/>
      </c>
      <c r="M346" s="20">
        <f>M345*$C$7*$C$62+M341*$C$7*(1-$C$62)</f>
        <v/>
      </c>
      <c r="N346" s="20">
        <f>N345*$C$7*$C$62+N341*$C$7*(1-$C$62)</f>
        <v/>
      </c>
      <c r="O346" s="20">
        <f>O345*$C$7*$C$62+O341*$C$7*(1-$C$62)</f>
        <v/>
      </c>
      <c r="P346" s="20">
        <f>P345*$C$7*$C$62+P341*$C$7*(1-$C$62)</f>
        <v/>
      </c>
      <c r="Q346" s="20">
        <f>Q345*$C$7*$C$62+Q341*$C$7*(1-$C$62)</f>
        <v/>
      </c>
      <c r="R346" s="20">
        <f>R345*$C$7*$C$62+R341*$C$7*(1-$C$62)</f>
        <v/>
      </c>
      <c r="S346" s="20">
        <f>S345*$C$7*$C$62+S341*$C$7*(1-$C$62)</f>
        <v/>
      </c>
      <c r="T346" s="20">
        <f>T345*$C$7*$C$62+T341*$C$7*(1-$C$62)</f>
        <v/>
      </c>
      <c r="U346" s="20">
        <f>U345*$C$7*$C$62+U341*$C$7*(1-$C$62)</f>
        <v/>
      </c>
      <c r="V346" s="20">
        <f>V345*$C$7*$C$62+V341*$C$7*(1-$C$62)</f>
        <v/>
      </c>
      <c r="W346" s="20">
        <f>W345*$C$7*$C$62+W341*$C$7*(1-$C$62)</f>
        <v/>
      </c>
      <c r="X346" s="20">
        <f>X345*$C$7*$C$62+X341*$C$7*(1-$C$62)</f>
        <v/>
      </c>
      <c r="Y346" s="20">
        <f>Y345*$C$7*$C$62+Y341*$C$7*(1-$C$62)</f>
        <v/>
      </c>
      <c r="Z346" s="20">
        <f>Z345*$C$7*$C$62+Z341*$C$7*(1-$C$62)</f>
        <v/>
      </c>
      <c r="AA346" s="20">
        <f>AA345*$C$7*$C$62+AA341*$C$7*(1-$C$62)</f>
        <v/>
      </c>
      <c r="AB346" s="20">
        <f>AB345*$C$7*$C$62+AB341*$C$7*(1-$C$62)</f>
        <v/>
      </c>
      <c r="AC346" s="20">
        <f>AC345*$C$7*$C$62+AC341*$C$7*(1-$C$62)</f>
        <v/>
      </c>
      <c r="AD346" s="20">
        <f>AD345*$C$7*$C$62+AD341*$C$7*(1-$C$62)</f>
        <v/>
      </c>
      <c r="AE346" s="20">
        <f>AE345*$C$7*$C$62+AE341*$C$7*(1-$C$62)</f>
        <v/>
      </c>
      <c r="AF346" s="20">
        <f>AF345*$C$7*$C$62+AF341*$C$7*(1-$C$62)</f>
        <v/>
      </c>
    </row>
    <row r="348">
      <c r="A348" s="10" t="inlineStr">
        <is>
          <t>Costi fissi</t>
        </is>
      </c>
    </row>
    <row r="349">
      <c r="A349" s="3" t="inlineStr">
        <is>
          <t>Costi fissi (netto IVA)</t>
        </is>
      </c>
      <c r="B349" s="4" t="inlineStr">
        <is>
          <t>€</t>
        </is>
      </c>
      <c r="C349" s="20">
        <f>100+250+40+IF(C105&gt;=10,IF(C105&lt;$C$6,30,80),0)+IF(C105&gt;=$C$6-1,100,0)+IF(OR(C105=3,C105=15,C105=27),430,0)+IF(OR(C105=$C$6,C105=$C$6+12),1200,0)</f>
        <v/>
      </c>
      <c r="D349" s="20">
        <f>100+250+40+IF(D105&gt;=10,IF(D105&lt;$C$6,30,80),0)+IF(D105&gt;=$C$6-1,100,0)+IF(OR(D105=3,D105=15,D105=27),430,0)+IF(OR(D105=$C$6,D105=$C$6+12),1200,0)</f>
        <v/>
      </c>
      <c r="E349" s="20">
        <f>100+250+40+IF(E105&gt;=10,IF(E105&lt;$C$6,30,80),0)+IF(E105&gt;=$C$6-1,100,0)+IF(OR(E105=3,E105=15,E105=27),430,0)+IF(OR(E105=$C$6,E105=$C$6+12),1200,0)</f>
        <v/>
      </c>
      <c r="F349" s="20">
        <f>100+250+40+IF(F105&gt;=10,IF(F105&lt;$C$6,30,80),0)+IF(F105&gt;=$C$6-1,100,0)+IF(OR(F105=3,F105=15,F105=27),430,0)+IF(OR(F105=$C$6,F105=$C$6+12),1200,0)</f>
        <v/>
      </c>
      <c r="G349" s="20">
        <f>100+250+40+IF(G105&gt;=10,IF(G105&lt;$C$6,30,80),0)+IF(G105&gt;=$C$6-1,100,0)+IF(OR(G105=3,G105=15,G105=27),430,0)+IF(OR(G105=$C$6,G105=$C$6+12),1200,0)</f>
        <v/>
      </c>
      <c r="H349" s="20">
        <f>100+250+40+IF(H105&gt;=10,IF(H105&lt;$C$6,30,80),0)+IF(H105&gt;=$C$6-1,100,0)+IF(OR(H105=3,H105=15,H105=27),430,0)+IF(OR(H105=$C$6,H105=$C$6+12),1200,0)</f>
        <v/>
      </c>
      <c r="I349" s="20">
        <f>100+250+40+IF(I105&gt;=10,IF(I105&lt;$C$6,30,80),0)+IF(I105&gt;=$C$6-1,100,0)+IF(OR(I105=3,I105=15,I105=27),430,0)+IF(OR(I105=$C$6,I105=$C$6+12),1200,0)</f>
        <v/>
      </c>
      <c r="J349" s="20">
        <f>100+250+40+IF(J105&gt;=10,IF(J105&lt;$C$6,30,80),0)+IF(J105&gt;=$C$6-1,100,0)+IF(OR(J105=3,J105=15,J105=27),430,0)+IF(OR(J105=$C$6,J105=$C$6+12),1200,0)</f>
        <v/>
      </c>
      <c r="K349" s="20">
        <f>100+250+40+IF(K105&gt;=10,IF(K105&lt;$C$6,30,80),0)+IF(K105&gt;=$C$6-1,100,0)+IF(OR(K105=3,K105=15,K105=27),430,0)+IF(OR(K105=$C$6,K105=$C$6+12),1200,0)</f>
        <v/>
      </c>
      <c r="L349" s="20">
        <f>100+250+40+IF(L105&gt;=10,IF(L105&lt;$C$6,30,80),0)+IF(L105&gt;=$C$6-1,100,0)+IF(OR(L105=3,L105=15,L105=27),430,0)+IF(OR(L105=$C$6,L105=$C$6+12),1200,0)</f>
        <v/>
      </c>
      <c r="M349" s="20">
        <f>100+250+40+IF(M105&gt;=10,IF(M105&lt;$C$6,30,80),0)+IF(M105&gt;=$C$6-1,100,0)+IF(OR(M105=3,M105=15,M105=27),430,0)+IF(OR(M105=$C$6,M105=$C$6+12),1200,0)</f>
        <v/>
      </c>
      <c r="N349" s="20">
        <f>100+250+40+IF(N105&gt;=10,IF(N105&lt;$C$6,30,80),0)+IF(N105&gt;=$C$6-1,100,0)+IF(OR(N105=3,N105=15,N105=27),430,0)+IF(OR(N105=$C$6,N105=$C$6+12),1200,0)</f>
        <v/>
      </c>
      <c r="O349" s="20">
        <f>100+250+40+IF(O105&gt;=10,IF(O105&lt;$C$6,30,80),0)+IF(O105&gt;=$C$6-1,100,0)+IF(OR(O105=3,O105=15,O105=27),430,0)+IF(OR(O105=$C$6,O105=$C$6+12),1200,0)</f>
        <v/>
      </c>
      <c r="P349" s="20">
        <f>100+250+40+IF(P105&gt;=10,IF(P105&lt;$C$6,30,80),0)+IF(P105&gt;=$C$6-1,100,0)+IF(OR(P105=3,P105=15,P105=27),430,0)+IF(OR(P105=$C$6,P105=$C$6+12),1200,0)</f>
        <v/>
      </c>
      <c r="Q349" s="20">
        <f>100+250+40+IF(Q105&gt;=10,IF(Q105&lt;$C$6,30,80),0)+IF(Q105&gt;=$C$6-1,100,0)+IF(OR(Q105=3,Q105=15,Q105=27),430,0)+IF(OR(Q105=$C$6,Q105=$C$6+12),1200,0)</f>
        <v/>
      </c>
      <c r="R349" s="20">
        <f>100+250+40+IF(R105&gt;=10,IF(R105&lt;$C$6,30,80),0)+IF(R105&gt;=$C$6-1,100,0)+IF(OR(R105=3,R105=15,R105=27),430,0)+IF(OR(R105=$C$6,R105=$C$6+12),1200,0)</f>
        <v/>
      </c>
      <c r="S349" s="20">
        <f>100+250+40+IF(S105&gt;=10,IF(S105&lt;$C$6,30,80),0)+IF(S105&gt;=$C$6-1,100,0)+IF(OR(S105=3,S105=15,S105=27),430,0)+IF(OR(S105=$C$6,S105=$C$6+12),1200,0)</f>
        <v/>
      </c>
      <c r="T349" s="20">
        <f>100+250+40+IF(T105&gt;=10,IF(T105&lt;$C$6,30,80),0)+IF(T105&gt;=$C$6-1,100,0)+IF(OR(T105=3,T105=15,T105=27),430,0)+IF(OR(T105=$C$6,T105=$C$6+12),1200,0)</f>
        <v/>
      </c>
      <c r="U349" s="20">
        <f>100+250+40+IF(U105&gt;=10,IF(U105&lt;$C$6,30,80),0)+IF(U105&gt;=$C$6-1,100,0)+IF(OR(U105=3,U105=15,U105=27),430,0)+IF(OR(U105=$C$6,U105=$C$6+12),1200,0)</f>
        <v/>
      </c>
      <c r="V349" s="20">
        <f>100+250+40+IF(V105&gt;=10,IF(V105&lt;$C$6,30,80),0)+IF(V105&gt;=$C$6-1,100,0)+IF(OR(V105=3,V105=15,V105=27),430,0)+IF(OR(V105=$C$6,V105=$C$6+12),1200,0)</f>
        <v/>
      </c>
      <c r="W349" s="20">
        <f>100+250+40+IF(W105&gt;=10,IF(W105&lt;$C$6,30,80),0)+IF(W105&gt;=$C$6-1,100,0)+IF(OR(W105=3,W105=15,W105=27),430,0)+IF(OR(W105=$C$6,W105=$C$6+12),1200,0)</f>
        <v/>
      </c>
      <c r="X349" s="20">
        <f>100+250+40+IF(X105&gt;=10,IF(X105&lt;$C$6,30,80),0)+IF(X105&gt;=$C$6-1,100,0)+IF(OR(X105=3,X105=15,X105=27),430,0)+IF(OR(X105=$C$6,X105=$C$6+12),1200,0)</f>
        <v/>
      </c>
      <c r="Y349" s="20">
        <f>100+250+40+IF(Y105&gt;=10,IF(Y105&lt;$C$6,30,80),0)+IF(Y105&gt;=$C$6-1,100,0)+IF(OR(Y105=3,Y105=15,Y105=27),430,0)+IF(OR(Y105=$C$6,Y105=$C$6+12),1200,0)</f>
        <v/>
      </c>
      <c r="Z349" s="20">
        <f>100+250+40+IF(Z105&gt;=10,IF(Z105&lt;$C$6,30,80),0)+IF(Z105&gt;=$C$6-1,100,0)+IF(OR(Z105=3,Z105=15,Z105=27),430,0)+IF(OR(Z105=$C$6,Z105=$C$6+12),1200,0)</f>
        <v/>
      </c>
      <c r="AA349" s="20">
        <f>100+250+40+IF(AA105&gt;=10,IF(AA105&lt;$C$6,30,80),0)+IF(AA105&gt;=$C$6-1,100,0)+IF(OR(AA105=3,AA105=15,AA105=27),430,0)+IF(OR(AA105=$C$6,AA105=$C$6+12),1200,0)</f>
        <v/>
      </c>
      <c r="AB349" s="20">
        <f>100+250+40+IF(AB105&gt;=10,IF(AB105&lt;$C$6,30,80),0)+IF(AB105&gt;=$C$6-1,100,0)+IF(OR(AB105=3,AB105=15,AB105=27),430,0)+IF(OR(AB105=$C$6,AB105=$C$6+12),1200,0)</f>
        <v/>
      </c>
      <c r="AC349" s="20">
        <f>100+250+40+IF(AC105&gt;=10,IF(AC105&lt;$C$6,30,80),0)+IF(AC105&gt;=$C$6-1,100,0)+IF(OR(AC105=3,AC105=15,AC105=27),430,0)+IF(OR(AC105=$C$6,AC105=$C$6+12),1200,0)</f>
        <v/>
      </c>
      <c r="AD349" s="20">
        <f>100+250+40+IF(AD105&gt;=10,IF(AD105&lt;$C$6,30,80),0)+IF(AD105&gt;=$C$6-1,100,0)+IF(OR(AD105=3,AD105=15,AD105=27),430,0)+IF(OR(AD105=$C$6,AD105=$C$6+12),1200,0)</f>
        <v/>
      </c>
      <c r="AE349" s="20">
        <f>100+250+40+IF(AE105&gt;=10,IF(AE105&lt;$C$6,30,80),0)+IF(AE105&gt;=$C$6-1,100,0)+IF(OR(AE105=3,AE105=15,AE105=27),430,0)+IF(OR(AE105=$C$6,AE105=$C$6+12),1200,0)</f>
        <v/>
      </c>
      <c r="AF349" s="20">
        <f>100+250+40+IF(AF105&gt;=10,IF(AF105&lt;$C$6,30,80),0)+IF(AF105&gt;=$C$6-1,100,0)+IF(OR(AF105=3,AF105=15,AF105=27),430,0)+IF(OR(AF105=$C$6,AF105=$C$6+12),1200,0)</f>
        <v/>
      </c>
    </row>
    <row r="350">
      <c r="A350" s="3" t="inlineStr">
        <is>
          <t>IVA sui costi fissi</t>
        </is>
      </c>
      <c r="B350" s="4" t="inlineStr">
        <is>
          <t>€</t>
        </is>
      </c>
      <c r="C350" s="20">
        <f>(250+40*0.5+IF(C105&gt;=$C$6-1,100,0))*$C$44</f>
        <v/>
      </c>
      <c r="D350" s="20">
        <f>(250+40*0.5+IF(D105&gt;=$C$6-1,100,0))*$C$44</f>
        <v/>
      </c>
      <c r="E350" s="20">
        <f>(250+40*0.5+IF(E105&gt;=$C$6-1,100,0))*$C$44</f>
        <v/>
      </c>
      <c r="F350" s="20">
        <f>(250+40*0.5+IF(F105&gt;=$C$6-1,100,0))*$C$44</f>
        <v/>
      </c>
      <c r="G350" s="20">
        <f>(250+40*0.5+IF(G105&gt;=$C$6-1,100,0))*$C$44</f>
        <v/>
      </c>
      <c r="H350" s="20">
        <f>(250+40*0.5+IF(H105&gt;=$C$6-1,100,0))*$C$44</f>
        <v/>
      </c>
      <c r="I350" s="20">
        <f>(250+40*0.5+IF(I105&gt;=$C$6-1,100,0))*$C$44</f>
        <v/>
      </c>
      <c r="J350" s="20">
        <f>(250+40*0.5+IF(J105&gt;=$C$6-1,100,0))*$C$44</f>
        <v/>
      </c>
      <c r="K350" s="20">
        <f>(250+40*0.5+IF(K105&gt;=$C$6-1,100,0))*$C$44</f>
        <v/>
      </c>
      <c r="L350" s="20">
        <f>(250+40*0.5+IF(L105&gt;=$C$6-1,100,0))*$C$44</f>
        <v/>
      </c>
      <c r="M350" s="20">
        <f>(250+40*0.5+IF(M105&gt;=$C$6-1,100,0))*$C$44</f>
        <v/>
      </c>
      <c r="N350" s="20">
        <f>(250+40*0.5+IF(N105&gt;=$C$6-1,100,0))*$C$44</f>
        <v/>
      </c>
      <c r="O350" s="20">
        <f>(250+40*0.5+IF(O105&gt;=$C$6-1,100,0))*$C$44</f>
        <v/>
      </c>
      <c r="P350" s="20">
        <f>(250+40*0.5+IF(P105&gt;=$C$6-1,100,0))*$C$44</f>
        <v/>
      </c>
      <c r="Q350" s="20">
        <f>(250+40*0.5+IF(Q105&gt;=$C$6-1,100,0))*$C$44</f>
        <v/>
      </c>
      <c r="R350" s="20">
        <f>(250+40*0.5+IF(R105&gt;=$C$6-1,100,0))*$C$44</f>
        <v/>
      </c>
      <c r="S350" s="20">
        <f>(250+40*0.5+IF(S105&gt;=$C$6-1,100,0))*$C$44</f>
        <v/>
      </c>
      <c r="T350" s="20">
        <f>(250+40*0.5+IF(T105&gt;=$C$6-1,100,0))*$C$44</f>
        <v/>
      </c>
      <c r="U350" s="20">
        <f>(250+40*0.5+IF(U105&gt;=$C$6-1,100,0))*$C$44</f>
        <v/>
      </c>
      <c r="V350" s="20">
        <f>(250+40*0.5+IF(V105&gt;=$C$6-1,100,0))*$C$44</f>
        <v/>
      </c>
      <c r="W350" s="20">
        <f>(250+40*0.5+IF(W105&gt;=$C$6-1,100,0))*$C$44</f>
        <v/>
      </c>
      <c r="X350" s="20">
        <f>(250+40*0.5+IF(X105&gt;=$C$6-1,100,0))*$C$44</f>
        <v/>
      </c>
      <c r="Y350" s="20">
        <f>(250+40*0.5+IF(Y105&gt;=$C$6-1,100,0))*$C$44</f>
        <v/>
      </c>
      <c r="Z350" s="20">
        <f>(250+40*0.5+IF(Z105&gt;=$C$6-1,100,0))*$C$44</f>
        <v/>
      </c>
      <c r="AA350" s="20">
        <f>(250+40*0.5+IF(AA105&gt;=$C$6-1,100,0))*$C$44</f>
        <v/>
      </c>
      <c r="AB350" s="20">
        <f>(250+40*0.5+IF(AB105&gt;=$C$6-1,100,0))*$C$44</f>
        <v/>
      </c>
      <c r="AC350" s="20">
        <f>(250+40*0.5+IF(AC105&gt;=$C$6-1,100,0))*$C$44</f>
        <v/>
      </c>
      <c r="AD350" s="20">
        <f>(250+40*0.5+IF(AD105&gt;=$C$6-1,100,0))*$C$44</f>
        <v/>
      </c>
      <c r="AE350" s="20">
        <f>(250+40*0.5+IF(AE105&gt;=$C$6-1,100,0))*$C$44</f>
        <v/>
      </c>
      <c r="AF350" s="20">
        <f>(250+40*0.5+IF(AF105&gt;=$C$6-1,100,0))*$C$44</f>
        <v/>
      </c>
    </row>
    <row r="351">
      <c r="A351" s="4" t="inlineStr">
        <is>
          <t>Abbonamenti IA 100 (Fable 5.1 e ASTRA di OpenAI) · commercialista 250 · banca, PEC, dominio 40 · piattaforma e-commerce 30, poi 80 dal lancio · magazzino 100 dal mese prima del lancio · diritto camerale e libri sociali 430 nei mesi 3, 15, 27 · assicurazione RC prodotto 1.200 all'anno</t>
        </is>
      </c>
    </row>
    <row r="353">
      <c r="A353" s="10" t="inlineStr">
        <is>
          <t>IVA: posizione mensile, compensazione, versamenti</t>
        </is>
      </c>
    </row>
    <row r="354">
      <c r="A354" s="3" t="inlineStr">
        <is>
          <t>Costi di progetto (netto IVA)</t>
        </is>
      </c>
      <c r="B354" s="4" t="inlineStr">
        <is>
          <t>€</t>
        </is>
      </c>
      <c r="C354" s="20">
        <f>SUMIF($C$298:$C$337,C105,$D$298:$D$337)</f>
        <v/>
      </c>
      <c r="D354" s="20">
        <f>SUMIF($C$298:$C$337,D105,$D$298:$D$337)</f>
        <v/>
      </c>
      <c r="E354" s="20">
        <f>SUMIF($C$298:$C$337,E105,$D$298:$D$337)</f>
        <v/>
      </c>
      <c r="F354" s="20">
        <f>SUMIF($C$298:$C$337,F105,$D$298:$D$337)</f>
        <v/>
      </c>
      <c r="G354" s="20">
        <f>SUMIF($C$298:$C$337,G105,$D$298:$D$337)</f>
        <v/>
      </c>
      <c r="H354" s="20">
        <f>SUMIF($C$298:$C$337,H105,$D$298:$D$337)</f>
        <v/>
      </c>
      <c r="I354" s="20">
        <f>SUMIF($C$298:$C$337,I105,$D$298:$D$337)</f>
        <v/>
      </c>
      <c r="J354" s="20">
        <f>SUMIF($C$298:$C$337,J105,$D$298:$D$337)</f>
        <v/>
      </c>
      <c r="K354" s="20">
        <f>SUMIF($C$298:$C$337,K105,$D$298:$D$337)</f>
        <v/>
      </c>
      <c r="L354" s="20">
        <f>SUMIF($C$298:$C$337,L105,$D$298:$D$337)</f>
        <v/>
      </c>
      <c r="M354" s="20">
        <f>SUMIF($C$298:$C$337,M105,$D$298:$D$337)</f>
        <v/>
      </c>
      <c r="N354" s="20">
        <f>SUMIF($C$298:$C$337,N105,$D$298:$D$337)</f>
        <v/>
      </c>
      <c r="O354" s="20">
        <f>SUMIF($C$298:$C$337,O105,$D$298:$D$337)</f>
        <v/>
      </c>
      <c r="P354" s="20">
        <f>SUMIF($C$298:$C$337,P105,$D$298:$D$337)</f>
        <v/>
      </c>
      <c r="Q354" s="20">
        <f>SUMIF($C$298:$C$337,Q105,$D$298:$D$337)</f>
        <v/>
      </c>
      <c r="R354" s="20">
        <f>SUMIF($C$298:$C$337,R105,$D$298:$D$337)</f>
        <v/>
      </c>
      <c r="S354" s="20">
        <f>SUMIF($C$298:$C$337,S105,$D$298:$D$337)</f>
        <v/>
      </c>
      <c r="T354" s="20">
        <f>SUMIF($C$298:$C$337,T105,$D$298:$D$337)</f>
        <v/>
      </c>
      <c r="U354" s="20">
        <f>SUMIF($C$298:$C$337,U105,$D$298:$D$337)</f>
        <v/>
      </c>
      <c r="V354" s="20">
        <f>SUMIF($C$298:$C$337,V105,$D$298:$D$337)</f>
        <v/>
      </c>
      <c r="W354" s="20">
        <f>SUMIF($C$298:$C$337,W105,$D$298:$D$337)</f>
        <v/>
      </c>
      <c r="X354" s="20">
        <f>SUMIF($C$298:$C$337,X105,$D$298:$D$337)</f>
        <v/>
      </c>
      <c r="Y354" s="20">
        <f>SUMIF($C$298:$C$337,Y105,$D$298:$D$337)</f>
        <v/>
      </c>
      <c r="Z354" s="20">
        <f>SUMIF($C$298:$C$337,Z105,$D$298:$D$337)</f>
        <v/>
      </c>
      <c r="AA354" s="20">
        <f>SUMIF($C$298:$C$337,AA105,$D$298:$D$337)</f>
        <v/>
      </c>
      <c r="AB354" s="20">
        <f>SUMIF($C$298:$C$337,AB105,$D$298:$D$337)</f>
        <v/>
      </c>
      <c r="AC354" s="20">
        <f>SUMIF($C$298:$C$337,AC105,$D$298:$D$337)</f>
        <v/>
      </c>
      <c r="AD354" s="20">
        <f>SUMIF($C$298:$C$337,AD105,$D$298:$D$337)</f>
        <v/>
      </c>
      <c r="AE354" s="20">
        <f>SUMIF($C$298:$C$337,AE105,$D$298:$D$337)</f>
        <v/>
      </c>
      <c r="AF354" s="20">
        <f>SUMIF($C$298:$C$337,AF105,$D$298:$D$337)</f>
        <v/>
      </c>
    </row>
    <row r="355">
      <c r="A355" s="3" t="inlineStr">
        <is>
          <t>IVA sui costi di progetto</t>
        </is>
      </c>
      <c r="B355" s="4" t="inlineStr">
        <is>
          <t>€</t>
        </is>
      </c>
      <c r="C355" s="20">
        <f>SUMIF($C$298:$C$337,C105,$E$298:$E$337)</f>
        <v/>
      </c>
      <c r="D355" s="20">
        <f>SUMIF($C$298:$C$337,D105,$E$298:$E$337)</f>
        <v/>
      </c>
      <c r="E355" s="20">
        <f>SUMIF($C$298:$C$337,E105,$E$298:$E$337)</f>
        <v/>
      </c>
      <c r="F355" s="20">
        <f>SUMIF($C$298:$C$337,F105,$E$298:$E$337)</f>
        <v/>
      </c>
      <c r="G355" s="20">
        <f>SUMIF($C$298:$C$337,G105,$E$298:$E$337)</f>
        <v/>
      </c>
      <c r="H355" s="20">
        <f>SUMIF($C$298:$C$337,H105,$E$298:$E$337)</f>
        <v/>
      </c>
      <c r="I355" s="20">
        <f>SUMIF($C$298:$C$337,I105,$E$298:$E$337)</f>
        <v/>
      </c>
      <c r="J355" s="20">
        <f>SUMIF($C$298:$C$337,J105,$E$298:$E$337)</f>
        <v/>
      </c>
      <c r="K355" s="20">
        <f>SUMIF($C$298:$C$337,K105,$E$298:$E$337)</f>
        <v/>
      </c>
      <c r="L355" s="20">
        <f>SUMIF($C$298:$C$337,L105,$E$298:$E$337)</f>
        <v/>
      </c>
      <c r="M355" s="20">
        <f>SUMIF($C$298:$C$337,M105,$E$298:$E$337)</f>
        <v/>
      </c>
      <c r="N355" s="20">
        <f>SUMIF($C$298:$C$337,N105,$E$298:$E$337)</f>
        <v/>
      </c>
      <c r="O355" s="20">
        <f>SUMIF($C$298:$C$337,O105,$E$298:$E$337)</f>
        <v/>
      </c>
      <c r="P355" s="20">
        <f>SUMIF($C$298:$C$337,P105,$E$298:$E$337)</f>
        <v/>
      </c>
      <c r="Q355" s="20">
        <f>SUMIF($C$298:$C$337,Q105,$E$298:$E$337)</f>
        <v/>
      </c>
      <c r="R355" s="20">
        <f>SUMIF($C$298:$C$337,R105,$E$298:$E$337)</f>
        <v/>
      </c>
      <c r="S355" s="20">
        <f>SUMIF($C$298:$C$337,S105,$E$298:$E$337)</f>
        <v/>
      </c>
      <c r="T355" s="20">
        <f>SUMIF($C$298:$C$337,T105,$E$298:$E$337)</f>
        <v/>
      </c>
      <c r="U355" s="20">
        <f>SUMIF($C$298:$C$337,U105,$E$298:$E$337)</f>
        <v/>
      </c>
      <c r="V355" s="20">
        <f>SUMIF($C$298:$C$337,V105,$E$298:$E$337)</f>
        <v/>
      </c>
      <c r="W355" s="20">
        <f>SUMIF($C$298:$C$337,W105,$E$298:$E$337)</f>
        <v/>
      </c>
      <c r="X355" s="20">
        <f>SUMIF($C$298:$C$337,X105,$E$298:$E$337)</f>
        <v/>
      </c>
      <c r="Y355" s="20">
        <f>SUMIF($C$298:$C$337,Y105,$E$298:$E$337)</f>
        <v/>
      </c>
      <c r="Z355" s="20">
        <f>SUMIF($C$298:$C$337,Z105,$E$298:$E$337)</f>
        <v/>
      </c>
      <c r="AA355" s="20">
        <f>SUMIF($C$298:$C$337,AA105,$E$298:$E$337)</f>
        <v/>
      </c>
      <c r="AB355" s="20">
        <f>SUMIF($C$298:$C$337,AB105,$E$298:$E$337)</f>
        <v/>
      </c>
      <c r="AC355" s="20">
        <f>SUMIF($C$298:$C$337,AC105,$E$298:$E$337)</f>
        <v/>
      </c>
      <c r="AD355" s="20">
        <f>SUMIF($C$298:$C$337,AD105,$E$298:$E$337)</f>
        <v/>
      </c>
      <c r="AE355" s="20">
        <f>SUMIF($C$298:$C$337,AE105,$E$298:$E$337)</f>
        <v/>
      </c>
      <c r="AF355" s="20">
        <f>SUMIF($C$298:$C$337,AF105,$E$298:$E$337)</f>
        <v/>
      </c>
    </row>
    <row r="356">
      <c r="A356" s="3" t="inlineStr">
        <is>
          <t>IVA pagata ai fornitori nel mese</t>
        </is>
      </c>
      <c r="B356" s="4" t="inlineStr">
        <is>
          <t>€</t>
        </is>
      </c>
      <c r="C356" s="20">
        <f>C355+C350+C346*$C$44+C289*$C$44</f>
        <v/>
      </c>
      <c r="D356" s="20">
        <f>D355+D350+D346*$C$44+D289*$C$44</f>
        <v/>
      </c>
      <c r="E356" s="20">
        <f>E355+E350+E346*$C$44+E289*$C$44</f>
        <v/>
      </c>
      <c r="F356" s="20">
        <f>F355+F350+F346*$C$44+F289*$C$44</f>
        <v/>
      </c>
      <c r="G356" s="20">
        <f>G355+G350+G346*$C$44+G289*$C$44</f>
        <v/>
      </c>
      <c r="H356" s="20">
        <f>H355+H350+H346*$C$44+H289*$C$44</f>
        <v/>
      </c>
      <c r="I356" s="20">
        <f>I355+I350+I346*$C$44+I289*$C$44</f>
        <v/>
      </c>
      <c r="J356" s="20">
        <f>J355+J350+J346*$C$44+J289*$C$44</f>
        <v/>
      </c>
      <c r="K356" s="20">
        <f>K355+K350+K346*$C$44+K289*$C$44</f>
        <v/>
      </c>
      <c r="L356" s="20">
        <f>L355+L350+L346*$C$44+L289*$C$44</f>
        <v/>
      </c>
      <c r="M356" s="20">
        <f>M355+M350+M346*$C$44+M289*$C$44</f>
        <v/>
      </c>
      <c r="N356" s="20">
        <f>N355+N350+N346*$C$44+N289*$C$44</f>
        <v/>
      </c>
      <c r="O356" s="20">
        <f>O355+O350+O346*$C$44+O289*$C$44</f>
        <v/>
      </c>
      <c r="P356" s="20">
        <f>P355+P350+P346*$C$44+P289*$C$44</f>
        <v/>
      </c>
      <c r="Q356" s="20">
        <f>Q355+Q350+Q346*$C$44+Q289*$C$44</f>
        <v/>
      </c>
      <c r="R356" s="20">
        <f>R355+R350+R346*$C$44+R289*$C$44</f>
        <v/>
      </c>
      <c r="S356" s="20">
        <f>S355+S350+S346*$C$44+S289*$C$44</f>
        <v/>
      </c>
      <c r="T356" s="20">
        <f>T355+T350+T346*$C$44+T289*$C$44</f>
        <v/>
      </c>
      <c r="U356" s="20">
        <f>U355+U350+U346*$C$44+U289*$C$44</f>
        <v/>
      </c>
      <c r="V356" s="20">
        <f>V355+V350+V346*$C$44+V289*$C$44</f>
        <v/>
      </c>
      <c r="W356" s="20">
        <f>W355+W350+W346*$C$44+W289*$C$44</f>
        <v/>
      </c>
      <c r="X356" s="20">
        <f>X355+X350+X346*$C$44+X289*$C$44</f>
        <v/>
      </c>
      <c r="Y356" s="20">
        <f>Y355+Y350+Y346*$C$44+Y289*$C$44</f>
        <v/>
      </c>
      <c r="Z356" s="20">
        <f>Z355+Z350+Z346*$C$44+Z289*$C$44</f>
        <v/>
      </c>
      <c r="AA356" s="20">
        <f>AA355+AA350+AA346*$C$44+AA289*$C$44</f>
        <v/>
      </c>
      <c r="AB356" s="20">
        <f>AB355+AB350+AB346*$C$44+AB289*$C$44</f>
        <v/>
      </c>
      <c r="AC356" s="20">
        <f>AC355+AC350+AC346*$C$44+AC289*$C$44</f>
        <v/>
      </c>
      <c r="AD356" s="20">
        <f>AD355+AD350+AD346*$C$44+AD289*$C$44</f>
        <v/>
      </c>
      <c r="AE356" s="20">
        <f>AE355+AE350+AE346*$C$44+AE289*$C$44</f>
        <v/>
      </c>
      <c r="AF356" s="20">
        <f>AF355+AF350+AF346*$C$44+AF289*$C$44</f>
        <v/>
      </c>
    </row>
    <row r="357">
      <c r="A357" s="3" t="inlineStr">
        <is>
          <t>IVA del mese: vendite meno rimborsi meno acquisti</t>
        </is>
      </c>
      <c r="B357" s="4" t="inlineStr">
        <is>
          <t>€</t>
        </is>
      </c>
      <c r="C357" s="20">
        <f>C286-C288-C356</f>
        <v/>
      </c>
      <c r="D357" s="20">
        <f>D286-D288-D356</f>
        <v/>
      </c>
      <c r="E357" s="20">
        <f>E286-E288-E356</f>
        <v/>
      </c>
      <c r="F357" s="20">
        <f>F286-F288-F356</f>
        <v/>
      </c>
      <c r="G357" s="20">
        <f>G286-G288-G356</f>
        <v/>
      </c>
      <c r="H357" s="20">
        <f>H286-H288-H356</f>
        <v/>
      </c>
      <c r="I357" s="20">
        <f>I286-I288-I356</f>
        <v/>
      </c>
      <c r="J357" s="20">
        <f>J286-J288-J356</f>
        <v/>
      </c>
      <c r="K357" s="20">
        <f>K286-K288-K356</f>
        <v/>
      </c>
      <c r="L357" s="20">
        <f>L286-L288-L356</f>
        <v/>
      </c>
      <c r="M357" s="20">
        <f>M286-M288-M356</f>
        <v/>
      </c>
      <c r="N357" s="20">
        <f>N286-N288-N356</f>
        <v/>
      </c>
      <c r="O357" s="20">
        <f>O286-O288-O356</f>
        <v/>
      </c>
      <c r="P357" s="20">
        <f>P286-P288-P356</f>
        <v/>
      </c>
      <c r="Q357" s="20">
        <f>Q286-Q288-Q356</f>
        <v/>
      </c>
      <c r="R357" s="20">
        <f>R286-R288-R356</f>
        <v/>
      </c>
      <c r="S357" s="20">
        <f>S286-S288-S356</f>
        <v/>
      </c>
      <c r="T357" s="20">
        <f>T286-T288-T356</f>
        <v/>
      </c>
      <c r="U357" s="20">
        <f>U286-U288-U356</f>
        <v/>
      </c>
      <c r="V357" s="20">
        <f>V286-V288-V356</f>
        <v/>
      </c>
      <c r="W357" s="20">
        <f>W286-W288-W356</f>
        <v/>
      </c>
      <c r="X357" s="20">
        <f>X286-X288-X356</f>
        <v/>
      </c>
      <c r="Y357" s="20">
        <f>Y286-Y288-Y356</f>
        <v/>
      </c>
      <c r="Z357" s="20">
        <f>Z286-Z288-Z356</f>
        <v/>
      </c>
      <c r="AA357" s="20">
        <f>AA286-AA288-AA356</f>
        <v/>
      </c>
      <c r="AB357" s="20">
        <f>AB286-AB288-AB356</f>
        <v/>
      </c>
      <c r="AC357" s="20">
        <f>AC286-AC288-AC356</f>
        <v/>
      </c>
      <c r="AD357" s="20">
        <f>AD286-AD288-AD356</f>
        <v/>
      </c>
      <c r="AE357" s="20">
        <f>AE286-AE288-AE356</f>
        <v/>
      </c>
      <c r="AF357" s="20">
        <f>AF286-AF288-AF356</f>
        <v/>
      </c>
    </row>
    <row r="358">
      <c r="A358" s="3" t="inlineStr">
        <is>
          <t>Posizione prima del versamento</t>
        </is>
      </c>
      <c r="B358" s="4" t="inlineStr">
        <is>
          <t>€</t>
        </is>
      </c>
      <c r="C358" s="20">
        <f>C357</f>
        <v/>
      </c>
      <c r="D358" s="20">
        <f>C360+D357</f>
        <v/>
      </c>
      <c r="E358" s="20">
        <f>D360+E357</f>
        <v/>
      </c>
      <c r="F358" s="20">
        <f>E360+F357</f>
        <v/>
      </c>
      <c r="G358" s="20">
        <f>F360+G357</f>
        <v/>
      </c>
      <c r="H358" s="20">
        <f>G360+H357</f>
        <v/>
      </c>
      <c r="I358" s="20">
        <f>H360+I357</f>
        <v/>
      </c>
      <c r="J358" s="20">
        <f>I360+J357</f>
        <v/>
      </c>
      <c r="K358" s="20">
        <f>J360+K357</f>
        <v/>
      </c>
      <c r="L358" s="20">
        <f>K360+L357</f>
        <v/>
      </c>
      <c r="M358" s="20">
        <f>L360+M357</f>
        <v/>
      </c>
      <c r="N358" s="20">
        <f>M360+N357</f>
        <v/>
      </c>
      <c r="O358" s="20">
        <f>N360+O357</f>
        <v/>
      </c>
      <c r="P358" s="20">
        <f>O360+P357</f>
        <v/>
      </c>
      <c r="Q358" s="20">
        <f>P360+Q357</f>
        <v/>
      </c>
      <c r="R358" s="20">
        <f>Q360+R357</f>
        <v/>
      </c>
      <c r="S358" s="20">
        <f>R360+S357</f>
        <v/>
      </c>
      <c r="T358" s="20">
        <f>S360+T357</f>
        <v/>
      </c>
      <c r="U358" s="20">
        <f>T360+U357</f>
        <v/>
      </c>
      <c r="V358" s="20">
        <f>U360+V357</f>
        <v/>
      </c>
      <c r="W358" s="20">
        <f>V360+W357</f>
        <v/>
      </c>
      <c r="X358" s="20">
        <f>W360+X357</f>
        <v/>
      </c>
      <c r="Y358" s="20">
        <f>X360+Y357</f>
        <v/>
      </c>
      <c r="Z358" s="20">
        <f>Y360+Z357</f>
        <v/>
      </c>
      <c r="AA358" s="20">
        <f>Z360+AA357</f>
        <v/>
      </c>
      <c r="AB358" s="20">
        <f>AA360+AB357</f>
        <v/>
      </c>
      <c r="AC358" s="20">
        <f>AB360+AC357</f>
        <v/>
      </c>
      <c r="AD358" s="20">
        <f>AC360+AD357</f>
        <v/>
      </c>
      <c r="AE358" s="20">
        <f>AD360+AE357</f>
        <v/>
      </c>
      <c r="AF358" s="20">
        <f>AE360+AF357</f>
        <v/>
      </c>
    </row>
    <row r="359">
      <c r="A359" s="3" t="inlineStr">
        <is>
          <t>IVA da versare il mese successivo</t>
        </is>
      </c>
      <c r="B359" s="4" t="inlineStr">
        <is>
          <t>€</t>
        </is>
      </c>
      <c r="C359" s="20">
        <f>MAX(0,C358)</f>
        <v/>
      </c>
      <c r="D359" s="20">
        <f>MAX(0,D358)</f>
        <v/>
      </c>
      <c r="E359" s="20">
        <f>MAX(0,E358)</f>
        <v/>
      </c>
      <c r="F359" s="20">
        <f>MAX(0,F358)</f>
        <v/>
      </c>
      <c r="G359" s="20">
        <f>MAX(0,G358)</f>
        <v/>
      </c>
      <c r="H359" s="20">
        <f>MAX(0,H358)</f>
        <v/>
      </c>
      <c r="I359" s="20">
        <f>MAX(0,I358)</f>
        <v/>
      </c>
      <c r="J359" s="20">
        <f>MAX(0,J358)</f>
        <v/>
      </c>
      <c r="K359" s="20">
        <f>MAX(0,K358)</f>
        <v/>
      </c>
      <c r="L359" s="20">
        <f>MAX(0,L358)</f>
        <v/>
      </c>
      <c r="M359" s="20">
        <f>MAX(0,M358)</f>
        <v/>
      </c>
      <c r="N359" s="20">
        <f>MAX(0,N358)</f>
        <v/>
      </c>
      <c r="O359" s="20">
        <f>MAX(0,O358)</f>
        <v/>
      </c>
      <c r="P359" s="20">
        <f>MAX(0,P358)</f>
        <v/>
      </c>
      <c r="Q359" s="20">
        <f>MAX(0,Q358)</f>
        <v/>
      </c>
      <c r="R359" s="20">
        <f>MAX(0,R358)</f>
        <v/>
      </c>
      <c r="S359" s="20">
        <f>MAX(0,S358)</f>
        <v/>
      </c>
      <c r="T359" s="20">
        <f>MAX(0,T358)</f>
        <v/>
      </c>
      <c r="U359" s="20">
        <f>MAX(0,U358)</f>
        <v/>
      </c>
      <c r="V359" s="20">
        <f>MAX(0,V358)</f>
        <v/>
      </c>
      <c r="W359" s="20">
        <f>MAX(0,W358)</f>
        <v/>
      </c>
      <c r="X359" s="20">
        <f>MAX(0,X358)</f>
        <v/>
      </c>
      <c r="Y359" s="20">
        <f>MAX(0,Y358)</f>
        <v/>
      </c>
      <c r="Z359" s="20">
        <f>MAX(0,Z358)</f>
        <v/>
      </c>
      <c r="AA359" s="20">
        <f>MAX(0,AA358)</f>
        <v/>
      </c>
      <c r="AB359" s="20">
        <f>MAX(0,AB358)</f>
        <v/>
      </c>
      <c r="AC359" s="20">
        <f>MAX(0,AC358)</f>
        <v/>
      </c>
      <c r="AD359" s="20">
        <f>MAX(0,AD358)</f>
        <v/>
      </c>
      <c r="AE359" s="20">
        <f>MAX(0,AE358)</f>
        <v/>
      </c>
      <c r="AF359" s="20">
        <f>MAX(0,AF358)</f>
        <v/>
      </c>
    </row>
    <row r="360">
      <c r="A360" s="3" t="inlineStr">
        <is>
          <t>Posizione dopo il versamento (negativo = credito)</t>
        </is>
      </c>
      <c r="B360" s="4" t="inlineStr">
        <is>
          <t>€</t>
        </is>
      </c>
      <c r="C360" s="20">
        <f>MIN(0,C358)</f>
        <v/>
      </c>
      <c r="D360" s="20">
        <f>MIN(0,D358)</f>
        <v/>
      </c>
      <c r="E360" s="20">
        <f>MIN(0,E358)</f>
        <v/>
      </c>
      <c r="F360" s="20">
        <f>MIN(0,F358)</f>
        <v/>
      </c>
      <c r="G360" s="20">
        <f>MIN(0,G358)</f>
        <v/>
      </c>
      <c r="H360" s="20">
        <f>MIN(0,H358)</f>
        <v/>
      </c>
      <c r="I360" s="20">
        <f>MIN(0,I358)</f>
        <v/>
      </c>
      <c r="J360" s="20">
        <f>MIN(0,J358)</f>
        <v/>
      </c>
      <c r="K360" s="20">
        <f>MIN(0,K358)</f>
        <v/>
      </c>
      <c r="L360" s="20">
        <f>MIN(0,L358)</f>
        <v/>
      </c>
      <c r="M360" s="20">
        <f>MIN(0,M358)</f>
        <v/>
      </c>
      <c r="N360" s="20">
        <f>MIN(0,N358)</f>
        <v/>
      </c>
      <c r="O360" s="20">
        <f>MIN(0,O358)</f>
        <v/>
      </c>
      <c r="P360" s="20">
        <f>MIN(0,P358)</f>
        <v/>
      </c>
      <c r="Q360" s="20">
        <f>MIN(0,Q358)</f>
        <v/>
      </c>
      <c r="R360" s="20">
        <f>MIN(0,R358)</f>
        <v/>
      </c>
      <c r="S360" s="20">
        <f>MIN(0,S358)</f>
        <v/>
      </c>
      <c r="T360" s="20">
        <f>MIN(0,T358)</f>
        <v/>
      </c>
      <c r="U360" s="20">
        <f>MIN(0,U358)</f>
        <v/>
      </c>
      <c r="V360" s="20">
        <f>MIN(0,V358)</f>
        <v/>
      </c>
      <c r="W360" s="20">
        <f>MIN(0,W358)</f>
        <v/>
      </c>
      <c r="X360" s="20">
        <f>MIN(0,X358)</f>
        <v/>
      </c>
      <c r="Y360" s="20">
        <f>MIN(0,Y358)</f>
        <v/>
      </c>
      <c r="Z360" s="20">
        <f>MIN(0,Z358)</f>
        <v/>
      </c>
      <c r="AA360" s="20">
        <f>MIN(0,AA358)</f>
        <v/>
      </c>
      <c r="AB360" s="20">
        <f>MIN(0,AB358)</f>
        <v/>
      </c>
      <c r="AC360" s="20">
        <f>MIN(0,AC358)</f>
        <v/>
      </c>
      <c r="AD360" s="20">
        <f>MIN(0,AD358)</f>
        <v/>
      </c>
      <c r="AE360" s="20">
        <f>MIN(0,AE358)</f>
        <v/>
      </c>
      <c r="AF360" s="20">
        <f>MIN(0,AF358)</f>
        <v/>
      </c>
    </row>
    <row r="361">
      <c r="A361" s="3" t="inlineStr">
        <is>
          <t>IVA versata nel mese</t>
        </is>
      </c>
      <c r="B361" s="4" t="inlineStr">
        <is>
          <t>€</t>
        </is>
      </c>
      <c r="C361" s="20" t="n">
        <v>0</v>
      </c>
      <c r="D361" s="20">
        <f>C359</f>
        <v/>
      </c>
      <c r="E361" s="20">
        <f>D359</f>
        <v/>
      </c>
      <c r="F361" s="20">
        <f>E359</f>
        <v/>
      </c>
      <c r="G361" s="20">
        <f>F359</f>
        <v/>
      </c>
      <c r="H361" s="20">
        <f>G359</f>
        <v/>
      </c>
      <c r="I361" s="20">
        <f>H359</f>
        <v/>
      </c>
      <c r="J361" s="20">
        <f>I359</f>
        <v/>
      </c>
      <c r="K361" s="20">
        <f>J359</f>
        <v/>
      </c>
      <c r="L361" s="20">
        <f>K359</f>
        <v/>
      </c>
      <c r="M361" s="20">
        <f>L359</f>
        <v/>
      </c>
      <c r="N361" s="20">
        <f>M359</f>
        <v/>
      </c>
      <c r="O361" s="20">
        <f>N359</f>
        <v/>
      </c>
      <c r="P361" s="20">
        <f>O359</f>
        <v/>
      </c>
      <c r="Q361" s="20">
        <f>P359</f>
        <v/>
      </c>
      <c r="R361" s="20">
        <f>Q359</f>
        <v/>
      </c>
      <c r="S361" s="20">
        <f>R359</f>
        <v/>
      </c>
      <c r="T361" s="20">
        <f>S359</f>
        <v/>
      </c>
      <c r="U361" s="20">
        <f>T359</f>
        <v/>
      </c>
      <c r="V361" s="20">
        <f>U359</f>
        <v/>
      </c>
      <c r="W361" s="20">
        <f>V359</f>
        <v/>
      </c>
      <c r="X361" s="20">
        <f>W359</f>
        <v/>
      </c>
      <c r="Y361" s="20">
        <f>X359</f>
        <v/>
      </c>
      <c r="Z361" s="20">
        <f>Y359</f>
        <v/>
      </c>
      <c r="AA361" s="20">
        <f>Z359</f>
        <v/>
      </c>
      <c r="AB361" s="20">
        <f>AA359</f>
        <v/>
      </c>
      <c r="AC361" s="20">
        <f>AB359</f>
        <v/>
      </c>
      <c r="AD361" s="20">
        <f>AC359</f>
        <v/>
      </c>
      <c r="AE361" s="20">
        <f>AD359</f>
        <v/>
      </c>
      <c r="AF361" s="20">
        <f>AE359</f>
        <v/>
      </c>
    </row>
    <row r="362">
      <c r="A362" s="3" t="inlineStr">
        <is>
          <t>Credito IVA a fine mese</t>
        </is>
      </c>
      <c r="B362" s="4" t="inlineStr">
        <is>
          <t>€</t>
        </is>
      </c>
      <c r="C362" s="20">
        <f>-C360</f>
        <v/>
      </c>
      <c r="D362" s="20">
        <f>-D360</f>
        <v/>
      </c>
      <c r="E362" s="20">
        <f>-E360</f>
        <v/>
      </c>
      <c r="F362" s="20">
        <f>-F360</f>
        <v/>
      </c>
      <c r="G362" s="20">
        <f>-G360</f>
        <v/>
      </c>
      <c r="H362" s="20">
        <f>-H360</f>
        <v/>
      </c>
      <c r="I362" s="20">
        <f>-I360</f>
        <v/>
      </c>
      <c r="J362" s="20">
        <f>-J360</f>
        <v/>
      </c>
      <c r="K362" s="20">
        <f>-K360</f>
        <v/>
      </c>
      <c r="L362" s="20">
        <f>-L360</f>
        <v/>
      </c>
      <c r="M362" s="20">
        <f>-M360</f>
        <v/>
      </c>
      <c r="N362" s="20">
        <f>-N360</f>
        <v/>
      </c>
      <c r="O362" s="20">
        <f>-O360</f>
        <v/>
      </c>
      <c r="P362" s="20">
        <f>-P360</f>
        <v/>
      </c>
      <c r="Q362" s="20">
        <f>-Q360</f>
        <v/>
      </c>
      <c r="R362" s="20">
        <f>-R360</f>
        <v/>
      </c>
      <c r="S362" s="20">
        <f>-S360</f>
        <v/>
      </c>
      <c r="T362" s="20">
        <f>-T360</f>
        <v/>
      </c>
      <c r="U362" s="20">
        <f>-U360</f>
        <v/>
      </c>
      <c r="V362" s="20">
        <f>-V360</f>
        <v/>
      </c>
      <c r="W362" s="20">
        <f>-W360</f>
        <v/>
      </c>
      <c r="X362" s="20">
        <f>-X360</f>
        <v/>
      </c>
      <c r="Y362" s="20">
        <f>-Y360</f>
        <v/>
      </c>
      <c r="Z362" s="20">
        <f>-Z360</f>
        <v/>
      </c>
      <c r="AA362" s="20">
        <f>-AA360</f>
        <v/>
      </c>
      <c r="AB362" s="20">
        <f>-AB360</f>
        <v/>
      </c>
      <c r="AC362" s="20">
        <f>-AC360</f>
        <v/>
      </c>
      <c r="AD362" s="20">
        <f>-AD360</f>
        <v/>
      </c>
      <c r="AE362" s="20">
        <f>-AE360</f>
        <v/>
      </c>
      <c r="AF362" s="20">
        <f>-AF360</f>
        <v/>
      </c>
    </row>
    <row r="364">
      <c r="A364" s="10" t="inlineStr">
        <is>
          <t>Cassa</t>
        </is>
      </c>
    </row>
    <row r="365">
      <c r="A365" s="3" t="inlineStr">
        <is>
          <t>Capitale versato</t>
        </is>
      </c>
      <c r="B365" s="4" t="inlineStr">
        <is>
          <t>€</t>
        </is>
      </c>
      <c r="C365" s="20">
        <f>IF(C105=1,$C$41,0)+IF(C105=$C$42,$C$43,0)</f>
        <v/>
      </c>
      <c r="D365" s="20">
        <f>IF(D105=1,$C$41,0)+IF(D105=$C$42,$C$43,0)</f>
        <v/>
      </c>
      <c r="E365" s="20">
        <f>IF(E105=1,$C$41,0)+IF(E105=$C$42,$C$43,0)</f>
        <v/>
      </c>
      <c r="F365" s="20">
        <f>IF(F105=1,$C$41,0)+IF(F105=$C$42,$C$43,0)</f>
        <v/>
      </c>
      <c r="G365" s="20">
        <f>IF(G105=1,$C$41,0)+IF(G105=$C$42,$C$43,0)</f>
        <v/>
      </c>
      <c r="H365" s="20">
        <f>IF(H105=1,$C$41,0)+IF(H105=$C$42,$C$43,0)</f>
        <v/>
      </c>
      <c r="I365" s="20">
        <f>IF(I105=1,$C$41,0)+IF(I105=$C$42,$C$43,0)</f>
        <v/>
      </c>
      <c r="J365" s="20">
        <f>IF(J105=1,$C$41,0)+IF(J105=$C$42,$C$43,0)</f>
        <v/>
      </c>
      <c r="K365" s="20">
        <f>IF(K105=1,$C$41,0)+IF(K105=$C$42,$C$43,0)</f>
        <v/>
      </c>
      <c r="L365" s="20">
        <f>IF(L105=1,$C$41,0)+IF(L105=$C$42,$C$43,0)</f>
        <v/>
      </c>
      <c r="M365" s="20">
        <f>IF(M105=1,$C$41,0)+IF(M105=$C$42,$C$43,0)</f>
        <v/>
      </c>
      <c r="N365" s="20">
        <f>IF(N105=1,$C$41,0)+IF(N105=$C$42,$C$43,0)</f>
        <v/>
      </c>
      <c r="O365" s="20">
        <f>IF(O105=1,$C$41,0)+IF(O105=$C$42,$C$43,0)</f>
        <v/>
      </c>
      <c r="P365" s="20">
        <f>IF(P105=1,$C$41,0)+IF(P105=$C$42,$C$43,0)</f>
        <v/>
      </c>
      <c r="Q365" s="20">
        <f>IF(Q105=1,$C$41,0)+IF(Q105=$C$42,$C$43,0)</f>
        <v/>
      </c>
      <c r="R365" s="20">
        <f>IF(R105=1,$C$41,0)+IF(R105=$C$42,$C$43,0)</f>
        <v/>
      </c>
      <c r="S365" s="20">
        <f>IF(S105=1,$C$41,0)+IF(S105=$C$42,$C$43,0)</f>
        <v/>
      </c>
      <c r="T365" s="20">
        <f>IF(T105=1,$C$41,0)+IF(T105=$C$42,$C$43,0)</f>
        <v/>
      </c>
      <c r="U365" s="20">
        <f>IF(U105=1,$C$41,0)+IF(U105=$C$42,$C$43,0)</f>
        <v/>
      </c>
      <c r="V365" s="20">
        <f>IF(V105=1,$C$41,0)+IF(V105=$C$42,$C$43,0)</f>
        <v/>
      </c>
      <c r="W365" s="20">
        <f>IF(W105=1,$C$41,0)+IF(W105=$C$42,$C$43,0)</f>
        <v/>
      </c>
      <c r="X365" s="20">
        <f>IF(X105=1,$C$41,0)+IF(X105=$C$42,$C$43,0)</f>
        <v/>
      </c>
      <c r="Y365" s="20">
        <f>IF(Y105=1,$C$41,0)+IF(Y105=$C$42,$C$43,0)</f>
        <v/>
      </c>
      <c r="Z365" s="20">
        <f>IF(Z105=1,$C$41,0)+IF(Z105=$C$42,$C$43,0)</f>
        <v/>
      </c>
      <c r="AA365" s="20">
        <f>IF(AA105=1,$C$41,0)+IF(AA105=$C$42,$C$43,0)</f>
        <v/>
      </c>
      <c r="AB365" s="20">
        <f>IF(AB105=1,$C$41,0)+IF(AB105=$C$42,$C$43,0)</f>
        <v/>
      </c>
      <c r="AC365" s="20">
        <f>IF(AC105=1,$C$41,0)+IF(AC105=$C$42,$C$43,0)</f>
        <v/>
      </c>
      <c r="AD365" s="20">
        <f>IF(AD105=1,$C$41,0)+IF(AD105=$C$42,$C$43,0)</f>
        <v/>
      </c>
      <c r="AE365" s="20">
        <f>IF(AE105=1,$C$41,0)+IF(AE105=$C$42,$C$43,0)</f>
        <v/>
      </c>
      <c r="AF365" s="20">
        <f>IF(AF105=1,$C$41,0)+IF(AF105=$C$42,$C$43,0)</f>
        <v/>
      </c>
    </row>
    <row r="366">
      <c r="A366" s="3" t="inlineStr">
        <is>
          <t>Entrate: capitale e incassi</t>
        </is>
      </c>
      <c r="B366" s="4" t="inlineStr">
        <is>
          <t>€</t>
        </is>
      </c>
      <c r="C366" s="20">
        <f>C365+C284</f>
        <v/>
      </c>
      <c r="D366" s="20">
        <f>D365+D284</f>
        <v/>
      </c>
      <c r="E366" s="20">
        <f>E365+E284</f>
        <v/>
      </c>
      <c r="F366" s="20">
        <f>F365+F284</f>
        <v/>
      </c>
      <c r="G366" s="20">
        <f>G365+G284</f>
        <v/>
      </c>
      <c r="H366" s="20">
        <f>H365+H284</f>
        <v/>
      </c>
      <c r="I366" s="20">
        <f>I365+I284</f>
        <v/>
      </c>
      <c r="J366" s="20">
        <f>J365+J284</f>
        <v/>
      </c>
      <c r="K366" s="20">
        <f>K365+K284</f>
        <v/>
      </c>
      <c r="L366" s="20">
        <f>L365+L284</f>
        <v/>
      </c>
      <c r="M366" s="20">
        <f>M365+M284</f>
        <v/>
      </c>
      <c r="N366" s="20">
        <f>N365+N284</f>
        <v/>
      </c>
      <c r="O366" s="20">
        <f>O365+O284</f>
        <v/>
      </c>
      <c r="P366" s="20">
        <f>P365+P284</f>
        <v/>
      </c>
      <c r="Q366" s="20">
        <f>Q365+Q284</f>
        <v/>
      </c>
      <c r="R366" s="20">
        <f>R365+R284</f>
        <v/>
      </c>
      <c r="S366" s="20">
        <f>S365+S284</f>
        <v/>
      </c>
      <c r="T366" s="20">
        <f>T365+T284</f>
        <v/>
      </c>
      <c r="U366" s="20">
        <f>U365+U284</f>
        <v/>
      </c>
      <c r="V366" s="20">
        <f>V365+V284</f>
        <v/>
      </c>
      <c r="W366" s="20">
        <f>W365+W284</f>
        <v/>
      </c>
      <c r="X366" s="20">
        <f>X365+X284</f>
        <v/>
      </c>
      <c r="Y366" s="20">
        <f>Y365+Y284</f>
        <v/>
      </c>
      <c r="Z366" s="20">
        <f>Z365+Z284</f>
        <v/>
      </c>
      <c r="AA366" s="20">
        <f>AA365+AA284</f>
        <v/>
      </c>
      <c r="AB366" s="20">
        <f>AB365+AB284</f>
        <v/>
      </c>
      <c r="AC366" s="20">
        <f>AC365+AC284</f>
        <v/>
      </c>
      <c r="AD366" s="20">
        <f>AD365+AD284</f>
        <v/>
      </c>
      <c r="AE366" s="20">
        <f>AE365+AE284</f>
        <v/>
      </c>
      <c r="AF366" s="20">
        <f>AF365+AF284</f>
        <v/>
      </c>
    </row>
    <row r="367">
      <c r="A367" s="3" t="inlineStr">
        <is>
          <t>Uscite totali</t>
        </is>
      </c>
      <c r="B367" s="4" t="inlineStr">
        <is>
          <t>€</t>
        </is>
      </c>
      <c r="C367" s="20">
        <f>C287+C289*(1+$C$44)+C290+C291+C107+C116+C354+C355+C349+C350+C346*(1+$C$44)+C361</f>
        <v/>
      </c>
      <c r="D367" s="20">
        <f>D287+D289*(1+$C$44)+D290+D291+D107+D116+D354+D355+D349+D350+D346*(1+$C$44)+D361</f>
        <v/>
      </c>
      <c r="E367" s="20">
        <f>E287+E289*(1+$C$44)+E290+E291+E107+E116+E354+E355+E349+E350+E346*(1+$C$44)+E361</f>
        <v/>
      </c>
      <c r="F367" s="20">
        <f>F287+F289*(1+$C$44)+F290+F291+F107+F116+F354+F355+F349+F350+F346*(1+$C$44)+F361</f>
        <v/>
      </c>
      <c r="G367" s="20">
        <f>G287+G289*(1+$C$44)+G290+G291+G107+G116+G354+G355+G349+G350+G346*(1+$C$44)+G361</f>
        <v/>
      </c>
      <c r="H367" s="20">
        <f>H287+H289*(1+$C$44)+H290+H291+H107+H116+H354+H355+H349+H350+H346*(1+$C$44)+H361</f>
        <v/>
      </c>
      <c r="I367" s="20">
        <f>I287+I289*(1+$C$44)+I290+I291+I107+I116+I354+I355+I349+I350+I346*(1+$C$44)+I361</f>
        <v/>
      </c>
      <c r="J367" s="20">
        <f>J287+J289*(1+$C$44)+J290+J291+J107+J116+J354+J355+J349+J350+J346*(1+$C$44)+J361</f>
        <v/>
      </c>
      <c r="K367" s="20">
        <f>K287+K289*(1+$C$44)+K290+K291+K107+K116+K354+K355+K349+K350+K346*(1+$C$44)+K361</f>
        <v/>
      </c>
      <c r="L367" s="20">
        <f>L287+L289*(1+$C$44)+L290+L291+L107+L116+L354+L355+L349+L350+L346*(1+$C$44)+L361</f>
        <v/>
      </c>
      <c r="M367" s="20">
        <f>M287+M289*(1+$C$44)+M290+M291+M107+M116+M354+M355+M349+M350+M346*(1+$C$44)+M361</f>
        <v/>
      </c>
      <c r="N367" s="20">
        <f>N287+N289*(1+$C$44)+N290+N291+N107+N116+N354+N355+N349+N350+N346*(1+$C$44)+N361</f>
        <v/>
      </c>
      <c r="O367" s="20">
        <f>O287+O289*(1+$C$44)+O290+O291+O107+O116+O354+O355+O349+O350+O346*(1+$C$44)+O361</f>
        <v/>
      </c>
      <c r="P367" s="20">
        <f>P287+P289*(1+$C$44)+P290+P291+P107+P116+P354+P355+P349+P350+P346*(1+$C$44)+P361</f>
        <v/>
      </c>
      <c r="Q367" s="20">
        <f>Q287+Q289*(1+$C$44)+Q290+Q291+Q107+Q116+Q354+Q355+Q349+Q350+Q346*(1+$C$44)+Q361</f>
        <v/>
      </c>
      <c r="R367" s="20">
        <f>R287+R289*(1+$C$44)+R290+R291+R107+R116+R354+R355+R349+R350+R346*(1+$C$44)+R361</f>
        <v/>
      </c>
      <c r="S367" s="20">
        <f>S287+S289*(1+$C$44)+S290+S291+S107+S116+S354+S355+S349+S350+S346*(1+$C$44)+S361</f>
        <v/>
      </c>
      <c r="T367" s="20">
        <f>T287+T289*(1+$C$44)+T290+T291+T107+T116+T354+T355+T349+T350+T346*(1+$C$44)+T361</f>
        <v/>
      </c>
      <c r="U367" s="20">
        <f>U287+U289*(1+$C$44)+U290+U291+U107+U116+U354+U355+U349+U350+U346*(1+$C$44)+U361</f>
        <v/>
      </c>
      <c r="V367" s="20">
        <f>V287+V289*(1+$C$44)+V290+V291+V107+V116+V354+V355+V349+V350+V346*(1+$C$44)+V361</f>
        <v/>
      </c>
      <c r="W367" s="20">
        <f>W287+W289*(1+$C$44)+W290+W291+W107+W116+W354+W355+W349+W350+W346*(1+$C$44)+W361</f>
        <v/>
      </c>
      <c r="X367" s="20">
        <f>X287+X289*(1+$C$44)+X290+X291+X107+X116+X354+X355+X349+X350+X346*(1+$C$44)+X361</f>
        <v/>
      </c>
      <c r="Y367" s="20">
        <f>Y287+Y289*(1+$C$44)+Y290+Y291+Y107+Y116+Y354+Y355+Y349+Y350+Y346*(1+$C$44)+Y361</f>
        <v/>
      </c>
      <c r="Z367" s="20">
        <f>Z287+Z289*(1+$C$44)+Z290+Z291+Z107+Z116+Z354+Z355+Z349+Z350+Z346*(1+$C$44)+Z361</f>
        <v/>
      </c>
      <c r="AA367" s="20">
        <f>AA287+AA289*(1+$C$44)+AA290+AA291+AA107+AA116+AA354+AA355+AA349+AA350+AA346*(1+$C$44)+AA361</f>
        <v/>
      </c>
      <c r="AB367" s="20">
        <f>AB287+AB289*(1+$C$44)+AB290+AB291+AB107+AB116+AB354+AB355+AB349+AB350+AB346*(1+$C$44)+AB361</f>
        <v/>
      </c>
      <c r="AC367" s="20">
        <f>AC287+AC289*(1+$C$44)+AC290+AC291+AC107+AC116+AC354+AC355+AC349+AC350+AC346*(1+$C$44)+AC361</f>
        <v/>
      </c>
      <c r="AD367" s="20">
        <f>AD287+AD289*(1+$C$44)+AD290+AD291+AD107+AD116+AD354+AD355+AD349+AD350+AD346*(1+$C$44)+AD361</f>
        <v/>
      </c>
      <c r="AE367" s="20">
        <f>AE287+AE289*(1+$C$44)+AE290+AE291+AE107+AE116+AE354+AE355+AE349+AE350+AE346*(1+$C$44)+AE361</f>
        <v/>
      </c>
      <c r="AF367" s="20">
        <f>AF287+AF289*(1+$C$44)+AF290+AF291+AF107+AF116+AF354+AF355+AF349+AF350+AF346*(1+$C$44)+AF361</f>
        <v/>
      </c>
    </row>
    <row r="368">
      <c r="A368" s="3" t="inlineStr">
        <is>
          <t>Cassa a fine mese</t>
        </is>
      </c>
      <c r="B368" s="4" t="inlineStr">
        <is>
          <t>€</t>
        </is>
      </c>
      <c r="C368" s="26">
        <f>C366-C367</f>
        <v/>
      </c>
      <c r="D368" s="26">
        <f>C368+D366-D367</f>
        <v/>
      </c>
      <c r="E368" s="26">
        <f>D368+E366-E367</f>
        <v/>
      </c>
      <c r="F368" s="26">
        <f>E368+F366-F367</f>
        <v/>
      </c>
      <c r="G368" s="26">
        <f>F368+G366-G367</f>
        <v/>
      </c>
      <c r="H368" s="26">
        <f>G368+H366-H367</f>
        <v/>
      </c>
      <c r="I368" s="26">
        <f>H368+I366-I367</f>
        <v/>
      </c>
      <c r="J368" s="26">
        <f>I368+J366-J367</f>
        <v/>
      </c>
      <c r="K368" s="26">
        <f>J368+K366-K367</f>
        <v/>
      </c>
      <c r="L368" s="26">
        <f>K368+L366-L367</f>
        <v/>
      </c>
      <c r="M368" s="26">
        <f>L368+M366-M367</f>
        <v/>
      </c>
      <c r="N368" s="26">
        <f>M368+N366-N367</f>
        <v/>
      </c>
      <c r="O368" s="26">
        <f>N368+O366-O367</f>
        <v/>
      </c>
      <c r="P368" s="26">
        <f>O368+P366-P367</f>
        <v/>
      </c>
      <c r="Q368" s="26">
        <f>P368+Q366-Q367</f>
        <v/>
      </c>
      <c r="R368" s="26">
        <f>Q368+R366-R367</f>
        <v/>
      </c>
      <c r="S368" s="26">
        <f>R368+S366-S367</f>
        <v/>
      </c>
      <c r="T368" s="26">
        <f>S368+T366-T367</f>
        <v/>
      </c>
      <c r="U368" s="26">
        <f>T368+U366-U367</f>
        <v/>
      </c>
      <c r="V368" s="26">
        <f>U368+V366-V367</f>
        <v/>
      </c>
      <c r="W368" s="26">
        <f>V368+W366-W367</f>
        <v/>
      </c>
      <c r="X368" s="26">
        <f>W368+X366-X367</f>
        <v/>
      </c>
      <c r="Y368" s="26">
        <f>X368+Y366-Y367</f>
        <v/>
      </c>
      <c r="Z368" s="26">
        <f>Y368+Z366-Z367</f>
        <v/>
      </c>
      <c r="AA368" s="26">
        <f>Z368+AA366-AA367</f>
        <v/>
      </c>
      <c r="AB368" s="26">
        <f>AA368+AB366-AB367</f>
        <v/>
      </c>
      <c r="AC368" s="26">
        <f>AB368+AC366-AC367</f>
        <v/>
      </c>
      <c r="AD368" s="26">
        <f>AC368+AD366-AD367</f>
        <v/>
      </c>
      <c r="AE368" s="26">
        <f>AD368+AE366-AE367</f>
        <v/>
      </c>
      <c r="AF368" s="26">
        <f>AE368+AF366-AF367</f>
        <v/>
      </c>
    </row>
    <row r="369">
      <c r="A369" s="3" t="inlineStr">
        <is>
          <t>Garanzia: rimborsi attesi non ancora pagati (lordi)</t>
        </is>
      </c>
      <c r="B369" s="4" t="inlineStr">
        <is>
          <t>€</t>
        </is>
      </c>
      <c r="C369" s="20">
        <f>SUM($C$112:C112)*$C$12*$C$13*$H$76-SUM($C$287:C287)</f>
        <v/>
      </c>
      <c r="D369" s="20">
        <f>SUM($C$112:D112)*$C$12*$C$13*$H$76-SUM($C$287:D287)</f>
        <v/>
      </c>
      <c r="E369" s="20">
        <f>SUM($C$112:E112)*$C$12*$C$13*$H$76-SUM($C$287:E287)</f>
        <v/>
      </c>
      <c r="F369" s="20">
        <f>SUM($C$112:F112)*$C$12*$C$13*$H$76-SUM($C$287:F287)</f>
        <v/>
      </c>
      <c r="G369" s="20">
        <f>SUM($C$112:G112)*$C$12*$C$13*$H$76-SUM($C$287:G287)</f>
        <v/>
      </c>
      <c r="H369" s="20">
        <f>SUM($C$112:H112)*$C$12*$C$13*$H$76-SUM($C$287:H287)</f>
        <v/>
      </c>
      <c r="I369" s="20">
        <f>SUM($C$112:I112)*$C$12*$C$13*$H$76-SUM($C$287:I287)</f>
        <v/>
      </c>
      <c r="J369" s="20">
        <f>SUM($C$112:J112)*$C$12*$C$13*$H$76-SUM($C$287:J287)</f>
        <v/>
      </c>
      <c r="K369" s="20">
        <f>SUM($C$112:K112)*$C$12*$C$13*$H$76-SUM($C$287:K287)</f>
        <v/>
      </c>
      <c r="L369" s="20">
        <f>SUM($C$112:L112)*$C$12*$C$13*$H$76-SUM($C$287:L287)</f>
        <v/>
      </c>
      <c r="M369" s="20">
        <f>SUM($C$112:M112)*$C$12*$C$13*$H$76-SUM($C$287:M287)</f>
        <v/>
      </c>
      <c r="N369" s="20">
        <f>SUM($C$112:N112)*$C$12*$C$13*$H$76-SUM($C$287:N287)</f>
        <v/>
      </c>
      <c r="O369" s="20">
        <f>SUM($C$112:O112)*$C$12*$C$13*$H$76-SUM($C$287:O287)</f>
        <v/>
      </c>
      <c r="P369" s="20">
        <f>SUM($C$112:P112)*$C$12*$C$13*$H$76-SUM($C$287:P287)</f>
        <v/>
      </c>
      <c r="Q369" s="20">
        <f>SUM($C$112:Q112)*$C$12*$C$13*$H$76-SUM($C$287:Q287)</f>
        <v/>
      </c>
      <c r="R369" s="20">
        <f>SUM($C$112:R112)*$C$12*$C$13*$H$76-SUM($C$287:R287)</f>
        <v/>
      </c>
      <c r="S369" s="20">
        <f>SUM($C$112:S112)*$C$12*$C$13*$H$76-SUM($C$287:S287)</f>
        <v/>
      </c>
      <c r="T369" s="20">
        <f>SUM($C$112:T112)*$C$12*$C$13*$H$76-SUM($C$287:T287)</f>
        <v/>
      </c>
      <c r="U369" s="20">
        <f>SUM($C$112:U112)*$C$12*$C$13*$H$76-SUM($C$287:U287)</f>
        <v/>
      </c>
      <c r="V369" s="20">
        <f>SUM($C$112:V112)*$C$12*$C$13*$H$76-SUM($C$287:V287)</f>
        <v/>
      </c>
      <c r="W369" s="20">
        <f>SUM($C$112:W112)*$C$12*$C$13*$H$76-SUM($C$287:W287)</f>
        <v/>
      </c>
      <c r="X369" s="20">
        <f>SUM($C$112:X112)*$C$12*$C$13*$H$76-SUM($C$287:X287)</f>
        <v/>
      </c>
      <c r="Y369" s="20">
        <f>SUM($C$112:Y112)*$C$12*$C$13*$H$76-SUM($C$287:Y287)</f>
        <v/>
      </c>
      <c r="Z369" s="20">
        <f>SUM($C$112:Z112)*$C$12*$C$13*$H$76-SUM($C$287:Z287)</f>
        <v/>
      </c>
      <c r="AA369" s="20">
        <f>SUM($C$112:AA112)*$C$12*$C$13*$H$76-SUM($C$287:AA287)</f>
        <v/>
      </c>
      <c r="AB369" s="20">
        <f>SUM($C$112:AB112)*$C$12*$C$13*$H$76-SUM($C$287:AB287)</f>
        <v/>
      </c>
      <c r="AC369" s="20">
        <f>SUM($C$112:AC112)*$C$12*$C$13*$H$76-SUM($C$287:AC287)</f>
        <v/>
      </c>
      <c r="AD369" s="20">
        <f>SUM($C$112:AD112)*$C$12*$C$13*$H$76-SUM($C$287:AD287)</f>
        <v/>
      </c>
      <c r="AE369" s="20">
        <f>SUM($C$112:AE112)*$C$12*$C$13*$H$76-SUM($C$287:AE287)</f>
        <v/>
      </c>
      <c r="AF369" s="20">
        <f>SUM($C$112:AF112)*$C$12*$C$13*$H$76-SUM($C$287:AF287)</f>
        <v/>
      </c>
    </row>
    <row r="370">
      <c r="A370" s="3" t="inlineStr">
        <is>
          <t>Risultato operativo del mese (competenza semplificata)</t>
        </is>
      </c>
      <c r="B370" s="4" t="inlineStr">
        <is>
          <t>€</t>
        </is>
      </c>
      <c r="C370" s="20">
        <f>C285-C292-C289-C290-C291-(C287-C288)-C107-C116-C349</f>
        <v/>
      </c>
      <c r="D370" s="20">
        <f>D285-D292-D289-D290-D291-(D287-D288)-D107-D116-D349</f>
        <v/>
      </c>
      <c r="E370" s="20">
        <f>E285-E292-E289-E290-E291-(E287-E288)-E107-E116-E349</f>
        <v/>
      </c>
      <c r="F370" s="20">
        <f>F285-F292-F289-F290-F291-(F287-F288)-F107-F116-F349</f>
        <v/>
      </c>
      <c r="G370" s="20">
        <f>G285-G292-G289-G290-G291-(G287-G288)-G107-G116-G349</f>
        <v/>
      </c>
      <c r="H370" s="20">
        <f>H285-H292-H289-H290-H291-(H287-H288)-H107-H116-H349</f>
        <v/>
      </c>
      <c r="I370" s="20">
        <f>I285-I292-I289-I290-I291-(I287-I288)-I107-I116-I349</f>
        <v/>
      </c>
      <c r="J370" s="20">
        <f>J285-J292-J289-J290-J291-(J287-J288)-J107-J116-J349</f>
        <v/>
      </c>
      <c r="K370" s="20">
        <f>K285-K292-K289-K290-K291-(K287-K288)-K107-K116-K349</f>
        <v/>
      </c>
      <c r="L370" s="20">
        <f>L285-L292-L289-L290-L291-(L287-L288)-L107-L116-L349</f>
        <v/>
      </c>
      <c r="M370" s="20">
        <f>M285-M292-M289-M290-M291-(M287-M288)-M107-M116-M349</f>
        <v/>
      </c>
      <c r="N370" s="20">
        <f>N285-N292-N289-N290-N291-(N287-N288)-N107-N116-N349</f>
        <v/>
      </c>
      <c r="O370" s="20">
        <f>O285-O292-O289-O290-O291-(O287-O288)-O107-O116-O349</f>
        <v/>
      </c>
      <c r="P370" s="20">
        <f>P285-P292-P289-P290-P291-(P287-P288)-P107-P116-P349</f>
        <v/>
      </c>
      <c r="Q370" s="20">
        <f>Q285-Q292-Q289-Q290-Q291-(Q287-Q288)-Q107-Q116-Q349</f>
        <v/>
      </c>
      <c r="R370" s="20">
        <f>R285-R292-R289-R290-R291-(R287-R288)-R107-R116-R349</f>
        <v/>
      </c>
      <c r="S370" s="20">
        <f>S285-S292-S289-S290-S291-(S287-S288)-S107-S116-S349</f>
        <v/>
      </c>
      <c r="T370" s="20">
        <f>T285-T292-T289-T290-T291-(T287-T288)-T107-T116-T349</f>
        <v/>
      </c>
      <c r="U370" s="20">
        <f>U285-U292-U289-U290-U291-(U287-U288)-U107-U116-U349</f>
        <v/>
      </c>
      <c r="V370" s="20">
        <f>V285-V292-V289-V290-V291-(V287-V288)-V107-V116-V349</f>
        <v/>
      </c>
      <c r="W370" s="20">
        <f>W285-W292-W289-W290-W291-(W287-W288)-W107-W116-W349</f>
        <v/>
      </c>
      <c r="X370" s="20">
        <f>X285-X292-X289-X290-X291-(X287-X288)-X107-X116-X349</f>
        <v/>
      </c>
      <c r="Y370" s="20">
        <f>Y285-Y292-Y289-Y290-Y291-(Y287-Y288)-Y107-Y116-Y349</f>
        <v/>
      </c>
      <c r="Z370" s="20">
        <f>Z285-Z292-Z289-Z290-Z291-(Z287-Z288)-Z107-Z116-Z349</f>
        <v/>
      </c>
      <c r="AA370" s="20">
        <f>AA285-AA292-AA289-AA290-AA291-(AA287-AA288)-AA107-AA116-AA349</f>
        <v/>
      </c>
      <c r="AB370" s="20">
        <f>AB285-AB292-AB289-AB290-AB291-(AB287-AB288)-AB107-AB116-AB349</f>
        <v/>
      </c>
      <c r="AC370" s="20">
        <f>AC285-AC292-AC289-AC290-AC291-(AC287-AC288)-AC107-AC116-AC349</f>
        <v/>
      </c>
      <c r="AD370" s="20">
        <f>AD285-AD292-AD289-AD290-AD291-(AD287-AD288)-AD107-AD116-AD349</f>
        <v/>
      </c>
      <c r="AE370" s="20">
        <f>AE285-AE292-AE289-AE290-AE291-(AE287-AE288)-AE107-AE116-AE349</f>
        <v/>
      </c>
      <c r="AF370" s="20">
        <f>AF285-AF292-AF289-AF290-AF291-(AF287-AF288)-AF107-AF116-AF349</f>
        <v/>
      </c>
    </row>
    <row r="372">
      <c r="A372" s="10" t="inlineStr">
        <is>
          <t>Sintesi dello scenario</t>
        </is>
      </c>
    </row>
    <row r="373">
      <c r="A373" s="3" t="inlineStr">
        <is>
          <t>Cassa minima</t>
        </is>
      </c>
      <c r="C373" s="27">
        <f>MIN($C$368:$AF$368)</f>
        <v/>
      </c>
    </row>
    <row r="374">
      <c r="A374" s="3" t="inlineStr">
        <is>
          <t>Mese della cassa minima</t>
        </is>
      </c>
      <c r="C374" s="28">
        <f>INDEX($C$105:$AF$105,1,MATCH(MIN($C$368:$AF$368),$C$368:$AF$368,0))</f>
        <v/>
      </c>
    </row>
    <row r="375">
      <c r="A375" s="3" t="inlineStr">
        <is>
          <t>Capitale assorbito fino al minimo (versato meno cassa minima)</t>
        </is>
      </c>
      <c r="C375" s="27">
        <f>SUM($C$365:$AF$365)-MIN($C$368:$AF$368)</f>
        <v/>
      </c>
    </row>
    <row r="376">
      <c r="A376" s="3" t="inlineStr">
        <is>
          <t>Cassa al mese 24</t>
        </is>
      </c>
      <c r="C376" s="27">
        <f>$Z$368</f>
        <v/>
      </c>
    </row>
    <row r="377">
      <c r="A377" s="3" t="inlineStr">
        <is>
          <t>Cassa al mese 30</t>
        </is>
      </c>
      <c r="C377" s="27">
        <f>$AF$368</f>
        <v/>
      </c>
    </row>
    <row r="378">
      <c r="A378" s="3" t="inlineStr">
        <is>
          <t>Nuovi clienti fino al mese 30</t>
        </is>
      </c>
      <c r="C378" s="29">
        <f>SUM($C$111:$AF$111)</f>
        <v/>
      </c>
    </row>
    <row r="379">
      <c r="A379" s="3" t="inlineStr">
        <is>
          <t>di cui da pubblicità</t>
        </is>
      </c>
      <c r="C379" s="29">
        <f>SUM($C$109:$AF$109)</f>
        <v/>
      </c>
    </row>
    <row r="380">
      <c r="A380" s="3" t="inlineStr">
        <is>
          <t>Pubblicità fino al mese 30</t>
        </is>
      </c>
      <c r="C380" s="27">
        <f>SUM($C$107:$AF$107)</f>
        <v/>
      </c>
    </row>
    <row r="381">
      <c r="A381" s="3" t="inlineStr">
        <is>
          <t>Ricavi netti fino al mese 30</t>
        </is>
      </c>
      <c r="C381" s="27">
        <f>SUM($C$285:$AF$285)</f>
        <v/>
      </c>
    </row>
    <row r="382">
      <c r="A382" s="3" t="inlineStr">
        <is>
          <t>Rimborsi di garanzia pagati fino al mese 30</t>
        </is>
      </c>
      <c r="C382" s="27">
        <f>SUM($C$287:$AF$287)</f>
        <v/>
      </c>
    </row>
    <row r="383">
      <c r="A383" s="3" t="inlineStr">
        <is>
          <t>Lotti ordinati</t>
        </is>
      </c>
      <c r="C383" s="28">
        <f>SUM($C$345:$AF$345)/$C$61</f>
        <v/>
      </c>
    </row>
    <row r="384">
      <c r="A384" s="3" t="inlineStr">
        <is>
          <t>Credito IVA massimo</t>
        </is>
      </c>
      <c r="C384" s="27">
        <f>MAX($C$362:$AF$362)</f>
        <v/>
      </c>
    </row>
    <row r="385">
      <c r="A385" s="3" t="inlineStr">
        <is>
          <t>Esposizione di garanzia massima</t>
        </is>
      </c>
      <c r="C385" s="27">
        <f>MAX($C$369:$AF$369)</f>
        <v/>
      </c>
    </row>
    <row r="386">
      <c r="A386" s="3" t="inlineStr">
        <is>
          <t>Valore del cliente medio a 6 mesi</t>
        </is>
      </c>
      <c r="C386" s="30">
        <f>$H$102</f>
        <v/>
      </c>
    </row>
    <row r="387">
      <c r="A387" s="3" t="inlineStr">
        <is>
          <t>Valore del cliente medio a 12 mesi</t>
        </is>
      </c>
      <c r="C387" s="30">
        <f>$N$102</f>
        <v/>
      </c>
    </row>
    <row r="388">
      <c r="A388" s="3" t="inlineStr">
        <is>
          <t>Valore del cliente medio a 24 mesi</t>
        </is>
      </c>
      <c r="C388" s="30">
        <f>$Z$102</f>
        <v/>
      </c>
    </row>
    <row r="389">
      <c r="A389" s="3" t="inlineStr">
        <is>
          <t>CAC massimo con la regola 2:1 sul valore a 24 mesi</t>
        </is>
      </c>
      <c r="C389" s="30">
        <f>$Z$102/2</f>
        <v/>
      </c>
    </row>
    <row r="390">
      <c r="A390" s="3" t="inlineStr">
        <is>
          <t>Contribuzione media del primo ordine</t>
        </is>
      </c>
      <c r="C390" s="30">
        <f>$C$102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Scenario 2: Lancio ritardato</t>
        </is>
      </c>
    </row>
    <row r="2">
      <c r="A2" s="4" t="inlineStr">
        <is>
          <t>Indice dello scenario (colonna di Parametri)</t>
        </is>
      </c>
      <c r="C2" s="2" t="n">
        <v>2</v>
      </c>
    </row>
    <row r="5">
      <c r="A5" s="10" t="inlineStr">
        <is>
          <t>Parametri dello scenario (da Parametri)</t>
        </is>
      </c>
    </row>
    <row r="6">
      <c r="A6" s="3" t="inlineStr">
        <is>
          <t>Mese del lancio</t>
        </is>
      </c>
      <c r="B6" s="4" t="inlineStr">
        <is>
          <t>mese</t>
        </is>
      </c>
      <c r="C6" s="21">
        <f>INDEX(Parametri!$D$5:$H$5,1,$C$2)</f>
        <v/>
      </c>
    </row>
    <row r="7">
      <c r="A7" s="3" t="inlineStr">
        <is>
          <t>Costo industriale per flacone</t>
        </is>
      </c>
      <c r="B7" s="4" t="inlineStr">
        <is>
          <t>€</t>
        </is>
      </c>
      <c r="C7" s="9">
        <f>INDEX(Parametri!$D$6:$H$6,1,$C$2)</f>
        <v/>
      </c>
    </row>
    <row r="8">
      <c r="A8" s="3" t="inlineStr">
        <is>
          <t>Quota nuovi clienti: percorso da 6</t>
        </is>
      </c>
      <c r="B8" s="4" t="inlineStr">
        <is>
          <t>%</t>
        </is>
      </c>
      <c r="C8" s="22">
        <f>INDEX(Parametri!$D$7:$H$7,1,$C$2)</f>
        <v/>
      </c>
    </row>
    <row r="9">
      <c r="A9" s="3" t="inlineStr">
        <is>
          <t>Quota nuovi clienti: percorso da 3</t>
        </is>
      </c>
      <c r="B9" s="4" t="inlineStr">
        <is>
          <t>%</t>
        </is>
      </c>
      <c r="C9" s="22">
        <f>INDEX(Parametri!$D$8:$H$8,1,$C$2)</f>
        <v/>
      </c>
    </row>
    <row r="10">
      <c r="A10" s="3" t="inlineStr">
        <is>
          <t>Quota nuovi clienti: abbonamento</t>
        </is>
      </c>
      <c r="B10" s="4" t="inlineStr">
        <is>
          <t>%</t>
        </is>
      </c>
      <c r="C10" s="22">
        <f>INDEX(Parametri!$D$9:$H$9,1,$C$2)</f>
        <v/>
      </c>
    </row>
    <row r="11">
      <c r="A11" s="3" t="inlineStr">
        <is>
          <t>Quota nuovi clienti: flacone singolo</t>
        </is>
      </c>
      <c r="B11" s="4" t="inlineStr">
        <is>
          <t>%</t>
        </is>
      </c>
      <c r="C11" s="22">
        <f>INDEX(Parametri!$D$10:$H$10,1,$C$2)</f>
        <v/>
      </c>
    </row>
    <row r="12">
      <c r="A12" s="3" t="inlineStr">
        <is>
          <t>Percorso da 6: quota che lo completa</t>
        </is>
      </c>
      <c r="B12" s="4" t="inlineStr">
        <is>
          <t>%</t>
        </is>
      </c>
      <c r="C12" s="22">
        <f>INDEX(Parametri!$D$11:$H$11,1,$C$2)</f>
        <v/>
      </c>
    </row>
    <row r="13">
      <c r="A13" s="3" t="inlineStr">
        <is>
          <t>Percorso da 6: chi completa e chiede il rimborso</t>
        </is>
      </c>
      <c r="B13" s="4" t="inlineStr">
        <is>
          <t>%</t>
        </is>
      </c>
      <c r="C13" s="22">
        <f>INDEX(Parametri!$D$12:$H$12,1,$C$2)</f>
        <v/>
      </c>
    </row>
    <row r="14">
      <c r="A14" s="3" t="inlineStr">
        <is>
          <t>Percorso da 6: riacquisto di chi completa senza rimborso</t>
        </is>
      </c>
      <c r="B14" s="4" t="inlineStr">
        <is>
          <t>%</t>
        </is>
      </c>
      <c r="C14" s="22">
        <f>INDEX(Parametri!$D$13:$H$13,1,$C$2)</f>
        <v/>
      </c>
    </row>
    <row r="15">
      <c r="A15" s="3" t="inlineStr">
        <is>
          <t>Percorso da 6: riacquisti successivi</t>
        </is>
      </c>
      <c r="B15" s="4" t="inlineStr">
        <is>
          <t>%</t>
        </is>
      </c>
      <c r="C15" s="22">
        <f>INDEX(Parametri!$D$14:$H$14,1,$C$2)</f>
        <v/>
      </c>
    </row>
    <row r="16">
      <c r="A16" s="3" t="inlineStr">
        <is>
          <t>Percorso da 3: riacquisto a 3 mesi</t>
        </is>
      </c>
      <c r="B16" s="4" t="inlineStr">
        <is>
          <t>%</t>
        </is>
      </c>
      <c r="C16" s="22">
        <f>INDEX(Parametri!$D$15:$H$15,1,$C$2)</f>
        <v/>
      </c>
    </row>
    <row r="17">
      <c r="A17" s="3" t="inlineStr">
        <is>
          <t>Percorso da 3: riacquisti successivi</t>
        </is>
      </c>
      <c r="B17" s="4" t="inlineStr">
        <is>
          <t>%</t>
        </is>
      </c>
      <c r="C17" s="22">
        <f>INDEX(Parametri!$D$16:$H$16,1,$C$2)</f>
        <v/>
      </c>
    </row>
    <row r="18">
      <c r="A18" s="3" t="inlineStr">
        <is>
          <t>Abbonamento: rinnovo dopo il 1° invio</t>
        </is>
      </c>
      <c r="B18" s="4" t="inlineStr">
        <is>
          <t>%</t>
        </is>
      </c>
      <c r="C18" s="22">
        <f>INDEX(Parametri!$D$17:$H$17,1,$C$2)</f>
        <v/>
      </c>
    </row>
    <row r="19">
      <c r="A19" s="3" t="inlineStr">
        <is>
          <t>Abbonamento: rinnovo dopo il 2° invio</t>
        </is>
      </c>
      <c r="B19" s="4" t="inlineStr">
        <is>
          <t>%</t>
        </is>
      </c>
      <c r="C19" s="22">
        <f>INDEX(Parametri!$D$18:$H$18,1,$C$2)</f>
        <v/>
      </c>
    </row>
    <row r="20">
      <c r="A20" s="3" t="inlineStr">
        <is>
          <t>Abbonamento: rinnovo dopo il 3° invio</t>
        </is>
      </c>
      <c r="B20" s="4" t="inlineStr">
        <is>
          <t>%</t>
        </is>
      </c>
      <c r="C20" s="22">
        <f>INDEX(Parametri!$D$19:$H$19,1,$C$2)</f>
        <v/>
      </c>
    </row>
    <row r="21">
      <c r="A21" s="3" t="inlineStr">
        <is>
          <t>Abbonamento: rinnovo dopo il 4° invio</t>
        </is>
      </c>
      <c r="B21" s="4" t="inlineStr">
        <is>
          <t>%</t>
        </is>
      </c>
      <c r="C21" s="22">
        <f>INDEX(Parametri!$D$20:$H$20,1,$C$2)</f>
        <v/>
      </c>
    </row>
    <row r="22">
      <c r="A22" s="3" t="inlineStr">
        <is>
          <t>Abbonamento: rinnovo dopo il 5° invio</t>
        </is>
      </c>
      <c r="B22" s="4" t="inlineStr">
        <is>
          <t>%</t>
        </is>
      </c>
      <c r="C22" s="22">
        <f>INDEX(Parametri!$D$21:$H$21,1,$C$2)</f>
        <v/>
      </c>
    </row>
    <row r="23">
      <c r="A23" s="3" t="inlineStr">
        <is>
          <t>Abbonamento: rinnovo dal 6° invio in poi</t>
        </is>
      </c>
      <c r="B23" s="4" t="inlineStr">
        <is>
          <t>%</t>
        </is>
      </c>
      <c r="C23" s="22">
        <f>INDEX(Parametri!$D$22:$H$22,1,$C$2)</f>
        <v/>
      </c>
    </row>
    <row r="24">
      <c r="A24" s="3" t="inlineStr">
        <is>
          <t>Flacone singolo: probabilità di un nuovo acquisto</t>
        </is>
      </c>
      <c r="B24" s="4" t="inlineStr">
        <is>
          <t>%</t>
        </is>
      </c>
      <c r="C24" s="22">
        <f>INDEX(Parametri!$D$23:$H$23,1,$C$2)</f>
        <v/>
      </c>
    </row>
    <row r="25">
      <c r="A25" s="3" t="inlineStr">
        <is>
          <t>Sconto medio sul primo ordine</t>
        </is>
      </c>
      <c r="B25" s="4" t="inlineStr">
        <is>
          <t>%</t>
        </is>
      </c>
      <c r="C25" s="22">
        <f>INDEX(Parametri!$D$24:$H$24,1,$C$2)</f>
        <v/>
      </c>
    </row>
    <row r="26">
      <c r="A26" s="3" t="inlineStr">
        <is>
          <t>Clienti da canali non pagati, al mese</t>
        </is>
      </c>
      <c r="B26" s="4" t="inlineStr">
        <is>
          <t>clienti</t>
        </is>
      </c>
      <c r="C26" s="21">
        <f>INDEX(Parametri!$D$25:$H$25,1,$C$2)</f>
        <v/>
      </c>
    </row>
    <row r="27">
      <c r="A27" s="3" t="inlineStr">
        <is>
          <t>Pubblicità tranche 1 (totale)</t>
        </is>
      </c>
      <c r="B27" s="4" t="inlineStr">
        <is>
          <t>€</t>
        </is>
      </c>
      <c r="C27" s="9">
        <f>INDEX(Parametri!$D$26:$H$26,1,$C$2)</f>
        <v/>
      </c>
    </row>
    <row r="28">
      <c r="A28" s="3" t="inlineStr">
        <is>
          <t>Tranche 1: durata</t>
        </is>
      </c>
      <c r="B28" s="4" t="inlineStr">
        <is>
          <t>mesi</t>
        </is>
      </c>
      <c r="C28" s="21">
        <f>INDEX(Parametri!$D$27:$H$27,1,$C$2)</f>
        <v/>
      </c>
    </row>
    <row r="29">
      <c r="A29" s="3" t="inlineStr">
        <is>
          <t>CAC pubblicitario tranche 1</t>
        </is>
      </c>
      <c r="B29" s="4" t="inlineStr">
        <is>
          <t>€</t>
        </is>
      </c>
      <c r="C29" s="9">
        <f>INDEX(Parametri!$D$28:$H$28,1,$C$2)</f>
        <v/>
      </c>
    </row>
    <row r="30">
      <c r="A30" s="3" t="inlineStr">
        <is>
          <t>Pubblicità tranche 2 (totale)</t>
        </is>
      </c>
      <c r="B30" s="4" t="inlineStr">
        <is>
          <t>€</t>
        </is>
      </c>
      <c r="C30" s="9">
        <f>INDEX(Parametri!$D$29:$H$29,1,$C$2)</f>
        <v/>
      </c>
    </row>
    <row r="31">
      <c r="A31" s="3" t="inlineStr">
        <is>
          <t>Tranche 2: durata</t>
        </is>
      </c>
      <c r="B31" s="4" t="inlineStr">
        <is>
          <t>mesi</t>
        </is>
      </c>
      <c r="C31" s="21">
        <f>INDEX(Parametri!$D$30:$H$30,1,$C$2)</f>
        <v/>
      </c>
    </row>
    <row r="32">
      <c r="A32" s="3" t="inlineStr">
        <is>
          <t>CAC pubblicitario tranche 2</t>
        </is>
      </c>
      <c r="B32" s="4" t="inlineStr">
        <is>
          <t>€</t>
        </is>
      </c>
      <c r="C32" s="9">
        <f>INDEX(Parametri!$D$31:$H$31,1,$C$2)</f>
        <v/>
      </c>
    </row>
    <row r="33">
      <c r="A33" s="3" t="inlineStr">
        <is>
          <t>Pubblicità tranche 3 (totale)</t>
        </is>
      </c>
      <c r="B33" s="4" t="inlineStr">
        <is>
          <t>€</t>
        </is>
      </c>
      <c r="C33" s="9">
        <f>INDEX(Parametri!$D$32:$H$32,1,$C$2)</f>
        <v/>
      </c>
    </row>
    <row r="34">
      <c r="A34" s="3" t="inlineStr">
        <is>
          <t>Tranche 3: durata</t>
        </is>
      </c>
      <c r="B34" s="4" t="inlineStr">
        <is>
          <t>mesi</t>
        </is>
      </c>
      <c r="C34" s="21">
        <f>INDEX(Parametri!$D$33:$H$33,1,$C$2)</f>
        <v/>
      </c>
    </row>
    <row r="35">
      <c r="A35" s="3" t="inlineStr">
        <is>
          <t>CAC pubblicitario tranche 3 (marginale)</t>
        </is>
      </c>
      <c r="B35" s="4" t="inlineStr">
        <is>
          <t>€</t>
        </is>
      </c>
      <c r="C35" s="9">
        <f>INDEX(Parametri!$D$34:$H$34,1,$C$2)</f>
        <v/>
      </c>
    </row>
    <row r="36">
      <c r="A36" s="3" t="inlineStr">
        <is>
          <t>Pubblicità mensile dopo le tranche</t>
        </is>
      </c>
      <c r="B36" s="4" t="inlineStr">
        <is>
          <t>€/mese</t>
        </is>
      </c>
      <c r="C36" s="9">
        <f>INDEX(Parametri!$D$35:$H$35,1,$C$2)</f>
        <v/>
      </c>
    </row>
    <row r="37">
      <c r="A37" s="3" t="inlineStr">
        <is>
          <t>CAC dopo le tranche</t>
        </is>
      </c>
      <c r="B37" s="4" t="inlineStr">
        <is>
          <t>€</t>
        </is>
      </c>
      <c r="C37" s="9">
        <f>INDEX(Parametri!$D$36:$H$36,1,$C$2)</f>
        <v/>
      </c>
    </row>
    <row r="38">
      <c r="A38" s="3" t="inlineStr">
        <is>
          <t>Creatività e gestione campagne</t>
        </is>
      </c>
      <c r="B38" s="4" t="inlineStr">
        <is>
          <t>€/mese</t>
        </is>
      </c>
      <c r="C38" s="9">
        <f>INDEX(Parametri!$D$37:$H$37,1,$C$2)</f>
        <v/>
      </c>
    </row>
    <row r="39">
      <c r="A39" s="3" t="inlineStr">
        <is>
          <t>Ciclo di laboratorio aggiuntivo, mese 10</t>
        </is>
      </c>
      <c r="B39" s="4" t="inlineStr">
        <is>
          <t>€</t>
        </is>
      </c>
      <c r="C39" s="9">
        <f>INDEX(Parametri!$D$38:$H$38,1,$C$2)</f>
        <v/>
      </c>
    </row>
    <row r="40">
      <c r="A40" s="3" t="inlineStr">
        <is>
          <t>Ciclo di laboratorio aggiuntivo, mese 11</t>
        </is>
      </c>
      <c r="B40" s="4" t="inlineStr">
        <is>
          <t>€</t>
        </is>
      </c>
      <c r="C40" s="9">
        <f>INDEX(Parametri!$D$39:$H$39,1,$C$2)</f>
        <v/>
      </c>
    </row>
    <row r="41">
      <c r="A41" s="3" t="inlineStr">
        <is>
          <t>Capitale versato al mese 1</t>
        </is>
      </c>
      <c r="B41" s="4" t="inlineStr">
        <is>
          <t>€</t>
        </is>
      </c>
      <c r="C41" s="9">
        <f>INDEX(Parametri!$D$40:$H$40,1,$C$2)</f>
        <v/>
      </c>
    </row>
    <row r="42">
      <c r="A42" s="3" t="inlineStr">
        <is>
          <t>Mese della seconda tranche di capitale</t>
        </is>
      </c>
      <c r="B42" s="4" t="inlineStr">
        <is>
          <t>mese</t>
        </is>
      </c>
      <c r="C42" s="21">
        <f>INDEX(Parametri!$D$41:$H$41,1,$C$2)</f>
        <v/>
      </c>
    </row>
    <row r="43">
      <c r="A43" s="3" t="inlineStr">
        <is>
          <t>Seconda tranche di capitale</t>
        </is>
      </c>
      <c r="B43" s="4" t="inlineStr">
        <is>
          <t>€</t>
        </is>
      </c>
      <c r="C43" s="9">
        <f>INDEX(Parametri!$D$42:$H$42,1,$C$2)</f>
        <v/>
      </c>
    </row>
    <row r="44">
      <c r="A44" s="3" t="inlineStr">
        <is>
          <t>Aliquota IVA</t>
        </is>
      </c>
      <c r="B44" s="4" t="inlineStr">
        <is>
          <t>%</t>
        </is>
      </c>
      <c r="C44" s="22">
        <f>Parametri!$D$45</f>
        <v/>
      </c>
    </row>
    <row r="45">
      <c r="A45" s="3" t="inlineStr">
        <is>
          <t>Prezzo percorso da 6 flaconi</t>
        </is>
      </c>
      <c r="B45" s="4" t="inlineStr">
        <is>
          <t>€ IVA incl.</t>
        </is>
      </c>
      <c r="C45" s="21">
        <f>Parametri!$D$46</f>
        <v/>
      </c>
    </row>
    <row r="46">
      <c r="A46" s="3" t="inlineStr">
        <is>
          <t>Prezzo percorso da 3 flaconi</t>
        </is>
      </c>
      <c r="B46" s="4" t="inlineStr">
        <is>
          <t>€ IVA incl.</t>
        </is>
      </c>
      <c r="C46" s="21">
        <f>Parametri!$D$47</f>
        <v/>
      </c>
    </row>
    <row r="47">
      <c r="A47" s="3" t="inlineStr">
        <is>
          <t>Prezzo abbonamento, ogni 28 giorni</t>
        </is>
      </c>
      <c r="B47" s="4" t="inlineStr">
        <is>
          <t>€ IVA incl.</t>
        </is>
      </c>
      <c r="C47" s="21">
        <f>Parametri!$D$48</f>
        <v/>
      </c>
    </row>
    <row r="48">
      <c r="A48" s="3" t="inlineStr">
        <is>
          <t>Prezzo flacone singolo</t>
        </is>
      </c>
      <c r="B48" s="4" t="inlineStr">
        <is>
          <t>€ IVA incl.</t>
        </is>
      </c>
      <c r="C48" s="21">
        <f>Parametri!$D$49</f>
        <v/>
      </c>
    </row>
    <row r="49">
      <c r="A49" s="3" t="inlineStr">
        <is>
          <t>Flaconi: percorso da 6</t>
        </is>
      </c>
      <c r="B49" s="4" t="inlineStr">
        <is>
          <t>n</t>
        </is>
      </c>
      <c r="C49" s="21">
        <f>Parametri!$D$50</f>
        <v/>
      </c>
    </row>
    <row r="50">
      <c r="A50" s="3" t="inlineStr">
        <is>
          <t>Flaconi: percorso da 3</t>
        </is>
      </c>
      <c r="B50" s="4" t="inlineStr">
        <is>
          <t>n</t>
        </is>
      </c>
      <c r="C50" s="21">
        <f>Parametri!$D$51</f>
        <v/>
      </c>
    </row>
    <row r="51">
      <c r="A51" s="3" t="inlineStr">
        <is>
          <t>Flaconi: abbonamento</t>
        </is>
      </c>
      <c r="B51" s="4" t="inlineStr">
        <is>
          <t>n</t>
        </is>
      </c>
      <c r="C51" s="21">
        <f>Parametri!$D$52</f>
        <v/>
      </c>
    </row>
    <row r="52">
      <c r="A52" s="3" t="inlineStr">
        <is>
          <t>Flaconi: singolo</t>
        </is>
      </c>
      <c r="B52" s="4" t="inlineStr">
        <is>
          <t>n</t>
        </is>
      </c>
      <c r="C52" s="21">
        <f>Parametri!$D$53</f>
        <v/>
      </c>
    </row>
    <row r="53">
      <c r="A53" s="3" t="inlineStr">
        <is>
          <t>Corriere: 6 flaconi</t>
        </is>
      </c>
      <c r="B53" s="4" t="inlineStr">
        <is>
          <t>€</t>
        </is>
      </c>
      <c r="C53" s="21">
        <f>Parametri!$D$54</f>
        <v/>
      </c>
    </row>
    <row r="54">
      <c r="A54" s="3" t="inlineStr">
        <is>
          <t>Corriere: 3 flaconi</t>
        </is>
      </c>
      <c r="B54" s="4" t="inlineStr">
        <is>
          <t>€</t>
        </is>
      </c>
      <c r="C54" s="21">
        <f>Parametri!$D$55</f>
        <v/>
      </c>
    </row>
    <row r="55">
      <c r="A55" s="3" t="inlineStr">
        <is>
          <t>Corriere: 1 flacone (abbonamento)</t>
        </is>
      </c>
      <c r="B55" s="4" t="inlineStr">
        <is>
          <t>€</t>
        </is>
      </c>
      <c r="C55" s="21">
        <f>Parametri!$D$56</f>
        <v/>
      </c>
    </row>
    <row r="56">
      <c r="A56" s="3" t="inlineStr">
        <is>
          <t>Corriere: 1 flacone (singolo)</t>
        </is>
      </c>
      <c r="B56" s="4" t="inlineStr">
        <is>
          <t>€</t>
        </is>
      </c>
      <c r="C56" s="21">
        <f>Parametri!$D$57</f>
        <v/>
      </c>
    </row>
    <row r="57">
      <c r="A57" s="3" t="inlineStr">
        <is>
          <t>Prelievo e imballo per ordine</t>
        </is>
      </c>
      <c r="B57" s="4" t="inlineStr">
        <is>
          <t>€</t>
        </is>
      </c>
      <c r="C57" s="21">
        <f>Parametri!$D$58</f>
        <v/>
      </c>
    </row>
    <row r="58">
      <c r="A58" s="3" t="inlineStr">
        <is>
          <t>Commissione di incasso, percentuale</t>
        </is>
      </c>
      <c r="B58" s="4" t="inlineStr">
        <is>
          <t>%</t>
        </is>
      </c>
      <c r="C58" s="22">
        <f>Parametri!$D$59</f>
        <v/>
      </c>
    </row>
    <row r="59">
      <c r="A59" s="3" t="inlineStr">
        <is>
          <t>Commissione di incasso, fissa</t>
        </is>
      </c>
      <c r="B59" s="4" t="inlineStr">
        <is>
          <t>€</t>
        </is>
      </c>
      <c r="C59" s="21">
        <f>Parametri!$D$60</f>
        <v/>
      </c>
    </row>
    <row r="60">
      <c r="A60" s="3" t="inlineStr">
        <is>
          <t>Assistenza, resi ordinari, sostituzioni</t>
        </is>
      </c>
      <c r="B60" s="4" t="inlineStr">
        <is>
          <t>% ricavo netto</t>
        </is>
      </c>
      <c r="C60" s="22">
        <f>Parametri!$D$61</f>
        <v/>
      </c>
    </row>
    <row r="61">
      <c r="A61" s="3" t="inlineStr">
        <is>
          <t>Lotto di produzione</t>
        </is>
      </c>
      <c r="B61" s="4" t="inlineStr">
        <is>
          <t>flaconi</t>
        </is>
      </c>
      <c r="C61" s="21">
        <f>Parametri!$D$62</f>
        <v/>
      </c>
    </row>
    <row r="62">
      <c r="A62" s="3" t="inlineStr">
        <is>
          <t>Acconto all'ordine del lotto</t>
        </is>
      </c>
      <c r="B62" s="4" t="inlineStr">
        <is>
          <t>%</t>
        </is>
      </c>
      <c r="C62" s="22">
        <f>Parametri!$D$63</f>
        <v/>
      </c>
    </row>
    <row r="63">
      <c r="A63" s="3" t="inlineStr">
        <is>
          <t>Tempo di fornitura</t>
        </is>
      </c>
      <c r="B63" s="4" t="inlineStr">
        <is>
          <t>mesi</t>
        </is>
      </c>
      <c r="C63" s="21">
        <f>Parametri!$D$64</f>
        <v/>
      </c>
    </row>
    <row r="64">
      <c r="A64" s="3" t="inlineStr">
        <is>
          <t>Scorta di sicurezza</t>
        </is>
      </c>
      <c r="B64" s="4" t="inlineStr">
        <is>
          <t>mesi di consumo</t>
        </is>
      </c>
      <c r="C64" s="21">
        <f>Parametri!$D$65</f>
        <v/>
      </c>
    </row>
    <row r="65">
      <c r="A65" s="3" t="inlineStr">
        <is>
          <t>Scarto di produzione</t>
        </is>
      </c>
      <c r="B65" s="4" t="inlineStr">
        <is>
          <t>%</t>
        </is>
      </c>
      <c r="C65" s="22">
        <f>Parametri!$D$66</f>
        <v/>
      </c>
    </row>
    <row r="66">
      <c r="A66" s="3" t="inlineStr">
        <is>
          <t>Flaconi trattenuti per lotto (analisi e campioni di riserva)</t>
        </is>
      </c>
      <c r="B66" s="4" t="inlineStr">
        <is>
          <t>flaconi</t>
        </is>
      </c>
      <c r="C66" s="21">
        <f>Parametri!$D$67</f>
        <v/>
      </c>
    </row>
    <row r="67">
      <c r="A67" s="3" t="inlineStr">
        <is>
          <t>Campioni al lancio</t>
        </is>
      </c>
      <c r="B67" s="4" t="inlineStr">
        <is>
          <t>flaconi</t>
        </is>
      </c>
      <c r="C67" s="21">
        <f>Parametri!$D$68</f>
        <v/>
      </c>
    </row>
    <row r="68">
      <c r="A68" s="3" t="inlineStr">
        <is>
          <t>Campioni al mese dopo il lancio</t>
        </is>
      </c>
      <c r="B68" s="4" t="inlineStr">
        <is>
          <t>flaconi</t>
        </is>
      </c>
      <c r="C68" s="21">
        <f>Parametri!$D$69</f>
        <v/>
      </c>
    </row>
    <row r="69">
      <c r="A69" s="3" t="inlineStr">
        <is>
          <t>Sostituzioni fisiche</t>
        </is>
      </c>
      <c r="B69" s="4" t="inlineStr">
        <is>
          <t>% flaconi spediti</t>
        </is>
      </c>
      <c r="C69" s="22">
        <f>Parametri!$D$70</f>
        <v/>
      </c>
    </row>
    <row r="70">
      <c r="A70" s="3" t="inlineStr">
        <is>
          <t>Intervallo abbonamento</t>
        </is>
      </c>
      <c r="B70" s="4" t="inlineStr">
        <is>
          <t>giorni</t>
        </is>
      </c>
      <c r="C70" s="21">
        <f>Parametri!$D$71</f>
        <v/>
      </c>
    </row>
    <row r="71">
      <c r="A71" s="3" t="inlineStr">
        <is>
          <t>Durata di un flacone</t>
        </is>
      </c>
      <c r="B71" s="4" t="inlineStr">
        <is>
          <t>giorni</t>
        </is>
      </c>
      <c r="C71" s="21">
        <f>Parametri!$D$72</f>
        <v/>
      </c>
    </row>
    <row r="72">
      <c r="A72" s="3" t="inlineStr">
        <is>
          <t>Giorni per mese</t>
        </is>
      </c>
      <c r="B72" s="4" t="inlineStr">
        <is>
          <t>giorni</t>
        </is>
      </c>
      <c r="C72" s="21">
        <f>Parametri!$D$73</f>
        <v/>
      </c>
    </row>
    <row r="74">
      <c r="A74" s="10" t="inlineStr">
        <is>
          <t>Economia per ordine (colonne C-F ordini successivi, H-K primo ordine con sconto)</t>
        </is>
      </c>
    </row>
    <row r="75">
      <c r="C75" s="2" t="inlineStr">
        <is>
          <t>Percorso 6</t>
        </is>
      </c>
      <c r="D75" s="2" t="inlineStr">
        <is>
          <t>Percorso 3</t>
        </is>
      </c>
      <c r="E75" s="2" t="inlineStr">
        <is>
          <t>Abbonamento</t>
        </is>
      </c>
      <c r="F75" s="2" t="inlineStr">
        <is>
          <t>Singolo</t>
        </is>
      </c>
      <c r="H75" s="2" t="inlineStr">
        <is>
          <t>Percorso 6, 1° ord.</t>
        </is>
      </c>
      <c r="I75" s="2" t="inlineStr">
        <is>
          <t>Percorso 3, 1° ord.</t>
        </is>
      </c>
      <c r="J75" s="2" t="inlineStr">
        <is>
          <t>Abbonamento, 1° ord.</t>
        </is>
      </c>
      <c r="K75" s="2" t="inlineStr">
        <is>
          <t>Singolo, 1° ord.</t>
        </is>
      </c>
    </row>
    <row r="76">
      <c r="A76" s="3" t="inlineStr">
        <is>
          <t>Prezzo pagato (IVA incl.)</t>
        </is>
      </c>
      <c r="B76" s="4" t="inlineStr">
        <is>
          <t>€</t>
        </is>
      </c>
      <c r="C76" s="13">
        <f>$C$45*(1-0)</f>
        <v/>
      </c>
      <c r="D76" s="13">
        <f>$C$46*(1-0)</f>
        <v/>
      </c>
      <c r="E76" s="13">
        <f>$C$47*(1-0)</f>
        <v/>
      </c>
      <c r="F76" s="13">
        <f>$C$48*(1-0)</f>
        <v/>
      </c>
      <c r="H76" s="13">
        <f>$C$45*(1-$C$25)</f>
        <v/>
      </c>
      <c r="I76" s="13">
        <f>$C$46*(1-$C$25)</f>
        <v/>
      </c>
      <c r="J76" s="13">
        <f>$C$47*(1-$C$25)</f>
        <v/>
      </c>
      <c r="K76" s="13">
        <f>$C$48*(1-$C$25)</f>
        <v/>
      </c>
    </row>
    <row r="77">
      <c r="A77" s="3" t="inlineStr">
        <is>
          <t>Ricavo netto IVA</t>
        </is>
      </c>
      <c r="B77" s="4" t="inlineStr">
        <is>
          <t>€</t>
        </is>
      </c>
      <c r="C77" s="13">
        <f>C76/(1+$C$44)</f>
        <v/>
      </c>
      <c r="D77" s="13">
        <f>D76/(1+$C$44)</f>
        <v/>
      </c>
      <c r="E77" s="13">
        <f>E76/(1+$C$44)</f>
        <v/>
      </c>
      <c r="F77" s="13">
        <f>F76/(1+$C$44)</f>
        <v/>
      </c>
      <c r="H77" s="13">
        <f>H76/(1+$C$44)</f>
        <v/>
      </c>
      <c r="I77" s="13">
        <f>I76/(1+$C$44)</f>
        <v/>
      </c>
      <c r="J77" s="13">
        <f>J76/(1+$C$44)</f>
        <v/>
      </c>
      <c r="K77" s="13">
        <f>K76/(1+$C$44)</f>
        <v/>
      </c>
    </row>
    <row r="78">
      <c r="A78" s="3" t="inlineStr">
        <is>
          <t>Costo del prodotto</t>
        </is>
      </c>
      <c r="B78" s="4" t="inlineStr">
        <is>
          <t>€</t>
        </is>
      </c>
      <c r="C78" s="13">
        <f>$C$7*$C$49</f>
        <v/>
      </c>
      <c r="D78" s="13">
        <f>$C$7*$C$50</f>
        <v/>
      </c>
      <c r="E78" s="13">
        <f>$C$7*$C$51</f>
        <v/>
      </c>
      <c r="F78" s="13">
        <f>$C$7*$C$52</f>
        <v/>
      </c>
      <c r="H78" s="13">
        <f>$C$7*$C$49</f>
        <v/>
      </c>
      <c r="I78" s="13">
        <f>$C$7*$C$50</f>
        <v/>
      </c>
      <c r="J78" s="13">
        <f>$C$7*$C$51</f>
        <v/>
      </c>
      <c r="K78" s="13">
        <f>$C$7*$C$52</f>
        <v/>
      </c>
    </row>
    <row r="79">
      <c r="A79" s="3" t="inlineStr">
        <is>
          <t>Logistica</t>
        </is>
      </c>
      <c r="B79" s="4" t="inlineStr">
        <is>
          <t>€</t>
        </is>
      </c>
      <c r="C79" s="13">
        <f>$C$57+$C$53</f>
        <v/>
      </c>
      <c r="D79" s="13">
        <f>$C$57+$C$54</f>
        <v/>
      </c>
      <c r="E79" s="13">
        <f>$C$57+$C$55</f>
        <v/>
      </c>
      <c r="F79" s="13">
        <f>$C$57+$C$56</f>
        <v/>
      </c>
      <c r="H79" s="13">
        <f>$C$57+$C$53</f>
        <v/>
      </c>
      <c r="I79" s="13">
        <f>$C$57+$C$54</f>
        <v/>
      </c>
      <c r="J79" s="13">
        <f>$C$57+$C$55</f>
        <v/>
      </c>
      <c r="K79" s="13">
        <f>$C$57+$C$56</f>
        <v/>
      </c>
    </row>
    <row r="80">
      <c r="A80" s="3" t="inlineStr">
        <is>
          <t>Commissione di incasso</t>
        </is>
      </c>
      <c r="B80" s="4" t="inlineStr">
        <is>
          <t>€</t>
        </is>
      </c>
      <c r="C80" s="13">
        <f>C76*$C$58+$C$59</f>
        <v/>
      </c>
      <c r="D80" s="13">
        <f>D76*$C$58+$C$59</f>
        <v/>
      </c>
      <c r="E80" s="13">
        <f>E76*$C$58+$C$59</f>
        <v/>
      </c>
      <c r="F80" s="13">
        <f>F76*$C$58+$C$59</f>
        <v/>
      </c>
      <c r="H80" s="13">
        <f>H76*$C$58+$C$59</f>
        <v/>
      </c>
      <c r="I80" s="13">
        <f>I76*$C$58+$C$59</f>
        <v/>
      </c>
      <c r="J80" s="13">
        <f>J76*$C$58+$C$59</f>
        <v/>
      </c>
      <c r="K80" s="13">
        <f>K76*$C$58+$C$59</f>
        <v/>
      </c>
    </row>
    <row r="81">
      <c r="A81" s="3" t="inlineStr">
        <is>
          <t>Assistenza e resi ordinari</t>
        </is>
      </c>
      <c r="B81" s="4" t="inlineStr">
        <is>
          <t>€</t>
        </is>
      </c>
      <c r="C81" s="13">
        <f>C77*$C$60</f>
        <v/>
      </c>
      <c r="D81" s="13">
        <f>D77*$C$60</f>
        <v/>
      </c>
      <c r="E81" s="13">
        <f>E77*$C$60</f>
        <v/>
      </c>
      <c r="F81" s="13">
        <f>F77*$C$60</f>
        <v/>
      </c>
      <c r="H81" s="13">
        <f>H77*$C$60</f>
        <v/>
      </c>
      <c r="I81" s="13">
        <f>I77*$C$60</f>
        <v/>
      </c>
      <c r="J81" s="13">
        <f>J77*$C$60</f>
        <v/>
      </c>
      <c r="K81" s="13">
        <f>K77*$C$60</f>
        <v/>
      </c>
    </row>
    <row r="82">
      <c r="A82" s="3" t="inlineStr">
        <is>
          <t>Contribuzione per ordine</t>
        </is>
      </c>
      <c r="B82" s="4" t="inlineStr">
        <is>
          <t>€</t>
        </is>
      </c>
      <c r="C82" s="13">
        <f>C77-C78-C79-C80-C81</f>
        <v/>
      </c>
      <c r="D82" s="13">
        <f>D77-D78-D79-D80-D81</f>
        <v/>
      </c>
      <c r="E82" s="13">
        <f>E77-E78-E79-E80-E81</f>
        <v/>
      </c>
      <c r="F82" s="13">
        <f>F77-F78-F79-F80-F81</f>
        <v/>
      </c>
      <c r="H82" s="13">
        <f>H77-H78-H79-H80-H81</f>
        <v/>
      </c>
      <c r="I82" s="13">
        <f>I77-I78-I79-I80-I81</f>
        <v/>
      </c>
      <c r="J82" s="13">
        <f>J77-J78-J79-J80-J81</f>
        <v/>
      </c>
      <c r="K82" s="13">
        <f>K77-K78-K79-K80-K81</f>
        <v/>
      </c>
    </row>
    <row r="84">
      <c r="A84" s="10" t="inlineStr">
        <is>
          <t>Sequenza degli invii: abbonamento e flacone singolo (colonna = invio k)</t>
        </is>
      </c>
    </row>
    <row r="85">
      <c r="A85" s="3" t="inlineStr">
        <is>
          <t>Invio k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  <c r="J85" t="n">
        <v>8</v>
      </c>
      <c r="K85" t="n">
        <v>9</v>
      </c>
      <c r="L85" t="n">
        <v>10</v>
      </c>
      <c r="M85" t="n">
        <v>11</v>
      </c>
      <c r="N85" t="n">
        <v>12</v>
      </c>
      <c r="O85" t="n">
        <v>13</v>
      </c>
      <c r="P85" t="n">
        <v>14</v>
      </c>
      <c r="Q85" t="n">
        <v>15</v>
      </c>
      <c r="R85" t="n">
        <v>16</v>
      </c>
      <c r="S85" t="n">
        <v>17</v>
      </c>
      <c r="T85" t="n">
        <v>18</v>
      </c>
      <c r="U85" t="n">
        <v>19</v>
      </c>
      <c r="V85" t="n">
        <v>20</v>
      </c>
      <c r="W85" t="n">
        <v>21</v>
      </c>
      <c r="X85" t="n">
        <v>22</v>
      </c>
      <c r="Y85" t="n">
        <v>23</v>
      </c>
      <c r="Z85" t="n">
        <v>24</v>
      </c>
      <c r="AA85" t="n">
        <v>25</v>
      </c>
      <c r="AB85" t="n">
        <v>26</v>
      </c>
      <c r="AC85" t="n">
        <v>27</v>
      </c>
      <c r="AD85" t="n">
        <v>28</v>
      </c>
      <c r="AE85" t="n">
        <v>29</v>
      </c>
      <c r="AF85" t="n">
        <v>30</v>
      </c>
      <c r="AG85" t="n">
        <v>31</v>
      </c>
      <c r="AH85" t="n">
        <v>32</v>
      </c>
      <c r="AI85" t="n">
        <v>33</v>
      </c>
      <c r="AJ85" t="n">
        <v>34</v>
      </c>
      <c r="AK85" t="n">
        <v>35</v>
      </c>
      <c r="AL85" t="n">
        <v>36</v>
      </c>
      <c r="AM85" t="n">
        <v>37</v>
      </c>
      <c r="AN85" t="n">
        <v>38</v>
      </c>
      <c r="AO85" t="n">
        <v>39</v>
      </c>
      <c r="AP85" t="n">
        <v>40</v>
      </c>
      <c r="AQ85" t="n">
        <v>41</v>
      </c>
      <c r="AR85" t="n">
        <v>42</v>
      </c>
      <c r="AS85" t="n">
        <v>43</v>
      </c>
      <c r="AT85" t="n">
        <v>44</v>
      </c>
      <c r="AU85" t="n">
        <v>45</v>
      </c>
    </row>
    <row r="86">
      <c r="A86" s="3" t="inlineStr">
        <is>
          <t>Abbonamento: mese di età dell'invio</t>
        </is>
      </c>
      <c r="C86">
        <f>INT($C$70*(C85-1)/$C$72+0.5)</f>
        <v/>
      </c>
      <c r="D86">
        <f>INT($C$70*(D85-1)/$C$72+0.5)</f>
        <v/>
      </c>
      <c r="E86">
        <f>INT($C$70*(E85-1)/$C$72+0.5)</f>
        <v/>
      </c>
      <c r="F86">
        <f>INT($C$70*(F85-1)/$C$72+0.5)</f>
        <v/>
      </c>
      <c r="G86">
        <f>INT($C$70*(G85-1)/$C$72+0.5)</f>
        <v/>
      </c>
      <c r="H86">
        <f>INT($C$70*(H85-1)/$C$72+0.5)</f>
        <v/>
      </c>
      <c r="I86">
        <f>INT($C$70*(I85-1)/$C$72+0.5)</f>
        <v/>
      </c>
      <c r="J86">
        <f>INT($C$70*(J85-1)/$C$72+0.5)</f>
        <v/>
      </c>
      <c r="K86">
        <f>INT($C$70*(K85-1)/$C$72+0.5)</f>
        <v/>
      </c>
      <c r="L86">
        <f>INT($C$70*(L85-1)/$C$72+0.5)</f>
        <v/>
      </c>
      <c r="M86">
        <f>INT($C$70*(M85-1)/$C$72+0.5)</f>
        <v/>
      </c>
      <c r="N86">
        <f>INT($C$70*(N85-1)/$C$72+0.5)</f>
        <v/>
      </c>
      <c r="O86">
        <f>INT($C$70*(O85-1)/$C$72+0.5)</f>
        <v/>
      </c>
      <c r="P86">
        <f>INT($C$70*(P85-1)/$C$72+0.5)</f>
        <v/>
      </c>
      <c r="Q86">
        <f>INT($C$70*(Q85-1)/$C$72+0.5)</f>
        <v/>
      </c>
      <c r="R86">
        <f>INT($C$70*(R85-1)/$C$72+0.5)</f>
        <v/>
      </c>
      <c r="S86">
        <f>INT($C$70*(S85-1)/$C$72+0.5)</f>
        <v/>
      </c>
      <c r="T86">
        <f>INT($C$70*(T85-1)/$C$72+0.5)</f>
        <v/>
      </c>
      <c r="U86">
        <f>INT($C$70*(U85-1)/$C$72+0.5)</f>
        <v/>
      </c>
      <c r="V86">
        <f>INT($C$70*(V85-1)/$C$72+0.5)</f>
        <v/>
      </c>
      <c r="W86">
        <f>INT($C$70*(W85-1)/$C$72+0.5)</f>
        <v/>
      </c>
      <c r="X86">
        <f>INT($C$70*(X85-1)/$C$72+0.5)</f>
        <v/>
      </c>
      <c r="Y86">
        <f>INT($C$70*(Y85-1)/$C$72+0.5)</f>
        <v/>
      </c>
      <c r="Z86">
        <f>INT($C$70*(Z85-1)/$C$72+0.5)</f>
        <v/>
      </c>
      <c r="AA86">
        <f>INT($C$70*(AA85-1)/$C$72+0.5)</f>
        <v/>
      </c>
      <c r="AB86">
        <f>INT($C$70*(AB85-1)/$C$72+0.5)</f>
        <v/>
      </c>
      <c r="AC86">
        <f>INT($C$70*(AC85-1)/$C$72+0.5)</f>
        <v/>
      </c>
      <c r="AD86">
        <f>INT($C$70*(AD85-1)/$C$72+0.5)</f>
        <v/>
      </c>
      <c r="AE86">
        <f>INT($C$70*(AE85-1)/$C$72+0.5)</f>
        <v/>
      </c>
      <c r="AF86">
        <f>INT($C$70*(AF85-1)/$C$72+0.5)</f>
        <v/>
      </c>
      <c r="AG86">
        <f>INT($C$70*(AG85-1)/$C$72+0.5)</f>
        <v/>
      </c>
      <c r="AH86">
        <f>INT($C$70*(AH85-1)/$C$72+0.5)</f>
        <v/>
      </c>
      <c r="AI86">
        <f>INT($C$70*(AI85-1)/$C$72+0.5)</f>
        <v/>
      </c>
      <c r="AJ86">
        <f>INT($C$70*(AJ85-1)/$C$72+0.5)</f>
        <v/>
      </c>
      <c r="AK86">
        <f>INT($C$70*(AK85-1)/$C$72+0.5)</f>
        <v/>
      </c>
      <c r="AL86">
        <f>INT($C$70*(AL85-1)/$C$72+0.5)</f>
        <v/>
      </c>
      <c r="AM86">
        <f>INT($C$70*(AM85-1)/$C$72+0.5)</f>
        <v/>
      </c>
      <c r="AN86">
        <f>INT($C$70*(AN85-1)/$C$72+0.5)</f>
        <v/>
      </c>
      <c r="AO86">
        <f>INT($C$70*(AO85-1)/$C$72+0.5)</f>
        <v/>
      </c>
      <c r="AP86">
        <f>INT($C$70*(AP85-1)/$C$72+0.5)</f>
        <v/>
      </c>
      <c r="AQ86">
        <f>INT($C$70*(AQ85-1)/$C$72+0.5)</f>
        <v/>
      </c>
      <c r="AR86">
        <f>INT($C$70*(AR85-1)/$C$72+0.5)</f>
        <v/>
      </c>
      <c r="AS86">
        <f>INT($C$70*(AS85-1)/$C$72+0.5)</f>
        <v/>
      </c>
      <c r="AT86">
        <f>INT($C$70*(AT85-1)/$C$72+0.5)</f>
        <v/>
      </c>
      <c r="AU86">
        <f>INT($C$70*(AU85-1)/$C$72+0.5)</f>
        <v/>
      </c>
    </row>
    <row r="87">
      <c r="A87" s="3" t="inlineStr">
        <is>
          <t>Abbonamento: clienti ancora attivi</t>
        </is>
      </c>
      <c r="C87" s="23" t="n">
        <v>1</v>
      </c>
      <c r="D87" s="23">
        <f>C87*$C$18</f>
        <v/>
      </c>
      <c r="E87" s="23">
        <f>D87*$C$19</f>
        <v/>
      </c>
      <c r="F87" s="23">
        <f>E87*$C$20</f>
        <v/>
      </c>
      <c r="G87" s="23">
        <f>F87*$C$21</f>
        <v/>
      </c>
      <c r="H87" s="23">
        <f>G87*$C$22</f>
        <v/>
      </c>
      <c r="I87" s="23">
        <f>H87*$C$23</f>
        <v/>
      </c>
      <c r="J87" s="23">
        <f>I87*$C$23</f>
        <v/>
      </c>
      <c r="K87" s="23">
        <f>J87*$C$23</f>
        <v/>
      </c>
      <c r="L87" s="23">
        <f>K87*$C$23</f>
        <v/>
      </c>
      <c r="M87" s="23">
        <f>L87*$C$23</f>
        <v/>
      </c>
      <c r="N87" s="23">
        <f>M87*$C$23</f>
        <v/>
      </c>
      <c r="O87" s="23">
        <f>N87*$C$23</f>
        <v/>
      </c>
      <c r="P87" s="23">
        <f>O87*$C$23</f>
        <v/>
      </c>
      <c r="Q87" s="23">
        <f>P87*$C$23</f>
        <v/>
      </c>
      <c r="R87" s="23">
        <f>Q87*$C$23</f>
        <v/>
      </c>
      <c r="S87" s="23">
        <f>R87*$C$23</f>
        <v/>
      </c>
      <c r="T87" s="23">
        <f>S87*$C$23</f>
        <v/>
      </c>
      <c r="U87" s="23">
        <f>T87*$C$23</f>
        <v/>
      </c>
      <c r="V87" s="23">
        <f>U87*$C$23</f>
        <v/>
      </c>
      <c r="W87" s="23">
        <f>V87*$C$23</f>
        <v/>
      </c>
      <c r="X87" s="23">
        <f>W87*$C$23</f>
        <v/>
      </c>
      <c r="Y87" s="23">
        <f>X87*$C$23</f>
        <v/>
      </c>
      <c r="Z87" s="23">
        <f>Y87*$C$23</f>
        <v/>
      </c>
      <c r="AA87" s="23">
        <f>Z87*$C$23</f>
        <v/>
      </c>
      <c r="AB87" s="23">
        <f>AA87*$C$23</f>
        <v/>
      </c>
      <c r="AC87" s="23">
        <f>AB87*$C$23</f>
        <v/>
      </c>
      <c r="AD87" s="23">
        <f>AC87*$C$23</f>
        <v/>
      </c>
      <c r="AE87" s="23">
        <f>AD87*$C$23</f>
        <v/>
      </c>
      <c r="AF87" s="23">
        <f>AE87*$C$23</f>
        <v/>
      </c>
      <c r="AG87" s="23">
        <f>AF87*$C$23</f>
        <v/>
      </c>
      <c r="AH87" s="23">
        <f>AG87*$C$23</f>
        <v/>
      </c>
      <c r="AI87" s="23">
        <f>AH87*$C$23</f>
        <v/>
      </c>
      <c r="AJ87" s="23">
        <f>AI87*$C$23</f>
        <v/>
      </c>
      <c r="AK87" s="23">
        <f>AJ87*$C$23</f>
        <v/>
      </c>
      <c r="AL87" s="23">
        <f>AK87*$C$23</f>
        <v/>
      </c>
      <c r="AM87" s="23">
        <f>AL87*$C$23</f>
        <v/>
      </c>
      <c r="AN87" s="23">
        <f>AM87*$C$23</f>
        <v/>
      </c>
      <c r="AO87" s="23">
        <f>AN87*$C$23</f>
        <v/>
      </c>
      <c r="AP87" s="23">
        <f>AO87*$C$23</f>
        <v/>
      </c>
      <c r="AQ87" s="23">
        <f>AP87*$C$23</f>
        <v/>
      </c>
      <c r="AR87" s="23">
        <f>AQ87*$C$23</f>
        <v/>
      </c>
      <c r="AS87" s="23">
        <f>AR87*$C$23</f>
        <v/>
      </c>
      <c r="AT87" s="23">
        <f>AS87*$C$23</f>
        <v/>
      </c>
      <c r="AU87" s="23">
        <f>AT87*$C$23</f>
        <v/>
      </c>
    </row>
    <row r="88">
      <c r="A88" s="3" t="inlineStr">
        <is>
          <t>Singolo: mese di età dell'acquisto</t>
        </is>
      </c>
      <c r="C88">
        <f>INT($C$71*(C85-1)/$C$72+0.5)</f>
        <v/>
      </c>
      <c r="D88">
        <f>INT($C$71*(D85-1)/$C$72+0.5)</f>
        <v/>
      </c>
      <c r="E88">
        <f>INT($C$71*(E85-1)/$C$72+0.5)</f>
        <v/>
      </c>
      <c r="F88">
        <f>INT($C$71*(F85-1)/$C$72+0.5)</f>
        <v/>
      </c>
      <c r="G88">
        <f>INT($C$71*(G85-1)/$C$72+0.5)</f>
        <v/>
      </c>
      <c r="H88">
        <f>INT($C$71*(H85-1)/$C$72+0.5)</f>
        <v/>
      </c>
      <c r="I88">
        <f>INT($C$71*(I85-1)/$C$72+0.5)</f>
        <v/>
      </c>
      <c r="J88">
        <f>INT($C$71*(J85-1)/$C$72+0.5)</f>
        <v/>
      </c>
      <c r="K88">
        <f>INT($C$71*(K85-1)/$C$72+0.5)</f>
        <v/>
      </c>
      <c r="L88">
        <f>INT($C$71*(L85-1)/$C$72+0.5)</f>
        <v/>
      </c>
      <c r="M88">
        <f>INT($C$71*(M85-1)/$C$72+0.5)</f>
        <v/>
      </c>
      <c r="N88">
        <f>INT($C$71*(N85-1)/$C$72+0.5)</f>
        <v/>
      </c>
      <c r="O88">
        <f>INT($C$71*(O85-1)/$C$72+0.5)</f>
        <v/>
      </c>
      <c r="P88">
        <f>INT($C$71*(P85-1)/$C$72+0.5)</f>
        <v/>
      </c>
      <c r="Q88">
        <f>INT($C$71*(Q85-1)/$C$72+0.5)</f>
        <v/>
      </c>
      <c r="R88">
        <f>INT($C$71*(R85-1)/$C$72+0.5)</f>
        <v/>
      </c>
      <c r="S88">
        <f>INT($C$71*(S85-1)/$C$72+0.5)</f>
        <v/>
      </c>
      <c r="T88">
        <f>INT($C$71*(T85-1)/$C$72+0.5)</f>
        <v/>
      </c>
      <c r="U88">
        <f>INT($C$71*(U85-1)/$C$72+0.5)</f>
        <v/>
      </c>
      <c r="V88">
        <f>INT($C$71*(V85-1)/$C$72+0.5)</f>
        <v/>
      </c>
      <c r="W88">
        <f>INT($C$71*(W85-1)/$C$72+0.5)</f>
        <v/>
      </c>
      <c r="X88">
        <f>INT($C$71*(X85-1)/$C$72+0.5)</f>
        <v/>
      </c>
      <c r="Y88">
        <f>INT($C$71*(Y85-1)/$C$72+0.5)</f>
        <v/>
      </c>
      <c r="Z88">
        <f>INT($C$71*(Z85-1)/$C$72+0.5)</f>
        <v/>
      </c>
      <c r="AA88">
        <f>INT($C$71*(AA85-1)/$C$72+0.5)</f>
        <v/>
      </c>
      <c r="AB88">
        <f>INT($C$71*(AB85-1)/$C$72+0.5)</f>
        <v/>
      </c>
      <c r="AC88">
        <f>INT($C$71*(AC85-1)/$C$72+0.5)</f>
        <v/>
      </c>
      <c r="AD88">
        <f>INT($C$71*(AD85-1)/$C$72+0.5)</f>
        <v/>
      </c>
      <c r="AE88">
        <f>INT($C$71*(AE85-1)/$C$72+0.5)</f>
        <v/>
      </c>
      <c r="AF88">
        <f>INT($C$71*(AF85-1)/$C$72+0.5)</f>
        <v/>
      </c>
      <c r="AG88">
        <f>INT($C$71*(AG85-1)/$C$72+0.5)</f>
        <v/>
      </c>
      <c r="AH88">
        <f>INT($C$71*(AH85-1)/$C$72+0.5)</f>
        <v/>
      </c>
      <c r="AI88">
        <f>INT($C$71*(AI85-1)/$C$72+0.5)</f>
        <v/>
      </c>
      <c r="AJ88">
        <f>INT($C$71*(AJ85-1)/$C$72+0.5)</f>
        <v/>
      </c>
      <c r="AK88">
        <f>INT($C$71*(AK85-1)/$C$72+0.5)</f>
        <v/>
      </c>
      <c r="AL88">
        <f>INT($C$71*(AL85-1)/$C$72+0.5)</f>
        <v/>
      </c>
      <c r="AM88">
        <f>INT($C$71*(AM85-1)/$C$72+0.5)</f>
        <v/>
      </c>
      <c r="AN88">
        <f>INT($C$71*(AN85-1)/$C$72+0.5)</f>
        <v/>
      </c>
      <c r="AO88">
        <f>INT($C$71*(AO85-1)/$C$72+0.5)</f>
        <v/>
      </c>
      <c r="AP88">
        <f>INT($C$71*(AP85-1)/$C$72+0.5)</f>
        <v/>
      </c>
      <c r="AQ88">
        <f>INT($C$71*(AQ85-1)/$C$72+0.5)</f>
        <v/>
      </c>
      <c r="AR88">
        <f>INT($C$71*(AR85-1)/$C$72+0.5)</f>
        <v/>
      </c>
      <c r="AS88">
        <f>INT($C$71*(AS85-1)/$C$72+0.5)</f>
        <v/>
      </c>
      <c r="AT88">
        <f>INT($C$71*(AT85-1)/$C$72+0.5)</f>
        <v/>
      </c>
      <c r="AU88">
        <f>INT($C$71*(AU85-1)/$C$72+0.5)</f>
        <v/>
      </c>
    </row>
    <row r="89">
      <c r="A89" s="3" t="inlineStr">
        <is>
          <t>Singolo: probabilità dell'acquisto</t>
        </is>
      </c>
      <c r="C89" s="23" t="n">
        <v>1</v>
      </c>
      <c r="D89" s="23">
        <f>C89*$C$24</f>
        <v/>
      </c>
      <c r="E89" s="23">
        <f>D89*$C$24</f>
        <v/>
      </c>
      <c r="F89" s="23">
        <f>E89*$C$24</f>
        <v/>
      </c>
      <c r="G89" s="23">
        <f>F89*$C$24</f>
        <v/>
      </c>
      <c r="H89" s="23">
        <f>G89*$C$24</f>
        <v/>
      </c>
      <c r="I89" s="23">
        <f>H89*$C$24</f>
        <v/>
      </c>
      <c r="J89" s="23">
        <f>I89*$C$24</f>
        <v/>
      </c>
      <c r="K89" s="23">
        <f>J89*$C$24</f>
        <v/>
      </c>
      <c r="L89" s="23">
        <f>K89*$C$24</f>
        <v/>
      </c>
      <c r="M89" s="23">
        <f>L89*$C$24</f>
        <v/>
      </c>
      <c r="N89" s="23">
        <f>M89*$C$24</f>
        <v/>
      </c>
      <c r="O89" s="23">
        <f>N89*$C$24</f>
        <v/>
      </c>
      <c r="P89" s="23">
        <f>O89*$C$24</f>
        <v/>
      </c>
      <c r="Q89" s="23">
        <f>P89*$C$24</f>
        <v/>
      </c>
      <c r="R89" s="23">
        <f>Q89*$C$24</f>
        <v/>
      </c>
      <c r="S89" s="23">
        <f>R89*$C$24</f>
        <v/>
      </c>
      <c r="T89" s="23">
        <f>S89*$C$24</f>
        <v/>
      </c>
      <c r="U89" s="23">
        <f>T89*$C$24</f>
        <v/>
      </c>
      <c r="V89" s="23">
        <f>U89*$C$24</f>
        <v/>
      </c>
      <c r="W89" s="23">
        <f>V89*$C$24</f>
        <v/>
      </c>
      <c r="X89" s="23">
        <f>W89*$C$24</f>
        <v/>
      </c>
      <c r="Y89" s="23">
        <f>X89*$C$24</f>
        <v/>
      </c>
      <c r="Z89" s="23">
        <f>Y89*$C$24</f>
        <v/>
      </c>
      <c r="AA89" s="23">
        <f>Z89*$C$24</f>
        <v/>
      </c>
      <c r="AB89" s="23">
        <f>AA89*$C$24</f>
        <v/>
      </c>
      <c r="AC89" s="23">
        <f>AB89*$C$24</f>
        <v/>
      </c>
      <c r="AD89" s="23">
        <f>AC89*$C$24</f>
        <v/>
      </c>
      <c r="AE89" s="23">
        <f>AD89*$C$24</f>
        <v/>
      </c>
      <c r="AF89" s="23">
        <f>AE89*$C$24</f>
        <v/>
      </c>
      <c r="AG89" s="23">
        <f>AF89*$C$24</f>
        <v/>
      </c>
      <c r="AH89" s="23">
        <f>AG89*$C$24</f>
        <v/>
      </c>
      <c r="AI89" s="23">
        <f>AH89*$C$24</f>
        <v/>
      </c>
      <c r="AJ89" s="23">
        <f>AI89*$C$24</f>
        <v/>
      </c>
      <c r="AK89" s="23">
        <f>AJ89*$C$24</f>
        <v/>
      </c>
      <c r="AL89" s="23">
        <f>AK89*$C$24</f>
        <v/>
      </c>
      <c r="AM89" s="23">
        <f>AL89*$C$24</f>
        <v/>
      </c>
      <c r="AN89" s="23">
        <f>AM89*$C$24</f>
        <v/>
      </c>
      <c r="AO89" s="23">
        <f>AN89*$C$24</f>
        <v/>
      </c>
      <c r="AP89" s="23">
        <f>AO89*$C$24</f>
        <v/>
      </c>
      <c r="AQ89" s="23">
        <f>AP89*$C$24</f>
        <v/>
      </c>
      <c r="AR89" s="23">
        <f>AQ89*$C$24</f>
        <v/>
      </c>
      <c r="AS89" s="23">
        <f>AR89*$C$24</f>
        <v/>
      </c>
      <c r="AT89" s="23">
        <f>AS89*$C$24</f>
        <v/>
      </c>
      <c r="AU89" s="23">
        <f>AT89*$C$24</f>
        <v/>
      </c>
    </row>
    <row r="91">
      <c r="A91" s="10" t="inlineStr">
        <is>
          <t>Ordini e rimborsi per cliente iniziale, per mese di età (0 = mese dell'acquisto)</t>
        </is>
      </c>
    </row>
    <row r="92">
      <c r="A92" s="3" t="inlineStr">
        <is>
          <t>Età (mesi)</t>
        </is>
      </c>
      <c r="C92" t="n">
        <v>0</v>
      </c>
      <c r="D92" t="n">
        <v>1</v>
      </c>
      <c r="E92" t="n">
        <v>2</v>
      </c>
      <c r="F92" t="n">
        <v>3</v>
      </c>
      <c r="G92" t="n">
        <v>4</v>
      </c>
      <c r="H92" t="n">
        <v>5</v>
      </c>
      <c r="I92" t="n">
        <v>6</v>
      </c>
      <c r="J92" t="n">
        <v>7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13</v>
      </c>
      <c r="Q92" t="n">
        <v>14</v>
      </c>
      <c r="R92" t="n">
        <v>15</v>
      </c>
      <c r="S92" t="n">
        <v>16</v>
      </c>
      <c r="T92" t="n">
        <v>17</v>
      </c>
      <c r="U92" t="n">
        <v>18</v>
      </c>
      <c r="V92" t="n">
        <v>19</v>
      </c>
      <c r="W92" t="n">
        <v>20</v>
      </c>
      <c r="X92" t="n">
        <v>21</v>
      </c>
      <c r="Y92" t="n">
        <v>22</v>
      </c>
      <c r="Z92" t="n">
        <v>23</v>
      </c>
      <c r="AA92" t="n">
        <v>24</v>
      </c>
      <c r="AB92" t="n">
        <v>25</v>
      </c>
      <c r="AC92" t="n">
        <v>26</v>
      </c>
      <c r="AD92" t="n">
        <v>27</v>
      </c>
      <c r="AE92" t="n">
        <v>28</v>
      </c>
      <c r="AF92" t="n">
        <v>29</v>
      </c>
      <c r="AG92" t="n">
        <v>30</v>
      </c>
      <c r="AH92" t="n">
        <v>31</v>
      </c>
      <c r="AI92" t="n">
        <v>32</v>
      </c>
      <c r="AJ92" t="n">
        <v>33</v>
      </c>
      <c r="AK92" t="n">
        <v>34</v>
      </c>
      <c r="AL92" t="n">
        <v>35</v>
      </c>
    </row>
    <row r="93">
      <c r="A93" s="3" t="inlineStr">
        <is>
          <t>Percorso 6: ordini</t>
        </is>
      </c>
      <c r="C93" s="23">
        <f>IF(C92=0,1,IF(MOD(C92,6)=0,$C$12*(1-$C$13)*$C$14*$C$15^(C92/6-1),0))</f>
        <v/>
      </c>
      <c r="D93" s="23">
        <f>IF(D92=0,1,IF(MOD(D92,6)=0,$C$12*(1-$C$13)*$C$14*$C$15^(D92/6-1),0))</f>
        <v/>
      </c>
      <c r="E93" s="23">
        <f>IF(E92=0,1,IF(MOD(E92,6)=0,$C$12*(1-$C$13)*$C$14*$C$15^(E92/6-1),0))</f>
        <v/>
      </c>
      <c r="F93" s="23">
        <f>IF(F92=0,1,IF(MOD(F92,6)=0,$C$12*(1-$C$13)*$C$14*$C$15^(F92/6-1),0))</f>
        <v/>
      </c>
      <c r="G93" s="23">
        <f>IF(G92=0,1,IF(MOD(G92,6)=0,$C$12*(1-$C$13)*$C$14*$C$15^(G92/6-1),0))</f>
        <v/>
      </c>
      <c r="H93" s="23">
        <f>IF(H92=0,1,IF(MOD(H92,6)=0,$C$12*(1-$C$13)*$C$14*$C$15^(H92/6-1),0))</f>
        <v/>
      </c>
      <c r="I93" s="23">
        <f>IF(I92=0,1,IF(MOD(I92,6)=0,$C$12*(1-$C$13)*$C$14*$C$15^(I92/6-1),0))</f>
        <v/>
      </c>
      <c r="J93" s="23">
        <f>IF(J92=0,1,IF(MOD(J92,6)=0,$C$12*(1-$C$13)*$C$14*$C$15^(J92/6-1),0))</f>
        <v/>
      </c>
      <c r="K93" s="23">
        <f>IF(K92=0,1,IF(MOD(K92,6)=0,$C$12*(1-$C$13)*$C$14*$C$15^(K92/6-1),0))</f>
        <v/>
      </c>
      <c r="L93" s="23">
        <f>IF(L92=0,1,IF(MOD(L92,6)=0,$C$12*(1-$C$13)*$C$14*$C$15^(L92/6-1),0))</f>
        <v/>
      </c>
      <c r="M93" s="23">
        <f>IF(M92=0,1,IF(MOD(M92,6)=0,$C$12*(1-$C$13)*$C$14*$C$15^(M92/6-1),0))</f>
        <v/>
      </c>
      <c r="N93" s="23">
        <f>IF(N92=0,1,IF(MOD(N92,6)=0,$C$12*(1-$C$13)*$C$14*$C$15^(N92/6-1),0))</f>
        <v/>
      </c>
      <c r="O93" s="23">
        <f>IF(O92=0,1,IF(MOD(O92,6)=0,$C$12*(1-$C$13)*$C$14*$C$15^(O92/6-1),0))</f>
        <v/>
      </c>
      <c r="P93" s="23">
        <f>IF(P92=0,1,IF(MOD(P92,6)=0,$C$12*(1-$C$13)*$C$14*$C$15^(P92/6-1),0))</f>
        <v/>
      </c>
      <c r="Q93" s="23">
        <f>IF(Q92=0,1,IF(MOD(Q92,6)=0,$C$12*(1-$C$13)*$C$14*$C$15^(Q92/6-1),0))</f>
        <v/>
      </c>
      <c r="R93" s="23">
        <f>IF(R92=0,1,IF(MOD(R92,6)=0,$C$12*(1-$C$13)*$C$14*$C$15^(R92/6-1),0))</f>
        <v/>
      </c>
      <c r="S93" s="23">
        <f>IF(S92=0,1,IF(MOD(S92,6)=0,$C$12*(1-$C$13)*$C$14*$C$15^(S92/6-1),0))</f>
        <v/>
      </c>
      <c r="T93" s="23">
        <f>IF(T92=0,1,IF(MOD(T92,6)=0,$C$12*(1-$C$13)*$C$14*$C$15^(T92/6-1),0))</f>
        <v/>
      </c>
      <c r="U93" s="23">
        <f>IF(U92=0,1,IF(MOD(U92,6)=0,$C$12*(1-$C$13)*$C$14*$C$15^(U92/6-1),0))</f>
        <v/>
      </c>
      <c r="V93" s="23">
        <f>IF(V92=0,1,IF(MOD(V92,6)=0,$C$12*(1-$C$13)*$C$14*$C$15^(V92/6-1),0))</f>
        <v/>
      </c>
      <c r="W93" s="23">
        <f>IF(W92=0,1,IF(MOD(W92,6)=0,$C$12*(1-$C$13)*$C$14*$C$15^(W92/6-1),0))</f>
        <v/>
      </c>
      <c r="X93" s="23">
        <f>IF(X92=0,1,IF(MOD(X92,6)=0,$C$12*(1-$C$13)*$C$14*$C$15^(X92/6-1),0))</f>
        <v/>
      </c>
      <c r="Y93" s="23">
        <f>IF(Y92=0,1,IF(MOD(Y92,6)=0,$C$12*(1-$C$13)*$C$14*$C$15^(Y92/6-1),0))</f>
        <v/>
      </c>
      <c r="Z93" s="23">
        <f>IF(Z92=0,1,IF(MOD(Z92,6)=0,$C$12*(1-$C$13)*$C$14*$C$15^(Z92/6-1),0))</f>
        <v/>
      </c>
      <c r="AA93" s="23">
        <f>IF(AA92=0,1,IF(MOD(AA92,6)=0,$C$12*(1-$C$13)*$C$14*$C$15^(AA92/6-1),0))</f>
        <v/>
      </c>
      <c r="AB93" s="23">
        <f>IF(AB92=0,1,IF(MOD(AB92,6)=0,$C$12*(1-$C$13)*$C$14*$C$15^(AB92/6-1),0))</f>
        <v/>
      </c>
      <c r="AC93" s="23">
        <f>IF(AC92=0,1,IF(MOD(AC92,6)=0,$C$12*(1-$C$13)*$C$14*$C$15^(AC92/6-1),0))</f>
        <v/>
      </c>
      <c r="AD93" s="23">
        <f>IF(AD92=0,1,IF(MOD(AD92,6)=0,$C$12*(1-$C$13)*$C$14*$C$15^(AD92/6-1),0))</f>
        <v/>
      </c>
      <c r="AE93" s="23">
        <f>IF(AE92=0,1,IF(MOD(AE92,6)=0,$C$12*(1-$C$13)*$C$14*$C$15^(AE92/6-1),0))</f>
        <v/>
      </c>
      <c r="AF93" s="23">
        <f>IF(AF92=0,1,IF(MOD(AF92,6)=0,$C$12*(1-$C$13)*$C$14*$C$15^(AF92/6-1),0))</f>
        <v/>
      </c>
      <c r="AG93" s="23">
        <f>IF(AG92=0,1,IF(MOD(AG92,6)=0,$C$12*(1-$C$13)*$C$14*$C$15^(AG92/6-1),0))</f>
        <v/>
      </c>
      <c r="AH93" s="23">
        <f>IF(AH92=0,1,IF(MOD(AH92,6)=0,$C$12*(1-$C$13)*$C$14*$C$15^(AH92/6-1),0))</f>
        <v/>
      </c>
      <c r="AI93" s="23">
        <f>IF(AI92=0,1,IF(MOD(AI92,6)=0,$C$12*(1-$C$13)*$C$14*$C$15^(AI92/6-1),0))</f>
        <v/>
      </c>
      <c r="AJ93" s="23">
        <f>IF(AJ92=0,1,IF(MOD(AJ92,6)=0,$C$12*(1-$C$13)*$C$14*$C$15^(AJ92/6-1),0))</f>
        <v/>
      </c>
      <c r="AK93" s="23">
        <f>IF(AK92=0,1,IF(MOD(AK92,6)=0,$C$12*(1-$C$13)*$C$14*$C$15^(AK92/6-1),0))</f>
        <v/>
      </c>
      <c r="AL93" s="23">
        <f>IF(AL92=0,1,IF(MOD(AL92,6)=0,$C$12*(1-$C$13)*$C$14*$C$15^(AL92/6-1),0))</f>
        <v/>
      </c>
    </row>
    <row r="94">
      <c r="A94" s="3" t="inlineStr">
        <is>
          <t>Percorso 6: rimborsi di garanzia</t>
        </is>
      </c>
      <c r="C94" s="23">
        <f>IF(OR(C92=5,C92=6),$C$12*$C$13/2,0)</f>
        <v/>
      </c>
      <c r="D94" s="23">
        <f>IF(OR(D92=5,D92=6),$C$12*$C$13/2,0)</f>
        <v/>
      </c>
      <c r="E94" s="23">
        <f>IF(OR(E92=5,E92=6),$C$12*$C$13/2,0)</f>
        <v/>
      </c>
      <c r="F94" s="23">
        <f>IF(OR(F92=5,F92=6),$C$12*$C$13/2,0)</f>
        <v/>
      </c>
      <c r="G94" s="23">
        <f>IF(OR(G92=5,G92=6),$C$12*$C$13/2,0)</f>
        <v/>
      </c>
      <c r="H94" s="23">
        <f>IF(OR(H92=5,H92=6),$C$12*$C$13/2,0)</f>
        <v/>
      </c>
      <c r="I94" s="23">
        <f>IF(OR(I92=5,I92=6),$C$12*$C$13/2,0)</f>
        <v/>
      </c>
      <c r="J94" s="23">
        <f>IF(OR(J92=5,J92=6),$C$12*$C$13/2,0)</f>
        <v/>
      </c>
      <c r="K94" s="23">
        <f>IF(OR(K92=5,K92=6),$C$12*$C$13/2,0)</f>
        <v/>
      </c>
      <c r="L94" s="23">
        <f>IF(OR(L92=5,L92=6),$C$12*$C$13/2,0)</f>
        <v/>
      </c>
      <c r="M94" s="23">
        <f>IF(OR(M92=5,M92=6),$C$12*$C$13/2,0)</f>
        <v/>
      </c>
      <c r="N94" s="23">
        <f>IF(OR(N92=5,N92=6),$C$12*$C$13/2,0)</f>
        <v/>
      </c>
      <c r="O94" s="23">
        <f>IF(OR(O92=5,O92=6),$C$12*$C$13/2,0)</f>
        <v/>
      </c>
      <c r="P94" s="23">
        <f>IF(OR(P92=5,P92=6),$C$12*$C$13/2,0)</f>
        <v/>
      </c>
      <c r="Q94" s="23">
        <f>IF(OR(Q92=5,Q92=6),$C$12*$C$13/2,0)</f>
        <v/>
      </c>
      <c r="R94" s="23">
        <f>IF(OR(R92=5,R92=6),$C$12*$C$13/2,0)</f>
        <v/>
      </c>
      <c r="S94" s="23">
        <f>IF(OR(S92=5,S92=6),$C$12*$C$13/2,0)</f>
        <v/>
      </c>
      <c r="T94" s="23">
        <f>IF(OR(T92=5,T92=6),$C$12*$C$13/2,0)</f>
        <v/>
      </c>
      <c r="U94" s="23">
        <f>IF(OR(U92=5,U92=6),$C$12*$C$13/2,0)</f>
        <v/>
      </c>
      <c r="V94" s="23">
        <f>IF(OR(V92=5,V92=6),$C$12*$C$13/2,0)</f>
        <v/>
      </c>
      <c r="W94" s="23">
        <f>IF(OR(W92=5,W92=6),$C$12*$C$13/2,0)</f>
        <v/>
      </c>
      <c r="X94" s="23">
        <f>IF(OR(X92=5,X92=6),$C$12*$C$13/2,0)</f>
        <v/>
      </c>
      <c r="Y94" s="23">
        <f>IF(OR(Y92=5,Y92=6),$C$12*$C$13/2,0)</f>
        <v/>
      </c>
      <c r="Z94" s="23">
        <f>IF(OR(Z92=5,Z92=6),$C$12*$C$13/2,0)</f>
        <v/>
      </c>
      <c r="AA94" s="23">
        <f>IF(OR(AA92=5,AA92=6),$C$12*$C$13/2,0)</f>
        <v/>
      </c>
      <c r="AB94" s="23">
        <f>IF(OR(AB92=5,AB92=6),$C$12*$C$13/2,0)</f>
        <v/>
      </c>
      <c r="AC94" s="23">
        <f>IF(OR(AC92=5,AC92=6),$C$12*$C$13/2,0)</f>
        <v/>
      </c>
      <c r="AD94" s="23">
        <f>IF(OR(AD92=5,AD92=6),$C$12*$C$13/2,0)</f>
        <v/>
      </c>
      <c r="AE94" s="23">
        <f>IF(OR(AE92=5,AE92=6),$C$12*$C$13/2,0)</f>
        <v/>
      </c>
      <c r="AF94" s="23">
        <f>IF(OR(AF92=5,AF92=6),$C$12*$C$13/2,0)</f>
        <v/>
      </c>
      <c r="AG94" s="23">
        <f>IF(OR(AG92=5,AG92=6),$C$12*$C$13/2,0)</f>
        <v/>
      </c>
      <c r="AH94" s="23">
        <f>IF(OR(AH92=5,AH92=6),$C$12*$C$13/2,0)</f>
        <v/>
      </c>
      <c r="AI94" s="23">
        <f>IF(OR(AI92=5,AI92=6),$C$12*$C$13/2,0)</f>
        <v/>
      </c>
      <c r="AJ94" s="23">
        <f>IF(OR(AJ92=5,AJ92=6),$C$12*$C$13/2,0)</f>
        <v/>
      </c>
      <c r="AK94" s="23">
        <f>IF(OR(AK92=5,AK92=6),$C$12*$C$13/2,0)</f>
        <v/>
      </c>
      <c r="AL94" s="23">
        <f>IF(OR(AL92=5,AL92=6),$C$12*$C$13/2,0)</f>
        <v/>
      </c>
    </row>
    <row r="95">
      <c r="A95" s="3" t="inlineStr">
        <is>
          <t>Percorso 3: ordini</t>
        </is>
      </c>
      <c r="C95" s="23">
        <f>IF(C92=0,1,IF(MOD(C92,3)=0,$C$16*$C$17^(C92/3-1),0))</f>
        <v/>
      </c>
      <c r="D95" s="23">
        <f>IF(D92=0,1,IF(MOD(D92,3)=0,$C$16*$C$17^(D92/3-1),0))</f>
        <v/>
      </c>
      <c r="E95" s="23">
        <f>IF(E92=0,1,IF(MOD(E92,3)=0,$C$16*$C$17^(E92/3-1),0))</f>
        <v/>
      </c>
      <c r="F95" s="23">
        <f>IF(F92=0,1,IF(MOD(F92,3)=0,$C$16*$C$17^(F92/3-1),0))</f>
        <v/>
      </c>
      <c r="G95" s="23">
        <f>IF(G92=0,1,IF(MOD(G92,3)=0,$C$16*$C$17^(G92/3-1),0))</f>
        <v/>
      </c>
      <c r="H95" s="23">
        <f>IF(H92=0,1,IF(MOD(H92,3)=0,$C$16*$C$17^(H92/3-1),0))</f>
        <v/>
      </c>
      <c r="I95" s="23">
        <f>IF(I92=0,1,IF(MOD(I92,3)=0,$C$16*$C$17^(I92/3-1),0))</f>
        <v/>
      </c>
      <c r="J95" s="23">
        <f>IF(J92=0,1,IF(MOD(J92,3)=0,$C$16*$C$17^(J92/3-1),0))</f>
        <v/>
      </c>
      <c r="K95" s="23">
        <f>IF(K92=0,1,IF(MOD(K92,3)=0,$C$16*$C$17^(K92/3-1),0))</f>
        <v/>
      </c>
      <c r="L95" s="23">
        <f>IF(L92=0,1,IF(MOD(L92,3)=0,$C$16*$C$17^(L92/3-1),0))</f>
        <v/>
      </c>
      <c r="M95" s="23">
        <f>IF(M92=0,1,IF(MOD(M92,3)=0,$C$16*$C$17^(M92/3-1),0))</f>
        <v/>
      </c>
      <c r="N95" s="23">
        <f>IF(N92=0,1,IF(MOD(N92,3)=0,$C$16*$C$17^(N92/3-1),0))</f>
        <v/>
      </c>
      <c r="O95" s="23">
        <f>IF(O92=0,1,IF(MOD(O92,3)=0,$C$16*$C$17^(O92/3-1),0))</f>
        <v/>
      </c>
      <c r="P95" s="23">
        <f>IF(P92=0,1,IF(MOD(P92,3)=0,$C$16*$C$17^(P92/3-1),0))</f>
        <v/>
      </c>
      <c r="Q95" s="23">
        <f>IF(Q92=0,1,IF(MOD(Q92,3)=0,$C$16*$C$17^(Q92/3-1),0))</f>
        <v/>
      </c>
      <c r="R95" s="23">
        <f>IF(R92=0,1,IF(MOD(R92,3)=0,$C$16*$C$17^(R92/3-1),0))</f>
        <v/>
      </c>
      <c r="S95" s="23">
        <f>IF(S92=0,1,IF(MOD(S92,3)=0,$C$16*$C$17^(S92/3-1),0))</f>
        <v/>
      </c>
      <c r="T95" s="23">
        <f>IF(T92=0,1,IF(MOD(T92,3)=0,$C$16*$C$17^(T92/3-1),0))</f>
        <v/>
      </c>
      <c r="U95" s="23">
        <f>IF(U92=0,1,IF(MOD(U92,3)=0,$C$16*$C$17^(U92/3-1),0))</f>
        <v/>
      </c>
      <c r="V95" s="23">
        <f>IF(V92=0,1,IF(MOD(V92,3)=0,$C$16*$C$17^(V92/3-1),0))</f>
        <v/>
      </c>
      <c r="W95" s="23">
        <f>IF(W92=0,1,IF(MOD(W92,3)=0,$C$16*$C$17^(W92/3-1),0))</f>
        <v/>
      </c>
      <c r="X95" s="23">
        <f>IF(X92=0,1,IF(MOD(X92,3)=0,$C$16*$C$17^(X92/3-1),0))</f>
        <v/>
      </c>
      <c r="Y95" s="23">
        <f>IF(Y92=0,1,IF(MOD(Y92,3)=0,$C$16*$C$17^(Y92/3-1),0))</f>
        <v/>
      </c>
      <c r="Z95" s="23">
        <f>IF(Z92=0,1,IF(MOD(Z92,3)=0,$C$16*$C$17^(Z92/3-1),0))</f>
        <v/>
      </c>
      <c r="AA95" s="23">
        <f>IF(AA92=0,1,IF(MOD(AA92,3)=0,$C$16*$C$17^(AA92/3-1),0))</f>
        <v/>
      </c>
      <c r="AB95" s="23">
        <f>IF(AB92=0,1,IF(MOD(AB92,3)=0,$C$16*$C$17^(AB92/3-1),0))</f>
        <v/>
      </c>
      <c r="AC95" s="23">
        <f>IF(AC92=0,1,IF(MOD(AC92,3)=0,$C$16*$C$17^(AC92/3-1),0))</f>
        <v/>
      </c>
      <c r="AD95" s="23">
        <f>IF(AD92=0,1,IF(MOD(AD92,3)=0,$C$16*$C$17^(AD92/3-1),0))</f>
        <v/>
      </c>
      <c r="AE95" s="23">
        <f>IF(AE92=0,1,IF(MOD(AE92,3)=0,$C$16*$C$17^(AE92/3-1),0))</f>
        <v/>
      </c>
      <c r="AF95" s="23">
        <f>IF(AF92=0,1,IF(MOD(AF92,3)=0,$C$16*$C$17^(AF92/3-1),0))</f>
        <v/>
      </c>
      <c r="AG95" s="23">
        <f>IF(AG92=0,1,IF(MOD(AG92,3)=0,$C$16*$C$17^(AG92/3-1),0))</f>
        <v/>
      </c>
      <c r="AH95" s="23">
        <f>IF(AH92=0,1,IF(MOD(AH92,3)=0,$C$16*$C$17^(AH92/3-1),0))</f>
        <v/>
      </c>
      <c r="AI95" s="23">
        <f>IF(AI92=0,1,IF(MOD(AI92,3)=0,$C$16*$C$17^(AI92/3-1),0))</f>
        <v/>
      </c>
      <c r="AJ95" s="23">
        <f>IF(AJ92=0,1,IF(MOD(AJ92,3)=0,$C$16*$C$17^(AJ92/3-1),0))</f>
        <v/>
      </c>
      <c r="AK95" s="23">
        <f>IF(AK92=0,1,IF(MOD(AK92,3)=0,$C$16*$C$17^(AK92/3-1),0))</f>
        <v/>
      </c>
      <c r="AL95" s="23">
        <f>IF(AL92=0,1,IF(MOD(AL92,3)=0,$C$16*$C$17^(AL92/3-1),0))</f>
        <v/>
      </c>
    </row>
    <row r="96">
      <c r="A96" s="3" t="inlineStr">
        <is>
          <t>Abbonamento: ordini</t>
        </is>
      </c>
      <c r="C96" s="23">
        <f>SUMIF($C$86:$AU$86,C92,$C$87:$AU$87)</f>
        <v/>
      </c>
      <c r="D96" s="23">
        <f>SUMIF($C$86:$AU$86,D92,$C$87:$AU$87)</f>
        <v/>
      </c>
      <c r="E96" s="23">
        <f>SUMIF($C$86:$AU$86,E92,$C$87:$AU$87)</f>
        <v/>
      </c>
      <c r="F96" s="23">
        <f>SUMIF($C$86:$AU$86,F92,$C$87:$AU$87)</f>
        <v/>
      </c>
      <c r="G96" s="23">
        <f>SUMIF($C$86:$AU$86,G92,$C$87:$AU$87)</f>
        <v/>
      </c>
      <c r="H96" s="23">
        <f>SUMIF($C$86:$AU$86,H92,$C$87:$AU$87)</f>
        <v/>
      </c>
      <c r="I96" s="23">
        <f>SUMIF($C$86:$AU$86,I92,$C$87:$AU$87)</f>
        <v/>
      </c>
      <c r="J96" s="23">
        <f>SUMIF($C$86:$AU$86,J92,$C$87:$AU$87)</f>
        <v/>
      </c>
      <c r="K96" s="23">
        <f>SUMIF($C$86:$AU$86,K92,$C$87:$AU$87)</f>
        <v/>
      </c>
      <c r="L96" s="23">
        <f>SUMIF($C$86:$AU$86,L92,$C$87:$AU$87)</f>
        <v/>
      </c>
      <c r="M96" s="23">
        <f>SUMIF($C$86:$AU$86,M92,$C$87:$AU$87)</f>
        <v/>
      </c>
      <c r="N96" s="23">
        <f>SUMIF($C$86:$AU$86,N92,$C$87:$AU$87)</f>
        <v/>
      </c>
      <c r="O96" s="23">
        <f>SUMIF($C$86:$AU$86,O92,$C$87:$AU$87)</f>
        <v/>
      </c>
      <c r="P96" s="23">
        <f>SUMIF($C$86:$AU$86,P92,$C$87:$AU$87)</f>
        <v/>
      </c>
      <c r="Q96" s="23">
        <f>SUMIF($C$86:$AU$86,Q92,$C$87:$AU$87)</f>
        <v/>
      </c>
      <c r="R96" s="23">
        <f>SUMIF($C$86:$AU$86,R92,$C$87:$AU$87)</f>
        <v/>
      </c>
      <c r="S96" s="23">
        <f>SUMIF($C$86:$AU$86,S92,$C$87:$AU$87)</f>
        <v/>
      </c>
      <c r="T96" s="23">
        <f>SUMIF($C$86:$AU$86,T92,$C$87:$AU$87)</f>
        <v/>
      </c>
      <c r="U96" s="23">
        <f>SUMIF($C$86:$AU$86,U92,$C$87:$AU$87)</f>
        <v/>
      </c>
      <c r="V96" s="23">
        <f>SUMIF($C$86:$AU$86,V92,$C$87:$AU$87)</f>
        <v/>
      </c>
      <c r="W96" s="23">
        <f>SUMIF($C$86:$AU$86,W92,$C$87:$AU$87)</f>
        <v/>
      </c>
      <c r="X96" s="23">
        <f>SUMIF($C$86:$AU$86,X92,$C$87:$AU$87)</f>
        <v/>
      </c>
      <c r="Y96" s="23">
        <f>SUMIF($C$86:$AU$86,Y92,$C$87:$AU$87)</f>
        <v/>
      </c>
      <c r="Z96" s="23">
        <f>SUMIF($C$86:$AU$86,Z92,$C$87:$AU$87)</f>
        <v/>
      </c>
      <c r="AA96" s="23">
        <f>SUMIF($C$86:$AU$86,AA92,$C$87:$AU$87)</f>
        <v/>
      </c>
      <c r="AB96" s="23">
        <f>SUMIF($C$86:$AU$86,AB92,$C$87:$AU$87)</f>
        <v/>
      </c>
      <c r="AC96" s="23">
        <f>SUMIF($C$86:$AU$86,AC92,$C$87:$AU$87)</f>
        <v/>
      </c>
      <c r="AD96" s="23">
        <f>SUMIF($C$86:$AU$86,AD92,$C$87:$AU$87)</f>
        <v/>
      </c>
      <c r="AE96" s="23">
        <f>SUMIF($C$86:$AU$86,AE92,$C$87:$AU$87)</f>
        <v/>
      </c>
      <c r="AF96" s="23">
        <f>SUMIF($C$86:$AU$86,AF92,$C$87:$AU$87)</f>
        <v/>
      </c>
      <c r="AG96" s="23">
        <f>SUMIF($C$86:$AU$86,AG92,$C$87:$AU$87)</f>
        <v/>
      </c>
      <c r="AH96" s="23">
        <f>SUMIF($C$86:$AU$86,AH92,$C$87:$AU$87)</f>
        <v/>
      </c>
      <c r="AI96" s="23">
        <f>SUMIF($C$86:$AU$86,AI92,$C$87:$AU$87)</f>
        <v/>
      </c>
      <c r="AJ96" s="23">
        <f>SUMIF($C$86:$AU$86,AJ92,$C$87:$AU$87)</f>
        <v/>
      </c>
      <c r="AK96" s="23">
        <f>SUMIF($C$86:$AU$86,AK92,$C$87:$AU$87)</f>
        <v/>
      </c>
      <c r="AL96" s="23">
        <f>SUMIF($C$86:$AU$86,AL92,$C$87:$AU$87)</f>
        <v/>
      </c>
    </row>
    <row r="97">
      <c r="A97" s="3" t="inlineStr">
        <is>
          <t>Singolo: ordini</t>
        </is>
      </c>
      <c r="C97" s="23">
        <f>SUMIF($C$88:$AU$88,C92,$C$89:$AU$89)</f>
        <v/>
      </c>
      <c r="D97" s="23">
        <f>SUMIF($C$88:$AU$88,D92,$C$89:$AU$89)</f>
        <v/>
      </c>
      <c r="E97" s="23">
        <f>SUMIF($C$88:$AU$88,E92,$C$89:$AU$89)</f>
        <v/>
      </c>
      <c r="F97" s="23">
        <f>SUMIF($C$88:$AU$88,F92,$C$89:$AU$89)</f>
        <v/>
      </c>
      <c r="G97" s="23">
        <f>SUMIF($C$88:$AU$88,G92,$C$89:$AU$89)</f>
        <v/>
      </c>
      <c r="H97" s="23">
        <f>SUMIF($C$88:$AU$88,H92,$C$89:$AU$89)</f>
        <v/>
      </c>
      <c r="I97" s="23">
        <f>SUMIF($C$88:$AU$88,I92,$C$89:$AU$89)</f>
        <v/>
      </c>
      <c r="J97" s="23">
        <f>SUMIF($C$88:$AU$88,J92,$C$89:$AU$89)</f>
        <v/>
      </c>
      <c r="K97" s="23">
        <f>SUMIF($C$88:$AU$88,K92,$C$89:$AU$89)</f>
        <v/>
      </c>
      <c r="L97" s="23">
        <f>SUMIF($C$88:$AU$88,L92,$C$89:$AU$89)</f>
        <v/>
      </c>
      <c r="M97" s="23">
        <f>SUMIF($C$88:$AU$88,M92,$C$89:$AU$89)</f>
        <v/>
      </c>
      <c r="N97" s="23">
        <f>SUMIF($C$88:$AU$88,N92,$C$89:$AU$89)</f>
        <v/>
      </c>
      <c r="O97" s="23">
        <f>SUMIF($C$88:$AU$88,O92,$C$89:$AU$89)</f>
        <v/>
      </c>
      <c r="P97" s="23">
        <f>SUMIF($C$88:$AU$88,P92,$C$89:$AU$89)</f>
        <v/>
      </c>
      <c r="Q97" s="23">
        <f>SUMIF($C$88:$AU$88,Q92,$C$89:$AU$89)</f>
        <v/>
      </c>
      <c r="R97" s="23">
        <f>SUMIF($C$88:$AU$88,R92,$C$89:$AU$89)</f>
        <v/>
      </c>
      <c r="S97" s="23">
        <f>SUMIF($C$88:$AU$88,S92,$C$89:$AU$89)</f>
        <v/>
      </c>
      <c r="T97" s="23">
        <f>SUMIF($C$88:$AU$88,T92,$C$89:$AU$89)</f>
        <v/>
      </c>
      <c r="U97" s="23">
        <f>SUMIF($C$88:$AU$88,U92,$C$89:$AU$89)</f>
        <v/>
      </c>
      <c r="V97" s="23">
        <f>SUMIF($C$88:$AU$88,V92,$C$89:$AU$89)</f>
        <v/>
      </c>
      <c r="W97" s="23">
        <f>SUMIF($C$88:$AU$88,W92,$C$89:$AU$89)</f>
        <v/>
      </c>
      <c r="X97" s="23">
        <f>SUMIF($C$88:$AU$88,X92,$C$89:$AU$89)</f>
        <v/>
      </c>
      <c r="Y97" s="23">
        <f>SUMIF($C$88:$AU$88,Y92,$C$89:$AU$89)</f>
        <v/>
      </c>
      <c r="Z97" s="23">
        <f>SUMIF($C$88:$AU$88,Z92,$C$89:$AU$89)</f>
        <v/>
      </c>
      <c r="AA97" s="23">
        <f>SUMIF($C$88:$AU$88,AA92,$C$89:$AU$89)</f>
        <v/>
      </c>
      <c r="AB97" s="23">
        <f>SUMIF($C$88:$AU$88,AB92,$C$89:$AU$89)</f>
        <v/>
      </c>
      <c r="AC97" s="23">
        <f>SUMIF($C$88:$AU$88,AC92,$C$89:$AU$89)</f>
        <v/>
      </c>
      <c r="AD97" s="23">
        <f>SUMIF($C$88:$AU$88,AD92,$C$89:$AU$89)</f>
        <v/>
      </c>
      <c r="AE97" s="23">
        <f>SUMIF($C$88:$AU$88,AE92,$C$89:$AU$89)</f>
        <v/>
      </c>
      <c r="AF97" s="23">
        <f>SUMIF($C$88:$AU$88,AF92,$C$89:$AU$89)</f>
        <v/>
      </c>
      <c r="AG97" s="23">
        <f>SUMIF($C$88:$AU$88,AG92,$C$89:$AU$89)</f>
        <v/>
      </c>
      <c r="AH97" s="23">
        <f>SUMIF($C$88:$AU$88,AH92,$C$89:$AU$89)</f>
        <v/>
      </c>
      <c r="AI97" s="23">
        <f>SUMIF($C$88:$AU$88,AI92,$C$89:$AU$89)</f>
        <v/>
      </c>
      <c r="AJ97" s="23">
        <f>SUMIF($C$88:$AU$88,AJ92,$C$89:$AU$89)</f>
        <v/>
      </c>
      <c r="AK97" s="23">
        <f>SUMIF($C$88:$AU$88,AK92,$C$89:$AU$89)</f>
        <v/>
      </c>
      <c r="AL97" s="23">
        <f>SUMIF($C$88:$AU$88,AL92,$C$89:$AU$89)</f>
        <v/>
      </c>
    </row>
    <row r="98">
      <c r="A98" s="3" t="inlineStr">
        <is>
          <t>Percorso 6: contribuzione cumulata</t>
        </is>
      </c>
      <c r="B98" s="4" t="inlineStr">
        <is>
          <t>€</t>
        </is>
      </c>
      <c r="C98" s="13">
        <f>$H$82+(C93-1)*$C$82-C94*$H$77</f>
        <v/>
      </c>
      <c r="D98" s="13">
        <f>C98+D93*$C$82-D94*$H$77</f>
        <v/>
      </c>
      <c r="E98" s="13">
        <f>D98+E93*$C$82-E94*$H$77</f>
        <v/>
      </c>
      <c r="F98" s="13">
        <f>E98+F93*$C$82-F94*$H$77</f>
        <v/>
      </c>
      <c r="G98" s="13">
        <f>F98+G93*$C$82-G94*$H$77</f>
        <v/>
      </c>
      <c r="H98" s="13">
        <f>G98+H93*$C$82-H94*$H$77</f>
        <v/>
      </c>
      <c r="I98" s="13">
        <f>H98+I93*$C$82-I94*$H$77</f>
        <v/>
      </c>
      <c r="J98" s="13">
        <f>I98+J93*$C$82-J94*$H$77</f>
        <v/>
      </c>
      <c r="K98" s="13">
        <f>J98+K93*$C$82-K94*$H$77</f>
        <v/>
      </c>
      <c r="L98" s="13">
        <f>K98+L93*$C$82-L94*$H$77</f>
        <v/>
      </c>
      <c r="M98" s="13">
        <f>L98+M93*$C$82-M94*$H$77</f>
        <v/>
      </c>
      <c r="N98" s="13">
        <f>M98+N93*$C$82-N94*$H$77</f>
        <v/>
      </c>
      <c r="O98" s="13">
        <f>N98+O93*$C$82-O94*$H$77</f>
        <v/>
      </c>
      <c r="P98" s="13">
        <f>O98+P93*$C$82-P94*$H$77</f>
        <v/>
      </c>
      <c r="Q98" s="13">
        <f>P98+Q93*$C$82-Q94*$H$77</f>
        <v/>
      </c>
      <c r="R98" s="13">
        <f>Q98+R93*$C$82-R94*$H$77</f>
        <v/>
      </c>
      <c r="S98" s="13">
        <f>R98+S93*$C$82-S94*$H$77</f>
        <v/>
      </c>
      <c r="T98" s="13">
        <f>S98+T93*$C$82-T94*$H$77</f>
        <v/>
      </c>
      <c r="U98" s="13">
        <f>T98+U93*$C$82-U94*$H$77</f>
        <v/>
      </c>
      <c r="V98" s="13">
        <f>U98+V93*$C$82-V94*$H$77</f>
        <v/>
      </c>
      <c r="W98" s="13">
        <f>V98+W93*$C$82-W94*$H$77</f>
        <v/>
      </c>
      <c r="X98" s="13">
        <f>W98+X93*$C$82-X94*$H$77</f>
        <v/>
      </c>
      <c r="Y98" s="13">
        <f>X98+Y93*$C$82-Y94*$H$77</f>
        <v/>
      </c>
      <c r="Z98" s="13">
        <f>Y98+Z93*$C$82-Z94*$H$77</f>
        <v/>
      </c>
      <c r="AA98" s="13">
        <f>Z98+AA93*$C$82-AA94*$H$77</f>
        <v/>
      </c>
      <c r="AB98" s="13">
        <f>AA98+AB93*$C$82-AB94*$H$77</f>
        <v/>
      </c>
      <c r="AC98" s="13">
        <f>AB98+AC93*$C$82-AC94*$H$77</f>
        <v/>
      </c>
      <c r="AD98" s="13">
        <f>AC98+AD93*$C$82-AD94*$H$77</f>
        <v/>
      </c>
      <c r="AE98" s="13">
        <f>AD98+AE93*$C$82-AE94*$H$77</f>
        <v/>
      </c>
      <c r="AF98" s="13">
        <f>AE98+AF93*$C$82-AF94*$H$77</f>
        <v/>
      </c>
      <c r="AG98" s="13">
        <f>AF98+AG93*$C$82-AG94*$H$77</f>
        <v/>
      </c>
      <c r="AH98" s="13">
        <f>AG98+AH93*$C$82-AH94*$H$77</f>
        <v/>
      </c>
      <c r="AI98" s="13">
        <f>AH98+AI93*$C$82-AI94*$H$77</f>
        <v/>
      </c>
      <c r="AJ98" s="13">
        <f>AI98+AJ93*$C$82-AJ94*$H$77</f>
        <v/>
      </c>
      <c r="AK98" s="13">
        <f>AJ98+AK93*$C$82-AK94*$H$77</f>
        <v/>
      </c>
      <c r="AL98" s="13">
        <f>AK98+AL93*$C$82-AL94*$H$77</f>
        <v/>
      </c>
    </row>
    <row r="99">
      <c r="A99" s="3" t="inlineStr">
        <is>
          <t>Percorso 3: contribuzione cumulata</t>
        </is>
      </c>
      <c r="B99" s="4" t="inlineStr">
        <is>
          <t>€</t>
        </is>
      </c>
      <c r="C99" s="13">
        <f>$I$82+(C95-1)*$D$82</f>
        <v/>
      </c>
      <c r="D99" s="13">
        <f>C99+D95*$D$82</f>
        <v/>
      </c>
      <c r="E99" s="13">
        <f>D99+E95*$D$82</f>
        <v/>
      </c>
      <c r="F99" s="13">
        <f>E99+F95*$D$82</f>
        <v/>
      </c>
      <c r="G99" s="13">
        <f>F99+G95*$D$82</f>
        <v/>
      </c>
      <c r="H99" s="13">
        <f>G99+H95*$D$82</f>
        <v/>
      </c>
      <c r="I99" s="13">
        <f>H99+I95*$D$82</f>
        <v/>
      </c>
      <c r="J99" s="13">
        <f>I99+J95*$D$82</f>
        <v/>
      </c>
      <c r="K99" s="13">
        <f>J99+K95*$D$82</f>
        <v/>
      </c>
      <c r="L99" s="13">
        <f>K99+L95*$D$82</f>
        <v/>
      </c>
      <c r="M99" s="13">
        <f>L99+M95*$D$82</f>
        <v/>
      </c>
      <c r="N99" s="13">
        <f>M99+N95*$D$82</f>
        <v/>
      </c>
      <c r="O99" s="13">
        <f>N99+O95*$D$82</f>
        <v/>
      </c>
      <c r="P99" s="13">
        <f>O99+P95*$D$82</f>
        <v/>
      </c>
      <c r="Q99" s="13">
        <f>P99+Q95*$D$82</f>
        <v/>
      </c>
      <c r="R99" s="13">
        <f>Q99+R95*$D$82</f>
        <v/>
      </c>
      <c r="S99" s="13">
        <f>R99+S95*$D$82</f>
        <v/>
      </c>
      <c r="T99" s="13">
        <f>S99+T95*$D$82</f>
        <v/>
      </c>
      <c r="U99" s="13">
        <f>T99+U95*$D$82</f>
        <v/>
      </c>
      <c r="V99" s="13">
        <f>U99+V95*$D$82</f>
        <v/>
      </c>
      <c r="W99" s="13">
        <f>V99+W95*$D$82</f>
        <v/>
      </c>
      <c r="X99" s="13">
        <f>W99+X95*$D$82</f>
        <v/>
      </c>
      <c r="Y99" s="13">
        <f>X99+Y95*$D$82</f>
        <v/>
      </c>
      <c r="Z99" s="13">
        <f>Y99+Z95*$D$82</f>
        <v/>
      </c>
      <c r="AA99" s="13">
        <f>Z99+AA95*$D$82</f>
        <v/>
      </c>
      <c r="AB99" s="13">
        <f>AA99+AB95*$D$82</f>
        <v/>
      </c>
      <c r="AC99" s="13">
        <f>AB99+AC95*$D$82</f>
        <v/>
      </c>
      <c r="AD99" s="13">
        <f>AC99+AD95*$D$82</f>
        <v/>
      </c>
      <c r="AE99" s="13">
        <f>AD99+AE95*$D$82</f>
        <v/>
      </c>
      <c r="AF99" s="13">
        <f>AE99+AF95*$D$82</f>
        <v/>
      </c>
      <c r="AG99" s="13">
        <f>AF99+AG95*$D$82</f>
        <v/>
      </c>
      <c r="AH99" s="13">
        <f>AG99+AH95*$D$82</f>
        <v/>
      </c>
      <c r="AI99" s="13">
        <f>AH99+AI95*$D$82</f>
        <v/>
      </c>
      <c r="AJ99" s="13">
        <f>AI99+AJ95*$D$82</f>
        <v/>
      </c>
      <c r="AK99" s="13">
        <f>AJ99+AK95*$D$82</f>
        <v/>
      </c>
      <c r="AL99" s="13">
        <f>AK99+AL95*$D$82</f>
        <v/>
      </c>
    </row>
    <row r="100">
      <c r="A100" s="3" t="inlineStr">
        <is>
          <t>Abbonamento: contribuzione cumulata</t>
        </is>
      </c>
      <c r="B100" s="4" t="inlineStr">
        <is>
          <t>€</t>
        </is>
      </c>
      <c r="C100" s="13">
        <f>$J$82+(C96-1)*$E$82</f>
        <v/>
      </c>
      <c r="D100" s="13">
        <f>C100+D96*$E$82</f>
        <v/>
      </c>
      <c r="E100" s="13">
        <f>D100+E96*$E$82</f>
        <v/>
      </c>
      <c r="F100" s="13">
        <f>E100+F96*$E$82</f>
        <v/>
      </c>
      <c r="G100" s="13">
        <f>F100+G96*$E$82</f>
        <v/>
      </c>
      <c r="H100" s="13">
        <f>G100+H96*$E$82</f>
        <v/>
      </c>
      <c r="I100" s="13">
        <f>H100+I96*$E$82</f>
        <v/>
      </c>
      <c r="J100" s="13">
        <f>I100+J96*$E$82</f>
        <v/>
      </c>
      <c r="K100" s="13">
        <f>J100+K96*$E$82</f>
        <v/>
      </c>
      <c r="L100" s="13">
        <f>K100+L96*$E$82</f>
        <v/>
      </c>
      <c r="M100" s="13">
        <f>L100+M96*$E$82</f>
        <v/>
      </c>
      <c r="N100" s="13">
        <f>M100+N96*$E$82</f>
        <v/>
      </c>
      <c r="O100" s="13">
        <f>N100+O96*$E$82</f>
        <v/>
      </c>
      <c r="P100" s="13">
        <f>O100+P96*$E$82</f>
        <v/>
      </c>
      <c r="Q100" s="13">
        <f>P100+Q96*$E$82</f>
        <v/>
      </c>
      <c r="R100" s="13">
        <f>Q100+R96*$E$82</f>
        <v/>
      </c>
      <c r="S100" s="13">
        <f>R100+S96*$E$82</f>
        <v/>
      </c>
      <c r="T100" s="13">
        <f>S100+T96*$E$82</f>
        <v/>
      </c>
      <c r="U100" s="13">
        <f>T100+U96*$E$82</f>
        <v/>
      </c>
      <c r="V100" s="13">
        <f>U100+V96*$E$82</f>
        <v/>
      </c>
      <c r="W100" s="13">
        <f>V100+W96*$E$82</f>
        <v/>
      </c>
      <c r="X100" s="13">
        <f>W100+X96*$E$82</f>
        <v/>
      </c>
      <c r="Y100" s="13">
        <f>X100+Y96*$E$82</f>
        <v/>
      </c>
      <c r="Z100" s="13">
        <f>Y100+Z96*$E$82</f>
        <v/>
      </c>
      <c r="AA100" s="13">
        <f>Z100+AA96*$E$82</f>
        <v/>
      </c>
      <c r="AB100" s="13">
        <f>AA100+AB96*$E$82</f>
        <v/>
      </c>
      <c r="AC100" s="13">
        <f>AB100+AC96*$E$82</f>
        <v/>
      </c>
      <c r="AD100" s="13">
        <f>AC100+AD96*$E$82</f>
        <v/>
      </c>
      <c r="AE100" s="13">
        <f>AD100+AE96*$E$82</f>
        <v/>
      </c>
      <c r="AF100" s="13">
        <f>AE100+AF96*$E$82</f>
        <v/>
      </c>
      <c r="AG100" s="13">
        <f>AF100+AG96*$E$82</f>
        <v/>
      </c>
      <c r="AH100" s="13">
        <f>AG100+AH96*$E$82</f>
        <v/>
      </c>
      <c r="AI100" s="13">
        <f>AH100+AI96*$E$82</f>
        <v/>
      </c>
      <c r="AJ100" s="13">
        <f>AI100+AJ96*$E$82</f>
        <v/>
      </c>
      <c r="AK100" s="13">
        <f>AJ100+AK96*$E$82</f>
        <v/>
      </c>
      <c r="AL100" s="13">
        <f>AK100+AL96*$E$82</f>
        <v/>
      </c>
    </row>
    <row r="101">
      <c r="A101" s="3" t="inlineStr">
        <is>
          <t>Singolo: contribuzione cumulata</t>
        </is>
      </c>
      <c r="B101" s="4" t="inlineStr">
        <is>
          <t>€</t>
        </is>
      </c>
      <c r="C101" s="13">
        <f>$K$82+(C97-1)*$F$82</f>
        <v/>
      </c>
      <c r="D101" s="13">
        <f>C101+D97*$F$82</f>
        <v/>
      </c>
      <c r="E101" s="13">
        <f>D101+E97*$F$82</f>
        <v/>
      </c>
      <c r="F101" s="13">
        <f>E101+F97*$F$82</f>
        <v/>
      </c>
      <c r="G101" s="13">
        <f>F101+G97*$F$82</f>
        <v/>
      </c>
      <c r="H101" s="13">
        <f>G101+H97*$F$82</f>
        <v/>
      </c>
      <c r="I101" s="13">
        <f>H101+I97*$F$82</f>
        <v/>
      </c>
      <c r="J101" s="13">
        <f>I101+J97*$F$82</f>
        <v/>
      </c>
      <c r="K101" s="13">
        <f>J101+K97*$F$82</f>
        <v/>
      </c>
      <c r="L101" s="13">
        <f>K101+L97*$F$82</f>
        <v/>
      </c>
      <c r="M101" s="13">
        <f>L101+M97*$F$82</f>
        <v/>
      </c>
      <c r="N101" s="13">
        <f>M101+N97*$F$82</f>
        <v/>
      </c>
      <c r="O101" s="13">
        <f>N101+O97*$F$82</f>
        <v/>
      </c>
      <c r="P101" s="13">
        <f>O101+P97*$F$82</f>
        <v/>
      </c>
      <c r="Q101" s="13">
        <f>P101+Q97*$F$82</f>
        <v/>
      </c>
      <c r="R101" s="13">
        <f>Q101+R97*$F$82</f>
        <v/>
      </c>
      <c r="S101" s="13">
        <f>R101+S97*$F$82</f>
        <v/>
      </c>
      <c r="T101" s="13">
        <f>S101+T97*$F$82</f>
        <v/>
      </c>
      <c r="U101" s="13">
        <f>T101+U97*$F$82</f>
        <v/>
      </c>
      <c r="V101" s="13">
        <f>U101+V97*$F$82</f>
        <v/>
      </c>
      <c r="W101" s="13">
        <f>V101+W97*$F$82</f>
        <v/>
      </c>
      <c r="X101" s="13">
        <f>W101+X97*$F$82</f>
        <v/>
      </c>
      <c r="Y101" s="13">
        <f>X101+Y97*$F$82</f>
        <v/>
      </c>
      <c r="Z101" s="13">
        <f>Y101+Z97*$F$82</f>
        <v/>
      </c>
      <c r="AA101" s="13">
        <f>Z101+AA97*$F$82</f>
        <v/>
      </c>
      <c r="AB101" s="13">
        <f>AA101+AB97*$F$82</f>
        <v/>
      </c>
      <c r="AC101" s="13">
        <f>AB101+AC97*$F$82</f>
        <v/>
      </c>
      <c r="AD101" s="13">
        <f>AC101+AD97*$F$82</f>
        <v/>
      </c>
      <c r="AE101" s="13">
        <f>AD101+AE97*$F$82</f>
        <v/>
      </c>
      <c r="AF101" s="13">
        <f>AE101+AF97*$F$82</f>
        <v/>
      </c>
      <c r="AG101" s="13">
        <f>AF101+AG97*$F$82</f>
        <v/>
      </c>
      <c r="AH101" s="13">
        <f>AG101+AH97*$F$82</f>
        <v/>
      </c>
      <c r="AI101" s="13">
        <f>AH101+AI97*$F$82</f>
        <v/>
      </c>
      <c r="AJ101" s="13">
        <f>AI101+AJ97*$F$82</f>
        <v/>
      </c>
      <c r="AK101" s="13">
        <f>AJ101+AK97*$F$82</f>
        <v/>
      </c>
      <c r="AL101" s="13">
        <f>AK101+AL97*$F$82</f>
        <v/>
      </c>
    </row>
    <row r="102">
      <c r="A102" s="3" t="inlineStr">
        <is>
          <t>Cliente medio (mix): contribuzione cumulata</t>
        </is>
      </c>
      <c r="B102" s="4" t="inlineStr">
        <is>
          <t>€</t>
        </is>
      </c>
      <c r="C102" s="13">
        <f>$C$8*C98+$C$9*C99+$C$10*C100+$C$11*C101</f>
        <v/>
      </c>
      <c r="D102" s="13">
        <f>$C$8*D98+$C$9*D99+$C$10*D100+$C$11*D101</f>
        <v/>
      </c>
      <c r="E102" s="13">
        <f>$C$8*E98+$C$9*E99+$C$10*E100+$C$11*E101</f>
        <v/>
      </c>
      <c r="F102" s="13">
        <f>$C$8*F98+$C$9*F99+$C$10*F100+$C$11*F101</f>
        <v/>
      </c>
      <c r="G102" s="13">
        <f>$C$8*G98+$C$9*G99+$C$10*G100+$C$11*G101</f>
        <v/>
      </c>
      <c r="H102" s="13">
        <f>$C$8*H98+$C$9*H99+$C$10*H100+$C$11*H101</f>
        <v/>
      </c>
      <c r="I102" s="13">
        <f>$C$8*I98+$C$9*I99+$C$10*I100+$C$11*I101</f>
        <v/>
      </c>
      <c r="J102" s="13">
        <f>$C$8*J98+$C$9*J99+$C$10*J100+$C$11*J101</f>
        <v/>
      </c>
      <c r="K102" s="13">
        <f>$C$8*K98+$C$9*K99+$C$10*K100+$C$11*K101</f>
        <v/>
      </c>
      <c r="L102" s="13">
        <f>$C$8*L98+$C$9*L99+$C$10*L100+$C$11*L101</f>
        <v/>
      </c>
      <c r="M102" s="13">
        <f>$C$8*M98+$C$9*M99+$C$10*M100+$C$11*M101</f>
        <v/>
      </c>
      <c r="N102" s="13">
        <f>$C$8*N98+$C$9*N99+$C$10*N100+$C$11*N101</f>
        <v/>
      </c>
      <c r="O102" s="13">
        <f>$C$8*O98+$C$9*O99+$C$10*O100+$C$11*O101</f>
        <v/>
      </c>
      <c r="P102" s="13">
        <f>$C$8*P98+$C$9*P99+$C$10*P100+$C$11*P101</f>
        <v/>
      </c>
      <c r="Q102" s="13">
        <f>$C$8*Q98+$C$9*Q99+$C$10*Q100+$C$11*Q101</f>
        <v/>
      </c>
      <c r="R102" s="13">
        <f>$C$8*R98+$C$9*R99+$C$10*R100+$C$11*R101</f>
        <v/>
      </c>
      <c r="S102" s="13">
        <f>$C$8*S98+$C$9*S99+$C$10*S100+$C$11*S101</f>
        <v/>
      </c>
      <c r="T102" s="13">
        <f>$C$8*T98+$C$9*T99+$C$10*T100+$C$11*T101</f>
        <v/>
      </c>
      <c r="U102" s="13">
        <f>$C$8*U98+$C$9*U99+$C$10*U100+$C$11*U101</f>
        <v/>
      </c>
      <c r="V102" s="13">
        <f>$C$8*V98+$C$9*V99+$C$10*V100+$C$11*V101</f>
        <v/>
      </c>
      <c r="W102" s="13">
        <f>$C$8*W98+$C$9*W99+$C$10*W100+$C$11*W101</f>
        <v/>
      </c>
      <c r="X102" s="13">
        <f>$C$8*X98+$C$9*X99+$C$10*X100+$C$11*X101</f>
        <v/>
      </c>
      <c r="Y102" s="13">
        <f>$C$8*Y98+$C$9*Y99+$C$10*Y100+$C$11*Y101</f>
        <v/>
      </c>
      <c r="Z102" s="13">
        <f>$C$8*Z98+$C$9*Z99+$C$10*Z100+$C$11*Z101</f>
        <v/>
      </c>
      <c r="AA102" s="13">
        <f>$C$8*AA98+$C$9*AA99+$C$10*AA100+$C$11*AA101</f>
        <v/>
      </c>
      <c r="AB102" s="13">
        <f>$C$8*AB98+$C$9*AB99+$C$10*AB100+$C$11*AB101</f>
        <v/>
      </c>
      <c r="AC102" s="13">
        <f>$C$8*AC98+$C$9*AC99+$C$10*AC100+$C$11*AC101</f>
        <v/>
      </c>
      <c r="AD102" s="13">
        <f>$C$8*AD98+$C$9*AD99+$C$10*AD100+$C$11*AD101</f>
        <v/>
      </c>
      <c r="AE102" s="13">
        <f>$C$8*AE98+$C$9*AE99+$C$10*AE100+$C$11*AE101</f>
        <v/>
      </c>
      <c r="AF102" s="13">
        <f>$C$8*AF98+$C$9*AF99+$C$10*AF100+$C$11*AF101</f>
        <v/>
      </c>
      <c r="AG102" s="13">
        <f>$C$8*AG98+$C$9*AG99+$C$10*AG100+$C$11*AG101</f>
        <v/>
      </c>
      <c r="AH102" s="13">
        <f>$C$8*AH98+$C$9*AH99+$C$10*AH100+$C$11*AH101</f>
        <v/>
      </c>
      <c r="AI102" s="13">
        <f>$C$8*AI98+$C$9*AI99+$C$10*AI100+$C$11*AI101</f>
        <v/>
      </c>
      <c r="AJ102" s="13">
        <f>$C$8*AJ98+$C$9*AJ99+$C$10*AJ100+$C$11*AJ101</f>
        <v/>
      </c>
      <c r="AK102" s="13">
        <f>$C$8*AK98+$C$9*AK99+$C$10*AK100+$C$11*AK101</f>
        <v/>
      </c>
      <c r="AL102" s="13">
        <f>$C$8*AL98+$C$9*AL99+$C$10*AL100+$C$11*AL101</f>
        <v/>
      </c>
    </row>
    <row r="104">
      <c r="A104" s="10" t="inlineStr">
        <is>
          <t>Clienti nuovi per mese</t>
        </is>
      </c>
    </row>
    <row r="105">
      <c r="A105" s="3" t="inlineStr">
        <is>
          <t>Mese</t>
        </is>
      </c>
      <c r="C105" t="n">
        <v>1</v>
      </c>
      <c r="D105" t="n">
        <v>2</v>
      </c>
      <c r="E105" t="n">
        <v>3</v>
      </c>
      <c r="F105" t="n">
        <v>4</v>
      </c>
      <c r="G105" t="n">
        <v>5</v>
      </c>
      <c r="H105" t="n">
        <v>6</v>
      </c>
      <c r="I105" t="n">
        <v>7</v>
      </c>
      <c r="J105" t="n">
        <v>8</v>
      </c>
      <c r="K105" t="n">
        <v>9</v>
      </c>
      <c r="L105" t="n">
        <v>10</v>
      </c>
      <c r="M105" t="n">
        <v>11</v>
      </c>
      <c r="N105" t="n">
        <v>12</v>
      </c>
      <c r="O105" t="n">
        <v>13</v>
      </c>
      <c r="P105" t="n">
        <v>14</v>
      </c>
      <c r="Q105" t="n">
        <v>15</v>
      </c>
      <c r="R105" t="n">
        <v>16</v>
      </c>
      <c r="S105" t="n">
        <v>17</v>
      </c>
      <c r="T105" t="n">
        <v>18</v>
      </c>
      <c r="U105" t="n">
        <v>19</v>
      </c>
      <c r="V105" t="n">
        <v>20</v>
      </c>
      <c r="W105" t="n">
        <v>21</v>
      </c>
      <c r="X105" t="n">
        <v>22</v>
      </c>
      <c r="Y105" t="n">
        <v>23</v>
      </c>
      <c r="Z105" t="n">
        <v>24</v>
      </c>
      <c r="AA105" t="n">
        <v>25</v>
      </c>
      <c r="AB105" t="n">
        <v>26</v>
      </c>
      <c r="AC105" t="n">
        <v>27</v>
      </c>
      <c r="AD105" t="n">
        <v>28</v>
      </c>
      <c r="AE105" t="n">
        <v>29</v>
      </c>
      <c r="AF105" t="n">
        <v>30</v>
      </c>
    </row>
    <row r="106">
      <c r="A106" s="3" t="inlineStr">
        <is>
          <t>Mesi dal lancio</t>
        </is>
      </c>
      <c r="C106">
        <f>C105-$C$6</f>
        <v/>
      </c>
      <c r="D106">
        <f>D105-$C$6</f>
        <v/>
      </c>
      <c r="E106">
        <f>E105-$C$6</f>
        <v/>
      </c>
      <c r="F106">
        <f>F105-$C$6</f>
        <v/>
      </c>
      <c r="G106">
        <f>G105-$C$6</f>
        <v/>
      </c>
      <c r="H106">
        <f>H105-$C$6</f>
        <v/>
      </c>
      <c r="I106">
        <f>I105-$C$6</f>
        <v/>
      </c>
      <c r="J106">
        <f>J105-$C$6</f>
        <v/>
      </c>
      <c r="K106">
        <f>K105-$C$6</f>
        <v/>
      </c>
      <c r="L106">
        <f>L105-$C$6</f>
        <v/>
      </c>
      <c r="M106">
        <f>M105-$C$6</f>
        <v/>
      </c>
      <c r="N106">
        <f>N105-$C$6</f>
        <v/>
      </c>
      <c r="O106">
        <f>O105-$C$6</f>
        <v/>
      </c>
      <c r="P106">
        <f>P105-$C$6</f>
        <v/>
      </c>
      <c r="Q106">
        <f>Q105-$C$6</f>
        <v/>
      </c>
      <c r="R106">
        <f>R105-$C$6</f>
        <v/>
      </c>
      <c r="S106">
        <f>S105-$C$6</f>
        <v/>
      </c>
      <c r="T106">
        <f>T105-$C$6</f>
        <v/>
      </c>
      <c r="U106">
        <f>U105-$C$6</f>
        <v/>
      </c>
      <c r="V106">
        <f>V105-$C$6</f>
        <v/>
      </c>
      <c r="W106">
        <f>W105-$C$6</f>
        <v/>
      </c>
      <c r="X106">
        <f>X105-$C$6</f>
        <v/>
      </c>
      <c r="Y106">
        <f>Y105-$C$6</f>
        <v/>
      </c>
      <c r="Z106">
        <f>Z105-$C$6</f>
        <v/>
      </c>
      <c r="AA106">
        <f>AA105-$C$6</f>
        <v/>
      </c>
      <c r="AB106">
        <f>AB105-$C$6</f>
        <v/>
      </c>
      <c r="AC106">
        <f>AC105-$C$6</f>
        <v/>
      </c>
      <c r="AD106">
        <f>AD105-$C$6</f>
        <v/>
      </c>
      <c r="AE106">
        <f>AE105-$C$6</f>
        <v/>
      </c>
      <c r="AF106">
        <f>AF105-$C$6</f>
        <v/>
      </c>
    </row>
    <row r="107">
      <c r="A107" s="3" t="inlineStr">
        <is>
          <t>Pubblicità</t>
        </is>
      </c>
      <c r="B107" s="4" t="inlineStr">
        <is>
          <t>€</t>
        </is>
      </c>
      <c r="C107" s="20">
        <f>IF(C106&lt;0,0,IF(C106&lt;$C$28,$C$27/$C$28,IF(C106&lt;$C$28+$C$31,$C$30/$C$31,IF(C106&lt;$C$28+$C$31+$C$34,$C$33/$C$34,$C$36))))</f>
        <v/>
      </c>
      <c r="D107" s="20">
        <f>IF(D106&lt;0,0,IF(D106&lt;$C$28,$C$27/$C$28,IF(D106&lt;$C$28+$C$31,$C$30/$C$31,IF(D106&lt;$C$28+$C$31+$C$34,$C$33/$C$34,$C$36))))</f>
        <v/>
      </c>
      <c r="E107" s="20">
        <f>IF(E106&lt;0,0,IF(E106&lt;$C$28,$C$27/$C$28,IF(E106&lt;$C$28+$C$31,$C$30/$C$31,IF(E106&lt;$C$28+$C$31+$C$34,$C$33/$C$34,$C$36))))</f>
        <v/>
      </c>
      <c r="F107" s="20">
        <f>IF(F106&lt;0,0,IF(F106&lt;$C$28,$C$27/$C$28,IF(F106&lt;$C$28+$C$31,$C$30/$C$31,IF(F106&lt;$C$28+$C$31+$C$34,$C$33/$C$34,$C$36))))</f>
        <v/>
      </c>
      <c r="G107" s="20">
        <f>IF(G106&lt;0,0,IF(G106&lt;$C$28,$C$27/$C$28,IF(G106&lt;$C$28+$C$31,$C$30/$C$31,IF(G106&lt;$C$28+$C$31+$C$34,$C$33/$C$34,$C$36))))</f>
        <v/>
      </c>
      <c r="H107" s="20">
        <f>IF(H106&lt;0,0,IF(H106&lt;$C$28,$C$27/$C$28,IF(H106&lt;$C$28+$C$31,$C$30/$C$31,IF(H106&lt;$C$28+$C$31+$C$34,$C$33/$C$34,$C$36))))</f>
        <v/>
      </c>
      <c r="I107" s="20">
        <f>IF(I106&lt;0,0,IF(I106&lt;$C$28,$C$27/$C$28,IF(I106&lt;$C$28+$C$31,$C$30/$C$31,IF(I106&lt;$C$28+$C$31+$C$34,$C$33/$C$34,$C$36))))</f>
        <v/>
      </c>
      <c r="J107" s="20">
        <f>IF(J106&lt;0,0,IF(J106&lt;$C$28,$C$27/$C$28,IF(J106&lt;$C$28+$C$31,$C$30/$C$31,IF(J106&lt;$C$28+$C$31+$C$34,$C$33/$C$34,$C$36))))</f>
        <v/>
      </c>
      <c r="K107" s="20">
        <f>IF(K106&lt;0,0,IF(K106&lt;$C$28,$C$27/$C$28,IF(K106&lt;$C$28+$C$31,$C$30/$C$31,IF(K106&lt;$C$28+$C$31+$C$34,$C$33/$C$34,$C$36))))</f>
        <v/>
      </c>
      <c r="L107" s="20">
        <f>IF(L106&lt;0,0,IF(L106&lt;$C$28,$C$27/$C$28,IF(L106&lt;$C$28+$C$31,$C$30/$C$31,IF(L106&lt;$C$28+$C$31+$C$34,$C$33/$C$34,$C$36))))</f>
        <v/>
      </c>
      <c r="M107" s="20">
        <f>IF(M106&lt;0,0,IF(M106&lt;$C$28,$C$27/$C$28,IF(M106&lt;$C$28+$C$31,$C$30/$C$31,IF(M106&lt;$C$28+$C$31+$C$34,$C$33/$C$34,$C$36))))</f>
        <v/>
      </c>
      <c r="N107" s="20">
        <f>IF(N106&lt;0,0,IF(N106&lt;$C$28,$C$27/$C$28,IF(N106&lt;$C$28+$C$31,$C$30/$C$31,IF(N106&lt;$C$28+$C$31+$C$34,$C$33/$C$34,$C$36))))</f>
        <v/>
      </c>
      <c r="O107" s="20">
        <f>IF(O106&lt;0,0,IF(O106&lt;$C$28,$C$27/$C$28,IF(O106&lt;$C$28+$C$31,$C$30/$C$31,IF(O106&lt;$C$28+$C$31+$C$34,$C$33/$C$34,$C$36))))</f>
        <v/>
      </c>
      <c r="P107" s="20">
        <f>IF(P106&lt;0,0,IF(P106&lt;$C$28,$C$27/$C$28,IF(P106&lt;$C$28+$C$31,$C$30/$C$31,IF(P106&lt;$C$28+$C$31+$C$34,$C$33/$C$34,$C$36))))</f>
        <v/>
      </c>
      <c r="Q107" s="20">
        <f>IF(Q106&lt;0,0,IF(Q106&lt;$C$28,$C$27/$C$28,IF(Q106&lt;$C$28+$C$31,$C$30/$C$31,IF(Q106&lt;$C$28+$C$31+$C$34,$C$33/$C$34,$C$36))))</f>
        <v/>
      </c>
      <c r="R107" s="20">
        <f>IF(R106&lt;0,0,IF(R106&lt;$C$28,$C$27/$C$28,IF(R106&lt;$C$28+$C$31,$C$30/$C$31,IF(R106&lt;$C$28+$C$31+$C$34,$C$33/$C$34,$C$36))))</f>
        <v/>
      </c>
      <c r="S107" s="20">
        <f>IF(S106&lt;0,0,IF(S106&lt;$C$28,$C$27/$C$28,IF(S106&lt;$C$28+$C$31,$C$30/$C$31,IF(S106&lt;$C$28+$C$31+$C$34,$C$33/$C$34,$C$36))))</f>
        <v/>
      </c>
      <c r="T107" s="20">
        <f>IF(T106&lt;0,0,IF(T106&lt;$C$28,$C$27/$C$28,IF(T106&lt;$C$28+$C$31,$C$30/$C$31,IF(T106&lt;$C$28+$C$31+$C$34,$C$33/$C$34,$C$36))))</f>
        <v/>
      </c>
      <c r="U107" s="20">
        <f>IF(U106&lt;0,0,IF(U106&lt;$C$28,$C$27/$C$28,IF(U106&lt;$C$28+$C$31,$C$30/$C$31,IF(U106&lt;$C$28+$C$31+$C$34,$C$33/$C$34,$C$36))))</f>
        <v/>
      </c>
      <c r="V107" s="20">
        <f>IF(V106&lt;0,0,IF(V106&lt;$C$28,$C$27/$C$28,IF(V106&lt;$C$28+$C$31,$C$30/$C$31,IF(V106&lt;$C$28+$C$31+$C$34,$C$33/$C$34,$C$36))))</f>
        <v/>
      </c>
      <c r="W107" s="20">
        <f>IF(W106&lt;0,0,IF(W106&lt;$C$28,$C$27/$C$28,IF(W106&lt;$C$28+$C$31,$C$30/$C$31,IF(W106&lt;$C$28+$C$31+$C$34,$C$33/$C$34,$C$36))))</f>
        <v/>
      </c>
      <c r="X107" s="20">
        <f>IF(X106&lt;0,0,IF(X106&lt;$C$28,$C$27/$C$28,IF(X106&lt;$C$28+$C$31,$C$30/$C$31,IF(X106&lt;$C$28+$C$31+$C$34,$C$33/$C$34,$C$36))))</f>
        <v/>
      </c>
      <c r="Y107" s="20">
        <f>IF(Y106&lt;0,0,IF(Y106&lt;$C$28,$C$27/$C$28,IF(Y106&lt;$C$28+$C$31,$C$30/$C$31,IF(Y106&lt;$C$28+$C$31+$C$34,$C$33/$C$34,$C$36))))</f>
        <v/>
      </c>
      <c r="Z107" s="20">
        <f>IF(Z106&lt;0,0,IF(Z106&lt;$C$28,$C$27/$C$28,IF(Z106&lt;$C$28+$C$31,$C$30/$C$31,IF(Z106&lt;$C$28+$C$31+$C$34,$C$33/$C$34,$C$36))))</f>
        <v/>
      </c>
      <c r="AA107" s="20">
        <f>IF(AA106&lt;0,0,IF(AA106&lt;$C$28,$C$27/$C$28,IF(AA106&lt;$C$28+$C$31,$C$30/$C$31,IF(AA106&lt;$C$28+$C$31+$C$34,$C$33/$C$34,$C$36))))</f>
        <v/>
      </c>
      <c r="AB107" s="20">
        <f>IF(AB106&lt;0,0,IF(AB106&lt;$C$28,$C$27/$C$28,IF(AB106&lt;$C$28+$C$31,$C$30/$C$31,IF(AB106&lt;$C$28+$C$31+$C$34,$C$33/$C$34,$C$36))))</f>
        <v/>
      </c>
      <c r="AC107" s="20">
        <f>IF(AC106&lt;0,0,IF(AC106&lt;$C$28,$C$27/$C$28,IF(AC106&lt;$C$28+$C$31,$C$30/$C$31,IF(AC106&lt;$C$28+$C$31+$C$34,$C$33/$C$34,$C$36))))</f>
        <v/>
      </c>
      <c r="AD107" s="20">
        <f>IF(AD106&lt;0,0,IF(AD106&lt;$C$28,$C$27/$C$28,IF(AD106&lt;$C$28+$C$31,$C$30/$C$31,IF(AD106&lt;$C$28+$C$31+$C$34,$C$33/$C$34,$C$36))))</f>
        <v/>
      </c>
      <c r="AE107" s="20">
        <f>IF(AE106&lt;0,0,IF(AE106&lt;$C$28,$C$27/$C$28,IF(AE106&lt;$C$28+$C$31,$C$30/$C$31,IF(AE106&lt;$C$28+$C$31+$C$34,$C$33/$C$34,$C$36))))</f>
        <v/>
      </c>
      <c r="AF107" s="20">
        <f>IF(AF106&lt;0,0,IF(AF106&lt;$C$28,$C$27/$C$28,IF(AF106&lt;$C$28+$C$31,$C$30/$C$31,IF(AF106&lt;$C$28+$C$31+$C$34,$C$33/$C$34,$C$36))))</f>
        <v/>
      </c>
    </row>
    <row r="108">
      <c r="A108" s="3" t="inlineStr">
        <is>
          <t>CAC pubblicitario</t>
        </is>
      </c>
      <c r="B108" s="4" t="inlineStr">
        <is>
          <t>€</t>
        </is>
      </c>
      <c r="C108" s="20">
        <f>IF(C106&lt;0,0,IF(C106&lt;$C$28,$C$29,IF(C106&lt;$C$28+$C$31,$C$32,IF(C106&lt;$C$28+$C$31+$C$34,$C$35,$C$37))))</f>
        <v/>
      </c>
      <c r="D108" s="20">
        <f>IF(D106&lt;0,0,IF(D106&lt;$C$28,$C$29,IF(D106&lt;$C$28+$C$31,$C$32,IF(D106&lt;$C$28+$C$31+$C$34,$C$35,$C$37))))</f>
        <v/>
      </c>
      <c r="E108" s="20">
        <f>IF(E106&lt;0,0,IF(E106&lt;$C$28,$C$29,IF(E106&lt;$C$28+$C$31,$C$32,IF(E106&lt;$C$28+$C$31+$C$34,$C$35,$C$37))))</f>
        <v/>
      </c>
      <c r="F108" s="20">
        <f>IF(F106&lt;0,0,IF(F106&lt;$C$28,$C$29,IF(F106&lt;$C$28+$C$31,$C$32,IF(F106&lt;$C$28+$C$31+$C$34,$C$35,$C$37))))</f>
        <v/>
      </c>
      <c r="G108" s="20">
        <f>IF(G106&lt;0,0,IF(G106&lt;$C$28,$C$29,IF(G106&lt;$C$28+$C$31,$C$32,IF(G106&lt;$C$28+$C$31+$C$34,$C$35,$C$37))))</f>
        <v/>
      </c>
      <c r="H108" s="20">
        <f>IF(H106&lt;0,0,IF(H106&lt;$C$28,$C$29,IF(H106&lt;$C$28+$C$31,$C$32,IF(H106&lt;$C$28+$C$31+$C$34,$C$35,$C$37))))</f>
        <v/>
      </c>
      <c r="I108" s="20">
        <f>IF(I106&lt;0,0,IF(I106&lt;$C$28,$C$29,IF(I106&lt;$C$28+$C$31,$C$32,IF(I106&lt;$C$28+$C$31+$C$34,$C$35,$C$37))))</f>
        <v/>
      </c>
      <c r="J108" s="20">
        <f>IF(J106&lt;0,0,IF(J106&lt;$C$28,$C$29,IF(J106&lt;$C$28+$C$31,$C$32,IF(J106&lt;$C$28+$C$31+$C$34,$C$35,$C$37))))</f>
        <v/>
      </c>
      <c r="K108" s="20">
        <f>IF(K106&lt;0,0,IF(K106&lt;$C$28,$C$29,IF(K106&lt;$C$28+$C$31,$C$32,IF(K106&lt;$C$28+$C$31+$C$34,$C$35,$C$37))))</f>
        <v/>
      </c>
      <c r="L108" s="20">
        <f>IF(L106&lt;0,0,IF(L106&lt;$C$28,$C$29,IF(L106&lt;$C$28+$C$31,$C$32,IF(L106&lt;$C$28+$C$31+$C$34,$C$35,$C$37))))</f>
        <v/>
      </c>
      <c r="M108" s="20">
        <f>IF(M106&lt;0,0,IF(M106&lt;$C$28,$C$29,IF(M106&lt;$C$28+$C$31,$C$32,IF(M106&lt;$C$28+$C$31+$C$34,$C$35,$C$37))))</f>
        <v/>
      </c>
      <c r="N108" s="20">
        <f>IF(N106&lt;0,0,IF(N106&lt;$C$28,$C$29,IF(N106&lt;$C$28+$C$31,$C$32,IF(N106&lt;$C$28+$C$31+$C$34,$C$35,$C$37))))</f>
        <v/>
      </c>
      <c r="O108" s="20">
        <f>IF(O106&lt;0,0,IF(O106&lt;$C$28,$C$29,IF(O106&lt;$C$28+$C$31,$C$32,IF(O106&lt;$C$28+$C$31+$C$34,$C$35,$C$37))))</f>
        <v/>
      </c>
      <c r="P108" s="20">
        <f>IF(P106&lt;0,0,IF(P106&lt;$C$28,$C$29,IF(P106&lt;$C$28+$C$31,$C$32,IF(P106&lt;$C$28+$C$31+$C$34,$C$35,$C$37))))</f>
        <v/>
      </c>
      <c r="Q108" s="20">
        <f>IF(Q106&lt;0,0,IF(Q106&lt;$C$28,$C$29,IF(Q106&lt;$C$28+$C$31,$C$32,IF(Q106&lt;$C$28+$C$31+$C$34,$C$35,$C$37))))</f>
        <v/>
      </c>
      <c r="R108" s="20">
        <f>IF(R106&lt;0,0,IF(R106&lt;$C$28,$C$29,IF(R106&lt;$C$28+$C$31,$C$32,IF(R106&lt;$C$28+$C$31+$C$34,$C$35,$C$37))))</f>
        <v/>
      </c>
      <c r="S108" s="20">
        <f>IF(S106&lt;0,0,IF(S106&lt;$C$28,$C$29,IF(S106&lt;$C$28+$C$31,$C$32,IF(S106&lt;$C$28+$C$31+$C$34,$C$35,$C$37))))</f>
        <v/>
      </c>
      <c r="T108" s="20">
        <f>IF(T106&lt;0,0,IF(T106&lt;$C$28,$C$29,IF(T106&lt;$C$28+$C$31,$C$32,IF(T106&lt;$C$28+$C$31+$C$34,$C$35,$C$37))))</f>
        <v/>
      </c>
      <c r="U108" s="20">
        <f>IF(U106&lt;0,0,IF(U106&lt;$C$28,$C$29,IF(U106&lt;$C$28+$C$31,$C$32,IF(U106&lt;$C$28+$C$31+$C$34,$C$35,$C$37))))</f>
        <v/>
      </c>
      <c r="V108" s="20">
        <f>IF(V106&lt;0,0,IF(V106&lt;$C$28,$C$29,IF(V106&lt;$C$28+$C$31,$C$32,IF(V106&lt;$C$28+$C$31+$C$34,$C$35,$C$37))))</f>
        <v/>
      </c>
      <c r="W108" s="20">
        <f>IF(W106&lt;0,0,IF(W106&lt;$C$28,$C$29,IF(W106&lt;$C$28+$C$31,$C$32,IF(W106&lt;$C$28+$C$31+$C$34,$C$35,$C$37))))</f>
        <v/>
      </c>
      <c r="X108" s="20">
        <f>IF(X106&lt;0,0,IF(X106&lt;$C$28,$C$29,IF(X106&lt;$C$28+$C$31,$C$32,IF(X106&lt;$C$28+$C$31+$C$34,$C$35,$C$37))))</f>
        <v/>
      </c>
      <c r="Y108" s="20">
        <f>IF(Y106&lt;0,0,IF(Y106&lt;$C$28,$C$29,IF(Y106&lt;$C$28+$C$31,$C$32,IF(Y106&lt;$C$28+$C$31+$C$34,$C$35,$C$37))))</f>
        <v/>
      </c>
      <c r="Z108" s="20">
        <f>IF(Z106&lt;0,0,IF(Z106&lt;$C$28,$C$29,IF(Z106&lt;$C$28+$C$31,$C$32,IF(Z106&lt;$C$28+$C$31+$C$34,$C$35,$C$37))))</f>
        <v/>
      </c>
      <c r="AA108" s="20">
        <f>IF(AA106&lt;0,0,IF(AA106&lt;$C$28,$C$29,IF(AA106&lt;$C$28+$C$31,$C$32,IF(AA106&lt;$C$28+$C$31+$C$34,$C$35,$C$37))))</f>
        <v/>
      </c>
      <c r="AB108" s="20">
        <f>IF(AB106&lt;0,0,IF(AB106&lt;$C$28,$C$29,IF(AB106&lt;$C$28+$C$31,$C$32,IF(AB106&lt;$C$28+$C$31+$C$34,$C$35,$C$37))))</f>
        <v/>
      </c>
      <c r="AC108" s="20">
        <f>IF(AC106&lt;0,0,IF(AC106&lt;$C$28,$C$29,IF(AC106&lt;$C$28+$C$31,$C$32,IF(AC106&lt;$C$28+$C$31+$C$34,$C$35,$C$37))))</f>
        <v/>
      </c>
      <c r="AD108" s="20">
        <f>IF(AD106&lt;0,0,IF(AD106&lt;$C$28,$C$29,IF(AD106&lt;$C$28+$C$31,$C$32,IF(AD106&lt;$C$28+$C$31+$C$34,$C$35,$C$37))))</f>
        <v/>
      </c>
      <c r="AE108" s="20">
        <f>IF(AE106&lt;0,0,IF(AE106&lt;$C$28,$C$29,IF(AE106&lt;$C$28+$C$31,$C$32,IF(AE106&lt;$C$28+$C$31+$C$34,$C$35,$C$37))))</f>
        <v/>
      </c>
      <c r="AF108" s="20">
        <f>IF(AF106&lt;0,0,IF(AF106&lt;$C$28,$C$29,IF(AF106&lt;$C$28+$C$31,$C$32,IF(AF106&lt;$C$28+$C$31+$C$34,$C$35,$C$37))))</f>
        <v/>
      </c>
    </row>
    <row r="109">
      <c r="A109" s="3" t="inlineStr">
        <is>
          <t>Nuovi clienti da pubblicità</t>
        </is>
      </c>
      <c r="C109" s="24">
        <f>IF(C107&gt;0,C107/C108,0)</f>
        <v/>
      </c>
      <c r="D109" s="24">
        <f>IF(D107&gt;0,D107/D108,0)</f>
        <v/>
      </c>
      <c r="E109" s="24">
        <f>IF(E107&gt;0,E107/E108,0)</f>
        <v/>
      </c>
      <c r="F109" s="24">
        <f>IF(F107&gt;0,F107/F108,0)</f>
        <v/>
      </c>
      <c r="G109" s="24">
        <f>IF(G107&gt;0,G107/G108,0)</f>
        <v/>
      </c>
      <c r="H109" s="24">
        <f>IF(H107&gt;0,H107/H108,0)</f>
        <v/>
      </c>
      <c r="I109" s="24">
        <f>IF(I107&gt;0,I107/I108,0)</f>
        <v/>
      </c>
      <c r="J109" s="24">
        <f>IF(J107&gt;0,J107/J108,0)</f>
        <v/>
      </c>
      <c r="K109" s="24">
        <f>IF(K107&gt;0,K107/K108,0)</f>
        <v/>
      </c>
      <c r="L109" s="24">
        <f>IF(L107&gt;0,L107/L108,0)</f>
        <v/>
      </c>
      <c r="M109" s="24">
        <f>IF(M107&gt;0,M107/M108,0)</f>
        <v/>
      </c>
      <c r="N109" s="24">
        <f>IF(N107&gt;0,N107/N108,0)</f>
        <v/>
      </c>
      <c r="O109" s="24">
        <f>IF(O107&gt;0,O107/O108,0)</f>
        <v/>
      </c>
      <c r="P109" s="24">
        <f>IF(P107&gt;0,P107/P108,0)</f>
        <v/>
      </c>
      <c r="Q109" s="24">
        <f>IF(Q107&gt;0,Q107/Q108,0)</f>
        <v/>
      </c>
      <c r="R109" s="24">
        <f>IF(R107&gt;0,R107/R108,0)</f>
        <v/>
      </c>
      <c r="S109" s="24">
        <f>IF(S107&gt;0,S107/S108,0)</f>
        <v/>
      </c>
      <c r="T109" s="24">
        <f>IF(T107&gt;0,T107/T108,0)</f>
        <v/>
      </c>
      <c r="U109" s="24">
        <f>IF(U107&gt;0,U107/U108,0)</f>
        <v/>
      </c>
      <c r="V109" s="24">
        <f>IF(V107&gt;0,V107/V108,0)</f>
        <v/>
      </c>
      <c r="W109" s="24">
        <f>IF(W107&gt;0,W107/W108,0)</f>
        <v/>
      </c>
      <c r="X109" s="24">
        <f>IF(X107&gt;0,X107/X108,0)</f>
        <v/>
      </c>
      <c r="Y109" s="24">
        <f>IF(Y107&gt;0,Y107/Y108,0)</f>
        <v/>
      </c>
      <c r="Z109" s="24">
        <f>IF(Z107&gt;0,Z107/Z108,0)</f>
        <v/>
      </c>
      <c r="AA109" s="24">
        <f>IF(AA107&gt;0,AA107/AA108,0)</f>
        <v/>
      </c>
      <c r="AB109" s="24">
        <f>IF(AB107&gt;0,AB107/AB108,0)</f>
        <v/>
      </c>
      <c r="AC109" s="24">
        <f>IF(AC107&gt;0,AC107/AC108,0)</f>
        <v/>
      </c>
      <c r="AD109" s="24">
        <f>IF(AD107&gt;0,AD107/AD108,0)</f>
        <v/>
      </c>
      <c r="AE109" s="24">
        <f>IF(AE107&gt;0,AE107/AE108,0)</f>
        <v/>
      </c>
      <c r="AF109" s="24">
        <f>IF(AF107&gt;0,AF107/AF108,0)</f>
        <v/>
      </c>
    </row>
    <row r="110">
      <c r="A110" s="3" t="inlineStr">
        <is>
          <t>Nuovi clienti da canali non pagati</t>
        </is>
      </c>
      <c r="C110" s="24">
        <f>IF(C106&gt;=0,$C$26,0)</f>
        <v/>
      </c>
      <c r="D110" s="24">
        <f>IF(D106&gt;=0,$C$26,0)</f>
        <v/>
      </c>
      <c r="E110" s="24">
        <f>IF(E106&gt;=0,$C$26,0)</f>
        <v/>
      </c>
      <c r="F110" s="24">
        <f>IF(F106&gt;=0,$C$26,0)</f>
        <v/>
      </c>
      <c r="G110" s="24">
        <f>IF(G106&gt;=0,$C$26,0)</f>
        <v/>
      </c>
      <c r="H110" s="24">
        <f>IF(H106&gt;=0,$C$26,0)</f>
        <v/>
      </c>
      <c r="I110" s="24">
        <f>IF(I106&gt;=0,$C$26,0)</f>
        <v/>
      </c>
      <c r="J110" s="24">
        <f>IF(J106&gt;=0,$C$26,0)</f>
        <v/>
      </c>
      <c r="K110" s="24">
        <f>IF(K106&gt;=0,$C$26,0)</f>
        <v/>
      </c>
      <c r="L110" s="24">
        <f>IF(L106&gt;=0,$C$26,0)</f>
        <v/>
      </c>
      <c r="M110" s="24">
        <f>IF(M106&gt;=0,$C$26,0)</f>
        <v/>
      </c>
      <c r="N110" s="24">
        <f>IF(N106&gt;=0,$C$26,0)</f>
        <v/>
      </c>
      <c r="O110" s="24">
        <f>IF(O106&gt;=0,$C$26,0)</f>
        <v/>
      </c>
      <c r="P110" s="24">
        <f>IF(P106&gt;=0,$C$26,0)</f>
        <v/>
      </c>
      <c r="Q110" s="24">
        <f>IF(Q106&gt;=0,$C$26,0)</f>
        <v/>
      </c>
      <c r="R110" s="24">
        <f>IF(R106&gt;=0,$C$26,0)</f>
        <v/>
      </c>
      <c r="S110" s="24">
        <f>IF(S106&gt;=0,$C$26,0)</f>
        <v/>
      </c>
      <c r="T110" s="24">
        <f>IF(T106&gt;=0,$C$26,0)</f>
        <v/>
      </c>
      <c r="U110" s="24">
        <f>IF(U106&gt;=0,$C$26,0)</f>
        <v/>
      </c>
      <c r="V110" s="24">
        <f>IF(V106&gt;=0,$C$26,0)</f>
        <v/>
      </c>
      <c r="W110" s="24">
        <f>IF(W106&gt;=0,$C$26,0)</f>
        <v/>
      </c>
      <c r="X110" s="24">
        <f>IF(X106&gt;=0,$C$26,0)</f>
        <v/>
      </c>
      <c r="Y110" s="24">
        <f>IF(Y106&gt;=0,$C$26,0)</f>
        <v/>
      </c>
      <c r="Z110" s="24">
        <f>IF(Z106&gt;=0,$C$26,0)</f>
        <v/>
      </c>
      <c r="AA110" s="24">
        <f>IF(AA106&gt;=0,$C$26,0)</f>
        <v/>
      </c>
      <c r="AB110" s="24">
        <f>IF(AB106&gt;=0,$C$26,0)</f>
        <v/>
      </c>
      <c r="AC110" s="24">
        <f>IF(AC106&gt;=0,$C$26,0)</f>
        <v/>
      </c>
      <c r="AD110" s="24">
        <f>IF(AD106&gt;=0,$C$26,0)</f>
        <v/>
      </c>
      <c r="AE110" s="24">
        <f>IF(AE106&gt;=0,$C$26,0)</f>
        <v/>
      </c>
      <c r="AF110" s="24">
        <f>IF(AF106&gt;=0,$C$26,0)</f>
        <v/>
      </c>
    </row>
    <row r="111">
      <c r="A111" s="3" t="inlineStr">
        <is>
          <t>Nuovi clienti totali</t>
        </is>
      </c>
      <c r="C111" s="24">
        <f>C109+C110</f>
        <v/>
      </c>
      <c r="D111" s="24">
        <f>D109+D110</f>
        <v/>
      </c>
      <c r="E111" s="24">
        <f>E109+E110</f>
        <v/>
      </c>
      <c r="F111" s="24">
        <f>F109+F110</f>
        <v/>
      </c>
      <c r="G111" s="24">
        <f>G109+G110</f>
        <v/>
      </c>
      <c r="H111" s="24">
        <f>H109+H110</f>
        <v/>
      </c>
      <c r="I111" s="24">
        <f>I109+I110</f>
        <v/>
      </c>
      <c r="J111" s="24">
        <f>J109+J110</f>
        <v/>
      </c>
      <c r="K111" s="24">
        <f>K109+K110</f>
        <v/>
      </c>
      <c r="L111" s="24">
        <f>L109+L110</f>
        <v/>
      </c>
      <c r="M111" s="24">
        <f>M109+M110</f>
        <v/>
      </c>
      <c r="N111" s="24">
        <f>N109+N110</f>
        <v/>
      </c>
      <c r="O111" s="24">
        <f>O109+O110</f>
        <v/>
      </c>
      <c r="P111" s="24">
        <f>P109+P110</f>
        <v/>
      </c>
      <c r="Q111" s="24">
        <f>Q109+Q110</f>
        <v/>
      </c>
      <c r="R111" s="24">
        <f>R109+R110</f>
        <v/>
      </c>
      <c r="S111" s="24">
        <f>S109+S110</f>
        <v/>
      </c>
      <c r="T111" s="24">
        <f>T109+T110</f>
        <v/>
      </c>
      <c r="U111" s="24">
        <f>U109+U110</f>
        <v/>
      </c>
      <c r="V111" s="24">
        <f>V109+V110</f>
        <v/>
      </c>
      <c r="W111" s="24">
        <f>W109+W110</f>
        <v/>
      </c>
      <c r="X111" s="24">
        <f>X109+X110</f>
        <v/>
      </c>
      <c r="Y111" s="24">
        <f>Y109+Y110</f>
        <v/>
      </c>
      <c r="Z111" s="24">
        <f>Z109+Z110</f>
        <v/>
      </c>
      <c r="AA111" s="24">
        <f>AA109+AA110</f>
        <v/>
      </c>
      <c r="AB111" s="24">
        <f>AB109+AB110</f>
        <v/>
      </c>
      <c r="AC111" s="24">
        <f>AC109+AC110</f>
        <v/>
      </c>
      <c r="AD111" s="24">
        <f>AD109+AD110</f>
        <v/>
      </c>
      <c r="AE111" s="24">
        <f>AE109+AE110</f>
        <v/>
      </c>
      <c r="AF111" s="24">
        <f>AF109+AF110</f>
        <v/>
      </c>
    </row>
    <row r="112">
      <c r="A112" s="3" t="inlineStr">
        <is>
          <t>Nuovi clienti: Percorso 6</t>
        </is>
      </c>
      <c r="C112" s="24">
        <f>C111*$C$8</f>
        <v/>
      </c>
      <c r="D112" s="24">
        <f>D111*$C$8</f>
        <v/>
      </c>
      <c r="E112" s="24">
        <f>E111*$C$8</f>
        <v/>
      </c>
      <c r="F112" s="24">
        <f>F111*$C$8</f>
        <v/>
      </c>
      <c r="G112" s="24">
        <f>G111*$C$8</f>
        <v/>
      </c>
      <c r="H112" s="24">
        <f>H111*$C$8</f>
        <v/>
      </c>
      <c r="I112" s="24">
        <f>I111*$C$8</f>
        <v/>
      </c>
      <c r="J112" s="24">
        <f>J111*$C$8</f>
        <v/>
      </c>
      <c r="K112" s="24">
        <f>K111*$C$8</f>
        <v/>
      </c>
      <c r="L112" s="24">
        <f>L111*$C$8</f>
        <v/>
      </c>
      <c r="M112" s="24">
        <f>M111*$C$8</f>
        <v/>
      </c>
      <c r="N112" s="24">
        <f>N111*$C$8</f>
        <v/>
      </c>
      <c r="O112" s="24">
        <f>O111*$C$8</f>
        <v/>
      </c>
      <c r="P112" s="24">
        <f>P111*$C$8</f>
        <v/>
      </c>
      <c r="Q112" s="24">
        <f>Q111*$C$8</f>
        <v/>
      </c>
      <c r="R112" s="24">
        <f>R111*$C$8</f>
        <v/>
      </c>
      <c r="S112" s="24">
        <f>S111*$C$8</f>
        <v/>
      </c>
      <c r="T112" s="24">
        <f>T111*$C$8</f>
        <v/>
      </c>
      <c r="U112" s="24">
        <f>U111*$C$8</f>
        <v/>
      </c>
      <c r="V112" s="24">
        <f>V111*$C$8</f>
        <v/>
      </c>
      <c r="W112" s="24">
        <f>W111*$C$8</f>
        <v/>
      </c>
      <c r="X112" s="24">
        <f>X111*$C$8</f>
        <v/>
      </c>
      <c r="Y112" s="24">
        <f>Y111*$C$8</f>
        <v/>
      </c>
      <c r="Z112" s="24">
        <f>Z111*$C$8</f>
        <v/>
      </c>
      <c r="AA112" s="24">
        <f>AA111*$C$8</f>
        <v/>
      </c>
      <c r="AB112" s="24">
        <f>AB111*$C$8</f>
        <v/>
      </c>
      <c r="AC112" s="24">
        <f>AC111*$C$8</f>
        <v/>
      </c>
      <c r="AD112" s="24">
        <f>AD111*$C$8</f>
        <v/>
      </c>
      <c r="AE112" s="24">
        <f>AE111*$C$8</f>
        <v/>
      </c>
      <c r="AF112" s="24">
        <f>AF111*$C$8</f>
        <v/>
      </c>
    </row>
    <row r="113">
      <c r="A113" s="3" t="inlineStr">
        <is>
          <t>Nuovi clienti: Percorso 3</t>
        </is>
      </c>
      <c r="C113" s="24">
        <f>C111*$C$9</f>
        <v/>
      </c>
      <c r="D113" s="24">
        <f>D111*$C$9</f>
        <v/>
      </c>
      <c r="E113" s="24">
        <f>E111*$C$9</f>
        <v/>
      </c>
      <c r="F113" s="24">
        <f>F111*$C$9</f>
        <v/>
      </c>
      <c r="G113" s="24">
        <f>G111*$C$9</f>
        <v/>
      </c>
      <c r="H113" s="24">
        <f>H111*$C$9</f>
        <v/>
      </c>
      <c r="I113" s="24">
        <f>I111*$C$9</f>
        <v/>
      </c>
      <c r="J113" s="24">
        <f>J111*$C$9</f>
        <v/>
      </c>
      <c r="K113" s="24">
        <f>K111*$C$9</f>
        <v/>
      </c>
      <c r="L113" s="24">
        <f>L111*$C$9</f>
        <v/>
      </c>
      <c r="M113" s="24">
        <f>M111*$C$9</f>
        <v/>
      </c>
      <c r="N113" s="24">
        <f>N111*$C$9</f>
        <v/>
      </c>
      <c r="O113" s="24">
        <f>O111*$C$9</f>
        <v/>
      </c>
      <c r="P113" s="24">
        <f>P111*$C$9</f>
        <v/>
      </c>
      <c r="Q113" s="24">
        <f>Q111*$C$9</f>
        <v/>
      </c>
      <c r="R113" s="24">
        <f>R111*$C$9</f>
        <v/>
      </c>
      <c r="S113" s="24">
        <f>S111*$C$9</f>
        <v/>
      </c>
      <c r="T113" s="24">
        <f>T111*$C$9</f>
        <v/>
      </c>
      <c r="U113" s="24">
        <f>U111*$C$9</f>
        <v/>
      </c>
      <c r="V113" s="24">
        <f>V111*$C$9</f>
        <v/>
      </c>
      <c r="W113" s="24">
        <f>W111*$C$9</f>
        <v/>
      </c>
      <c r="X113" s="24">
        <f>X111*$C$9</f>
        <v/>
      </c>
      <c r="Y113" s="24">
        <f>Y111*$C$9</f>
        <v/>
      </c>
      <c r="Z113" s="24">
        <f>Z111*$C$9</f>
        <v/>
      </c>
      <c r="AA113" s="24">
        <f>AA111*$C$9</f>
        <v/>
      </c>
      <c r="AB113" s="24">
        <f>AB111*$C$9</f>
        <v/>
      </c>
      <c r="AC113" s="24">
        <f>AC111*$C$9</f>
        <v/>
      </c>
      <c r="AD113" s="24">
        <f>AD111*$C$9</f>
        <v/>
      </c>
      <c r="AE113" s="24">
        <f>AE111*$C$9</f>
        <v/>
      </c>
      <c r="AF113" s="24">
        <f>AF111*$C$9</f>
        <v/>
      </c>
    </row>
    <row r="114">
      <c r="A114" s="3" t="inlineStr">
        <is>
          <t>Nuovi clienti: Abbonamento</t>
        </is>
      </c>
      <c r="C114" s="24">
        <f>C111*$C$10</f>
        <v/>
      </c>
      <c r="D114" s="24">
        <f>D111*$C$10</f>
        <v/>
      </c>
      <c r="E114" s="24">
        <f>E111*$C$10</f>
        <v/>
      </c>
      <c r="F114" s="24">
        <f>F111*$C$10</f>
        <v/>
      </c>
      <c r="G114" s="24">
        <f>G111*$C$10</f>
        <v/>
      </c>
      <c r="H114" s="24">
        <f>H111*$C$10</f>
        <v/>
      </c>
      <c r="I114" s="24">
        <f>I111*$C$10</f>
        <v/>
      </c>
      <c r="J114" s="24">
        <f>J111*$C$10</f>
        <v/>
      </c>
      <c r="K114" s="24">
        <f>K111*$C$10</f>
        <v/>
      </c>
      <c r="L114" s="24">
        <f>L111*$C$10</f>
        <v/>
      </c>
      <c r="M114" s="24">
        <f>M111*$C$10</f>
        <v/>
      </c>
      <c r="N114" s="24">
        <f>N111*$C$10</f>
        <v/>
      </c>
      <c r="O114" s="24">
        <f>O111*$C$10</f>
        <v/>
      </c>
      <c r="P114" s="24">
        <f>P111*$C$10</f>
        <v/>
      </c>
      <c r="Q114" s="24">
        <f>Q111*$C$10</f>
        <v/>
      </c>
      <c r="R114" s="24">
        <f>R111*$C$10</f>
        <v/>
      </c>
      <c r="S114" s="24">
        <f>S111*$C$10</f>
        <v/>
      </c>
      <c r="T114" s="24">
        <f>T111*$C$10</f>
        <v/>
      </c>
      <c r="U114" s="24">
        <f>U111*$C$10</f>
        <v/>
      </c>
      <c r="V114" s="24">
        <f>V111*$C$10</f>
        <v/>
      </c>
      <c r="W114" s="24">
        <f>W111*$C$10</f>
        <v/>
      </c>
      <c r="X114" s="24">
        <f>X111*$C$10</f>
        <v/>
      </c>
      <c r="Y114" s="24">
        <f>Y111*$C$10</f>
        <v/>
      </c>
      <c r="Z114" s="24">
        <f>Z111*$C$10</f>
        <v/>
      </c>
      <c r="AA114" s="24">
        <f>AA111*$C$10</f>
        <v/>
      </c>
      <c r="AB114" s="24">
        <f>AB111*$C$10</f>
        <v/>
      </c>
      <c r="AC114" s="24">
        <f>AC111*$C$10</f>
        <v/>
      </c>
      <c r="AD114" s="24">
        <f>AD111*$C$10</f>
        <v/>
      </c>
      <c r="AE114" s="24">
        <f>AE111*$C$10</f>
        <v/>
      </c>
      <c r="AF114" s="24">
        <f>AF111*$C$10</f>
        <v/>
      </c>
    </row>
    <row r="115">
      <c r="A115" s="3" t="inlineStr">
        <is>
          <t>Nuovi clienti: Singolo</t>
        </is>
      </c>
      <c r="C115" s="24">
        <f>C111*$C$11</f>
        <v/>
      </c>
      <c r="D115" s="24">
        <f>D111*$C$11</f>
        <v/>
      </c>
      <c r="E115" s="24">
        <f>E111*$C$11</f>
        <v/>
      </c>
      <c r="F115" s="24">
        <f>F111*$C$11</f>
        <v/>
      </c>
      <c r="G115" s="24">
        <f>G111*$C$11</f>
        <v/>
      </c>
      <c r="H115" s="24">
        <f>H111*$C$11</f>
        <v/>
      </c>
      <c r="I115" s="24">
        <f>I111*$C$11</f>
        <v/>
      </c>
      <c r="J115" s="24">
        <f>J111*$C$11</f>
        <v/>
      </c>
      <c r="K115" s="24">
        <f>K111*$C$11</f>
        <v/>
      </c>
      <c r="L115" s="24">
        <f>L111*$C$11</f>
        <v/>
      </c>
      <c r="M115" s="24">
        <f>M111*$C$11</f>
        <v/>
      </c>
      <c r="N115" s="24">
        <f>N111*$C$11</f>
        <v/>
      </c>
      <c r="O115" s="24">
        <f>O111*$C$11</f>
        <v/>
      </c>
      <c r="P115" s="24">
        <f>P111*$C$11</f>
        <v/>
      </c>
      <c r="Q115" s="24">
        <f>Q111*$C$11</f>
        <v/>
      </c>
      <c r="R115" s="24">
        <f>R111*$C$11</f>
        <v/>
      </c>
      <c r="S115" s="24">
        <f>S111*$C$11</f>
        <v/>
      </c>
      <c r="T115" s="24">
        <f>T111*$C$11</f>
        <v/>
      </c>
      <c r="U115" s="24">
        <f>U111*$C$11</f>
        <v/>
      </c>
      <c r="V115" s="24">
        <f>V111*$C$11</f>
        <v/>
      </c>
      <c r="W115" s="24">
        <f>W111*$C$11</f>
        <v/>
      </c>
      <c r="X115" s="24">
        <f>X111*$C$11</f>
        <v/>
      </c>
      <c r="Y115" s="24">
        <f>Y111*$C$11</f>
        <v/>
      </c>
      <c r="Z115" s="24">
        <f>Z111*$C$11</f>
        <v/>
      </c>
      <c r="AA115" s="24">
        <f>AA111*$C$11</f>
        <v/>
      </c>
      <c r="AB115" s="24">
        <f>AB111*$C$11</f>
        <v/>
      </c>
      <c r="AC115" s="24">
        <f>AC111*$C$11</f>
        <v/>
      </c>
      <c r="AD115" s="24">
        <f>AD111*$C$11</f>
        <v/>
      </c>
      <c r="AE115" s="24">
        <f>AE111*$C$11</f>
        <v/>
      </c>
      <c r="AF115" s="24">
        <f>AF111*$C$11</f>
        <v/>
      </c>
    </row>
    <row r="116">
      <c r="A116" s="3" t="inlineStr">
        <is>
          <t>Creatività e gestione campagne</t>
        </is>
      </c>
      <c r="B116" s="4" t="inlineStr">
        <is>
          <t>€</t>
        </is>
      </c>
      <c r="C116" s="20">
        <f>IF(C107&gt;0,$C$38,0)</f>
        <v/>
      </c>
      <c r="D116" s="20">
        <f>IF(D107&gt;0,$C$38,0)</f>
        <v/>
      </c>
      <c r="E116" s="20">
        <f>IF(E107&gt;0,$C$38,0)</f>
        <v/>
      </c>
      <c r="F116" s="20">
        <f>IF(F107&gt;0,$C$38,0)</f>
        <v/>
      </c>
      <c r="G116" s="20">
        <f>IF(G107&gt;0,$C$38,0)</f>
        <v/>
      </c>
      <c r="H116" s="20">
        <f>IF(H107&gt;0,$C$38,0)</f>
        <v/>
      </c>
      <c r="I116" s="20">
        <f>IF(I107&gt;0,$C$38,0)</f>
        <v/>
      </c>
      <c r="J116" s="20">
        <f>IF(J107&gt;0,$C$38,0)</f>
        <v/>
      </c>
      <c r="K116" s="20">
        <f>IF(K107&gt;0,$C$38,0)</f>
        <v/>
      </c>
      <c r="L116" s="20">
        <f>IF(L107&gt;0,$C$38,0)</f>
        <v/>
      </c>
      <c r="M116" s="20">
        <f>IF(M107&gt;0,$C$38,0)</f>
        <v/>
      </c>
      <c r="N116" s="20">
        <f>IF(N107&gt;0,$C$38,0)</f>
        <v/>
      </c>
      <c r="O116" s="20">
        <f>IF(O107&gt;0,$C$38,0)</f>
        <v/>
      </c>
      <c r="P116" s="20">
        <f>IF(P107&gt;0,$C$38,0)</f>
        <v/>
      </c>
      <c r="Q116" s="20">
        <f>IF(Q107&gt;0,$C$38,0)</f>
        <v/>
      </c>
      <c r="R116" s="20">
        <f>IF(R107&gt;0,$C$38,0)</f>
        <v/>
      </c>
      <c r="S116" s="20">
        <f>IF(S107&gt;0,$C$38,0)</f>
        <v/>
      </c>
      <c r="T116" s="20">
        <f>IF(T107&gt;0,$C$38,0)</f>
        <v/>
      </c>
      <c r="U116" s="20">
        <f>IF(U107&gt;0,$C$38,0)</f>
        <v/>
      </c>
      <c r="V116" s="20">
        <f>IF(V107&gt;0,$C$38,0)</f>
        <v/>
      </c>
      <c r="W116" s="20">
        <f>IF(W107&gt;0,$C$38,0)</f>
        <v/>
      </c>
      <c r="X116" s="20">
        <f>IF(X107&gt;0,$C$38,0)</f>
        <v/>
      </c>
      <c r="Y116" s="20">
        <f>IF(Y107&gt;0,$C$38,0)</f>
        <v/>
      </c>
      <c r="Z116" s="20">
        <f>IF(Z107&gt;0,$C$38,0)</f>
        <v/>
      </c>
      <c r="AA116" s="20">
        <f>IF(AA107&gt;0,$C$38,0)</f>
        <v/>
      </c>
      <c r="AB116" s="20">
        <f>IF(AB107&gt;0,$C$38,0)</f>
        <v/>
      </c>
      <c r="AC116" s="20">
        <f>IF(AC107&gt;0,$C$38,0)</f>
        <v/>
      </c>
      <c r="AD116" s="20">
        <f>IF(AD107&gt;0,$C$38,0)</f>
        <v/>
      </c>
      <c r="AE116" s="20">
        <f>IF(AE107&gt;0,$C$38,0)</f>
        <v/>
      </c>
      <c r="AF116" s="20">
        <f>IF(AF107&gt;0,$C$38,0)</f>
        <v/>
      </c>
    </row>
    <row r="118">
      <c r="A118" s="10" t="inlineStr">
        <is>
          <t>Percorso 6: ordini per coorte (righe = mese di acquisizione, colonne = mese di calendario)</t>
        </is>
      </c>
    </row>
    <row r="119">
      <c r="A119" s="4" t="inlineStr">
        <is>
          <t>Coorte del mese 1</t>
        </is>
      </c>
      <c r="C119" s="24">
        <f>$C$112*INDEX($C$93:$AL$93,1,1)</f>
        <v/>
      </c>
      <c r="D119" s="24">
        <f>$C$112*INDEX($C$93:$AL$93,1,2)</f>
        <v/>
      </c>
      <c r="E119" s="24">
        <f>$C$112*INDEX($C$93:$AL$93,1,3)</f>
        <v/>
      </c>
      <c r="F119" s="24">
        <f>$C$112*INDEX($C$93:$AL$93,1,4)</f>
        <v/>
      </c>
      <c r="G119" s="24">
        <f>$C$112*INDEX($C$93:$AL$93,1,5)</f>
        <v/>
      </c>
      <c r="H119" s="24">
        <f>$C$112*INDEX($C$93:$AL$93,1,6)</f>
        <v/>
      </c>
      <c r="I119" s="24">
        <f>$C$112*INDEX($C$93:$AL$93,1,7)</f>
        <v/>
      </c>
      <c r="J119" s="24">
        <f>$C$112*INDEX($C$93:$AL$93,1,8)</f>
        <v/>
      </c>
      <c r="K119" s="24">
        <f>$C$112*INDEX($C$93:$AL$93,1,9)</f>
        <v/>
      </c>
      <c r="L119" s="24">
        <f>$C$112*INDEX($C$93:$AL$93,1,10)</f>
        <v/>
      </c>
      <c r="M119" s="24">
        <f>$C$112*INDEX($C$93:$AL$93,1,11)</f>
        <v/>
      </c>
      <c r="N119" s="24">
        <f>$C$112*INDEX($C$93:$AL$93,1,12)</f>
        <v/>
      </c>
      <c r="O119" s="24">
        <f>$C$112*INDEX($C$93:$AL$93,1,13)</f>
        <v/>
      </c>
      <c r="P119" s="24">
        <f>$C$112*INDEX($C$93:$AL$93,1,14)</f>
        <v/>
      </c>
      <c r="Q119" s="24">
        <f>$C$112*INDEX($C$93:$AL$93,1,15)</f>
        <v/>
      </c>
      <c r="R119" s="24">
        <f>$C$112*INDEX($C$93:$AL$93,1,16)</f>
        <v/>
      </c>
      <c r="S119" s="24">
        <f>$C$112*INDEX($C$93:$AL$93,1,17)</f>
        <v/>
      </c>
      <c r="T119" s="24">
        <f>$C$112*INDEX($C$93:$AL$93,1,18)</f>
        <v/>
      </c>
      <c r="U119" s="24">
        <f>$C$112*INDEX($C$93:$AL$93,1,19)</f>
        <v/>
      </c>
      <c r="V119" s="24">
        <f>$C$112*INDEX($C$93:$AL$93,1,20)</f>
        <v/>
      </c>
      <c r="W119" s="24">
        <f>$C$112*INDEX($C$93:$AL$93,1,21)</f>
        <v/>
      </c>
      <c r="X119" s="24">
        <f>$C$112*INDEX($C$93:$AL$93,1,22)</f>
        <v/>
      </c>
      <c r="Y119" s="24">
        <f>$C$112*INDEX($C$93:$AL$93,1,23)</f>
        <v/>
      </c>
      <c r="Z119" s="24">
        <f>$C$112*INDEX($C$93:$AL$93,1,24)</f>
        <v/>
      </c>
      <c r="AA119" s="24">
        <f>$C$112*INDEX($C$93:$AL$93,1,25)</f>
        <v/>
      </c>
      <c r="AB119" s="24">
        <f>$C$112*INDEX($C$93:$AL$93,1,26)</f>
        <v/>
      </c>
      <c r="AC119" s="24">
        <f>$C$112*INDEX($C$93:$AL$93,1,27)</f>
        <v/>
      </c>
      <c r="AD119" s="24">
        <f>$C$112*INDEX($C$93:$AL$93,1,28)</f>
        <v/>
      </c>
      <c r="AE119" s="24">
        <f>$C$112*INDEX($C$93:$AL$93,1,29)</f>
        <v/>
      </c>
      <c r="AF119" s="24">
        <f>$C$112*INDEX($C$93:$AL$93,1,30)</f>
        <v/>
      </c>
    </row>
    <row r="120">
      <c r="A120" s="4" t="inlineStr">
        <is>
          <t>Coorte del mese 2</t>
        </is>
      </c>
      <c r="C120" s="24" t="n">
        <v>0</v>
      </c>
      <c r="D120" s="24">
        <f>$D$112*INDEX($C$93:$AL$93,1,1)</f>
        <v/>
      </c>
      <c r="E120" s="24">
        <f>$D$112*INDEX($C$93:$AL$93,1,2)</f>
        <v/>
      </c>
      <c r="F120" s="24">
        <f>$D$112*INDEX($C$93:$AL$93,1,3)</f>
        <v/>
      </c>
      <c r="G120" s="24">
        <f>$D$112*INDEX($C$93:$AL$93,1,4)</f>
        <v/>
      </c>
      <c r="H120" s="24">
        <f>$D$112*INDEX($C$93:$AL$93,1,5)</f>
        <v/>
      </c>
      <c r="I120" s="24">
        <f>$D$112*INDEX($C$93:$AL$93,1,6)</f>
        <v/>
      </c>
      <c r="J120" s="24">
        <f>$D$112*INDEX($C$93:$AL$93,1,7)</f>
        <v/>
      </c>
      <c r="K120" s="24">
        <f>$D$112*INDEX($C$93:$AL$93,1,8)</f>
        <v/>
      </c>
      <c r="L120" s="24">
        <f>$D$112*INDEX($C$93:$AL$93,1,9)</f>
        <v/>
      </c>
      <c r="M120" s="24">
        <f>$D$112*INDEX($C$93:$AL$93,1,10)</f>
        <v/>
      </c>
      <c r="N120" s="24">
        <f>$D$112*INDEX($C$93:$AL$93,1,11)</f>
        <v/>
      </c>
      <c r="O120" s="24">
        <f>$D$112*INDEX($C$93:$AL$93,1,12)</f>
        <v/>
      </c>
      <c r="P120" s="24">
        <f>$D$112*INDEX($C$93:$AL$93,1,13)</f>
        <v/>
      </c>
      <c r="Q120" s="24">
        <f>$D$112*INDEX($C$93:$AL$93,1,14)</f>
        <v/>
      </c>
      <c r="R120" s="24">
        <f>$D$112*INDEX($C$93:$AL$93,1,15)</f>
        <v/>
      </c>
      <c r="S120" s="24">
        <f>$D$112*INDEX($C$93:$AL$93,1,16)</f>
        <v/>
      </c>
      <c r="T120" s="24">
        <f>$D$112*INDEX($C$93:$AL$93,1,17)</f>
        <v/>
      </c>
      <c r="U120" s="24">
        <f>$D$112*INDEX($C$93:$AL$93,1,18)</f>
        <v/>
      </c>
      <c r="V120" s="24">
        <f>$D$112*INDEX($C$93:$AL$93,1,19)</f>
        <v/>
      </c>
      <c r="W120" s="24">
        <f>$D$112*INDEX($C$93:$AL$93,1,20)</f>
        <v/>
      </c>
      <c r="X120" s="24">
        <f>$D$112*INDEX($C$93:$AL$93,1,21)</f>
        <v/>
      </c>
      <c r="Y120" s="24">
        <f>$D$112*INDEX($C$93:$AL$93,1,22)</f>
        <v/>
      </c>
      <c r="Z120" s="24">
        <f>$D$112*INDEX($C$93:$AL$93,1,23)</f>
        <v/>
      </c>
      <c r="AA120" s="24">
        <f>$D$112*INDEX($C$93:$AL$93,1,24)</f>
        <v/>
      </c>
      <c r="AB120" s="24">
        <f>$D$112*INDEX($C$93:$AL$93,1,25)</f>
        <v/>
      </c>
      <c r="AC120" s="24">
        <f>$D$112*INDEX($C$93:$AL$93,1,26)</f>
        <v/>
      </c>
      <c r="AD120" s="24">
        <f>$D$112*INDEX($C$93:$AL$93,1,27)</f>
        <v/>
      </c>
      <c r="AE120" s="24">
        <f>$D$112*INDEX($C$93:$AL$93,1,28)</f>
        <v/>
      </c>
      <c r="AF120" s="24">
        <f>$D$112*INDEX($C$93:$AL$93,1,29)</f>
        <v/>
      </c>
    </row>
    <row r="121">
      <c r="A121" s="4" t="inlineStr">
        <is>
          <t>Coorte del mese 3</t>
        </is>
      </c>
      <c r="C121" s="24" t="n">
        <v>0</v>
      </c>
      <c r="D121" s="24" t="n">
        <v>0</v>
      </c>
      <c r="E121" s="24">
        <f>$E$112*INDEX($C$93:$AL$93,1,1)</f>
        <v/>
      </c>
      <c r="F121" s="24">
        <f>$E$112*INDEX($C$93:$AL$93,1,2)</f>
        <v/>
      </c>
      <c r="G121" s="24">
        <f>$E$112*INDEX($C$93:$AL$93,1,3)</f>
        <v/>
      </c>
      <c r="H121" s="24">
        <f>$E$112*INDEX($C$93:$AL$93,1,4)</f>
        <v/>
      </c>
      <c r="I121" s="24">
        <f>$E$112*INDEX($C$93:$AL$93,1,5)</f>
        <v/>
      </c>
      <c r="J121" s="24">
        <f>$E$112*INDEX($C$93:$AL$93,1,6)</f>
        <v/>
      </c>
      <c r="K121" s="24">
        <f>$E$112*INDEX($C$93:$AL$93,1,7)</f>
        <v/>
      </c>
      <c r="L121" s="24">
        <f>$E$112*INDEX($C$93:$AL$93,1,8)</f>
        <v/>
      </c>
      <c r="M121" s="24">
        <f>$E$112*INDEX($C$93:$AL$93,1,9)</f>
        <v/>
      </c>
      <c r="N121" s="24">
        <f>$E$112*INDEX($C$93:$AL$93,1,10)</f>
        <v/>
      </c>
      <c r="O121" s="24">
        <f>$E$112*INDEX($C$93:$AL$93,1,11)</f>
        <v/>
      </c>
      <c r="P121" s="24">
        <f>$E$112*INDEX($C$93:$AL$93,1,12)</f>
        <v/>
      </c>
      <c r="Q121" s="24">
        <f>$E$112*INDEX($C$93:$AL$93,1,13)</f>
        <v/>
      </c>
      <c r="R121" s="24">
        <f>$E$112*INDEX($C$93:$AL$93,1,14)</f>
        <v/>
      </c>
      <c r="S121" s="24">
        <f>$E$112*INDEX($C$93:$AL$93,1,15)</f>
        <v/>
      </c>
      <c r="T121" s="24">
        <f>$E$112*INDEX($C$93:$AL$93,1,16)</f>
        <v/>
      </c>
      <c r="U121" s="24">
        <f>$E$112*INDEX($C$93:$AL$93,1,17)</f>
        <v/>
      </c>
      <c r="V121" s="24">
        <f>$E$112*INDEX($C$93:$AL$93,1,18)</f>
        <v/>
      </c>
      <c r="W121" s="24">
        <f>$E$112*INDEX($C$93:$AL$93,1,19)</f>
        <v/>
      </c>
      <c r="X121" s="24">
        <f>$E$112*INDEX($C$93:$AL$93,1,20)</f>
        <v/>
      </c>
      <c r="Y121" s="24">
        <f>$E$112*INDEX($C$93:$AL$93,1,21)</f>
        <v/>
      </c>
      <c r="Z121" s="24">
        <f>$E$112*INDEX($C$93:$AL$93,1,22)</f>
        <v/>
      </c>
      <c r="AA121" s="24">
        <f>$E$112*INDEX($C$93:$AL$93,1,23)</f>
        <v/>
      </c>
      <c r="AB121" s="24">
        <f>$E$112*INDEX($C$93:$AL$93,1,24)</f>
        <v/>
      </c>
      <c r="AC121" s="24">
        <f>$E$112*INDEX($C$93:$AL$93,1,25)</f>
        <v/>
      </c>
      <c r="AD121" s="24">
        <f>$E$112*INDEX($C$93:$AL$93,1,26)</f>
        <v/>
      </c>
      <c r="AE121" s="24">
        <f>$E$112*INDEX($C$93:$AL$93,1,27)</f>
        <v/>
      </c>
      <c r="AF121" s="24">
        <f>$E$112*INDEX($C$93:$AL$93,1,28)</f>
        <v/>
      </c>
    </row>
    <row r="122">
      <c r="A122" s="4" t="inlineStr">
        <is>
          <t>Coorte del mese 4</t>
        </is>
      </c>
      <c r="C122" s="24" t="n">
        <v>0</v>
      </c>
      <c r="D122" s="24" t="n">
        <v>0</v>
      </c>
      <c r="E122" s="24" t="n">
        <v>0</v>
      </c>
      <c r="F122" s="24">
        <f>$F$112*INDEX($C$93:$AL$93,1,1)</f>
        <v/>
      </c>
      <c r="G122" s="24">
        <f>$F$112*INDEX($C$93:$AL$93,1,2)</f>
        <v/>
      </c>
      <c r="H122" s="24">
        <f>$F$112*INDEX($C$93:$AL$93,1,3)</f>
        <v/>
      </c>
      <c r="I122" s="24">
        <f>$F$112*INDEX($C$93:$AL$93,1,4)</f>
        <v/>
      </c>
      <c r="J122" s="24">
        <f>$F$112*INDEX($C$93:$AL$93,1,5)</f>
        <v/>
      </c>
      <c r="K122" s="24">
        <f>$F$112*INDEX($C$93:$AL$93,1,6)</f>
        <v/>
      </c>
      <c r="L122" s="24">
        <f>$F$112*INDEX($C$93:$AL$93,1,7)</f>
        <v/>
      </c>
      <c r="M122" s="24">
        <f>$F$112*INDEX($C$93:$AL$93,1,8)</f>
        <v/>
      </c>
      <c r="N122" s="24">
        <f>$F$112*INDEX($C$93:$AL$93,1,9)</f>
        <v/>
      </c>
      <c r="O122" s="24">
        <f>$F$112*INDEX($C$93:$AL$93,1,10)</f>
        <v/>
      </c>
      <c r="P122" s="24">
        <f>$F$112*INDEX($C$93:$AL$93,1,11)</f>
        <v/>
      </c>
      <c r="Q122" s="24">
        <f>$F$112*INDEX($C$93:$AL$93,1,12)</f>
        <v/>
      </c>
      <c r="R122" s="24">
        <f>$F$112*INDEX($C$93:$AL$93,1,13)</f>
        <v/>
      </c>
      <c r="S122" s="24">
        <f>$F$112*INDEX($C$93:$AL$93,1,14)</f>
        <v/>
      </c>
      <c r="T122" s="24">
        <f>$F$112*INDEX($C$93:$AL$93,1,15)</f>
        <v/>
      </c>
      <c r="U122" s="24">
        <f>$F$112*INDEX($C$93:$AL$93,1,16)</f>
        <v/>
      </c>
      <c r="V122" s="24">
        <f>$F$112*INDEX($C$93:$AL$93,1,17)</f>
        <v/>
      </c>
      <c r="W122" s="24">
        <f>$F$112*INDEX($C$93:$AL$93,1,18)</f>
        <v/>
      </c>
      <c r="X122" s="24">
        <f>$F$112*INDEX($C$93:$AL$93,1,19)</f>
        <v/>
      </c>
      <c r="Y122" s="24">
        <f>$F$112*INDEX($C$93:$AL$93,1,20)</f>
        <v/>
      </c>
      <c r="Z122" s="24">
        <f>$F$112*INDEX($C$93:$AL$93,1,21)</f>
        <v/>
      </c>
      <c r="AA122" s="24">
        <f>$F$112*INDEX($C$93:$AL$93,1,22)</f>
        <v/>
      </c>
      <c r="AB122" s="24">
        <f>$F$112*INDEX($C$93:$AL$93,1,23)</f>
        <v/>
      </c>
      <c r="AC122" s="24">
        <f>$F$112*INDEX($C$93:$AL$93,1,24)</f>
        <v/>
      </c>
      <c r="AD122" s="24">
        <f>$F$112*INDEX($C$93:$AL$93,1,25)</f>
        <v/>
      </c>
      <c r="AE122" s="24">
        <f>$F$112*INDEX($C$93:$AL$93,1,26)</f>
        <v/>
      </c>
      <c r="AF122" s="24">
        <f>$F$112*INDEX($C$93:$AL$93,1,27)</f>
        <v/>
      </c>
    </row>
    <row r="123">
      <c r="A123" s="4" t="inlineStr">
        <is>
          <t>Coorte del mese 5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>
        <f>$G$112*INDEX($C$93:$AL$93,1,1)</f>
        <v/>
      </c>
      <c r="H123" s="24">
        <f>$G$112*INDEX($C$93:$AL$93,1,2)</f>
        <v/>
      </c>
      <c r="I123" s="24">
        <f>$G$112*INDEX($C$93:$AL$93,1,3)</f>
        <v/>
      </c>
      <c r="J123" s="24">
        <f>$G$112*INDEX($C$93:$AL$93,1,4)</f>
        <v/>
      </c>
      <c r="K123" s="24">
        <f>$G$112*INDEX($C$93:$AL$93,1,5)</f>
        <v/>
      </c>
      <c r="L123" s="24">
        <f>$G$112*INDEX($C$93:$AL$93,1,6)</f>
        <v/>
      </c>
      <c r="M123" s="24">
        <f>$G$112*INDEX($C$93:$AL$93,1,7)</f>
        <v/>
      </c>
      <c r="N123" s="24">
        <f>$G$112*INDEX($C$93:$AL$93,1,8)</f>
        <v/>
      </c>
      <c r="O123" s="24">
        <f>$G$112*INDEX($C$93:$AL$93,1,9)</f>
        <v/>
      </c>
      <c r="P123" s="24">
        <f>$G$112*INDEX($C$93:$AL$93,1,10)</f>
        <v/>
      </c>
      <c r="Q123" s="24">
        <f>$G$112*INDEX($C$93:$AL$93,1,11)</f>
        <v/>
      </c>
      <c r="R123" s="24">
        <f>$G$112*INDEX($C$93:$AL$93,1,12)</f>
        <v/>
      </c>
      <c r="S123" s="24">
        <f>$G$112*INDEX($C$93:$AL$93,1,13)</f>
        <v/>
      </c>
      <c r="T123" s="24">
        <f>$G$112*INDEX($C$93:$AL$93,1,14)</f>
        <v/>
      </c>
      <c r="U123" s="24">
        <f>$G$112*INDEX($C$93:$AL$93,1,15)</f>
        <v/>
      </c>
      <c r="V123" s="24">
        <f>$G$112*INDEX($C$93:$AL$93,1,16)</f>
        <v/>
      </c>
      <c r="W123" s="24">
        <f>$G$112*INDEX($C$93:$AL$93,1,17)</f>
        <v/>
      </c>
      <c r="X123" s="24">
        <f>$G$112*INDEX($C$93:$AL$93,1,18)</f>
        <v/>
      </c>
      <c r="Y123" s="24">
        <f>$G$112*INDEX($C$93:$AL$93,1,19)</f>
        <v/>
      </c>
      <c r="Z123" s="24">
        <f>$G$112*INDEX($C$93:$AL$93,1,20)</f>
        <v/>
      </c>
      <c r="AA123" s="24">
        <f>$G$112*INDEX($C$93:$AL$93,1,21)</f>
        <v/>
      </c>
      <c r="AB123" s="24">
        <f>$G$112*INDEX($C$93:$AL$93,1,22)</f>
        <v/>
      </c>
      <c r="AC123" s="24">
        <f>$G$112*INDEX($C$93:$AL$93,1,23)</f>
        <v/>
      </c>
      <c r="AD123" s="24">
        <f>$G$112*INDEX($C$93:$AL$93,1,24)</f>
        <v/>
      </c>
      <c r="AE123" s="24">
        <f>$G$112*INDEX($C$93:$AL$93,1,25)</f>
        <v/>
      </c>
      <c r="AF123" s="24">
        <f>$G$112*INDEX($C$93:$AL$93,1,26)</f>
        <v/>
      </c>
    </row>
    <row r="124">
      <c r="A124" s="4" t="inlineStr">
        <is>
          <t>Coorte del mese 6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>
        <f>$H$112*INDEX($C$93:$AL$93,1,1)</f>
        <v/>
      </c>
      <c r="I124" s="24">
        <f>$H$112*INDEX($C$93:$AL$93,1,2)</f>
        <v/>
      </c>
      <c r="J124" s="24">
        <f>$H$112*INDEX($C$93:$AL$93,1,3)</f>
        <v/>
      </c>
      <c r="K124" s="24">
        <f>$H$112*INDEX($C$93:$AL$93,1,4)</f>
        <v/>
      </c>
      <c r="L124" s="24">
        <f>$H$112*INDEX($C$93:$AL$93,1,5)</f>
        <v/>
      </c>
      <c r="M124" s="24">
        <f>$H$112*INDEX($C$93:$AL$93,1,6)</f>
        <v/>
      </c>
      <c r="N124" s="24">
        <f>$H$112*INDEX($C$93:$AL$93,1,7)</f>
        <v/>
      </c>
      <c r="O124" s="24">
        <f>$H$112*INDEX($C$93:$AL$93,1,8)</f>
        <v/>
      </c>
      <c r="P124" s="24">
        <f>$H$112*INDEX($C$93:$AL$93,1,9)</f>
        <v/>
      </c>
      <c r="Q124" s="24">
        <f>$H$112*INDEX($C$93:$AL$93,1,10)</f>
        <v/>
      </c>
      <c r="R124" s="24">
        <f>$H$112*INDEX($C$93:$AL$93,1,11)</f>
        <v/>
      </c>
      <c r="S124" s="24">
        <f>$H$112*INDEX($C$93:$AL$93,1,12)</f>
        <v/>
      </c>
      <c r="T124" s="24">
        <f>$H$112*INDEX($C$93:$AL$93,1,13)</f>
        <v/>
      </c>
      <c r="U124" s="24">
        <f>$H$112*INDEX($C$93:$AL$93,1,14)</f>
        <v/>
      </c>
      <c r="V124" s="24">
        <f>$H$112*INDEX($C$93:$AL$93,1,15)</f>
        <v/>
      </c>
      <c r="W124" s="24">
        <f>$H$112*INDEX($C$93:$AL$93,1,16)</f>
        <v/>
      </c>
      <c r="X124" s="24">
        <f>$H$112*INDEX($C$93:$AL$93,1,17)</f>
        <v/>
      </c>
      <c r="Y124" s="24">
        <f>$H$112*INDEX($C$93:$AL$93,1,18)</f>
        <v/>
      </c>
      <c r="Z124" s="24">
        <f>$H$112*INDEX($C$93:$AL$93,1,19)</f>
        <v/>
      </c>
      <c r="AA124" s="24">
        <f>$H$112*INDEX($C$93:$AL$93,1,20)</f>
        <v/>
      </c>
      <c r="AB124" s="24">
        <f>$H$112*INDEX($C$93:$AL$93,1,21)</f>
        <v/>
      </c>
      <c r="AC124" s="24">
        <f>$H$112*INDEX($C$93:$AL$93,1,22)</f>
        <v/>
      </c>
      <c r="AD124" s="24">
        <f>$H$112*INDEX($C$93:$AL$93,1,23)</f>
        <v/>
      </c>
      <c r="AE124" s="24">
        <f>$H$112*INDEX($C$93:$AL$93,1,24)</f>
        <v/>
      </c>
      <c r="AF124" s="24">
        <f>$H$112*INDEX($C$93:$AL$93,1,25)</f>
        <v/>
      </c>
    </row>
    <row r="125">
      <c r="A125" s="4" t="inlineStr">
        <is>
          <t>Coorte del mese 7</t>
        </is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>
        <f>$I$112*INDEX($C$93:$AL$93,1,1)</f>
        <v/>
      </c>
      <c r="J125" s="24">
        <f>$I$112*INDEX($C$93:$AL$93,1,2)</f>
        <v/>
      </c>
      <c r="K125" s="24">
        <f>$I$112*INDEX($C$93:$AL$93,1,3)</f>
        <v/>
      </c>
      <c r="L125" s="24">
        <f>$I$112*INDEX($C$93:$AL$93,1,4)</f>
        <v/>
      </c>
      <c r="M125" s="24">
        <f>$I$112*INDEX($C$93:$AL$93,1,5)</f>
        <v/>
      </c>
      <c r="N125" s="24">
        <f>$I$112*INDEX($C$93:$AL$93,1,6)</f>
        <v/>
      </c>
      <c r="O125" s="24">
        <f>$I$112*INDEX($C$93:$AL$93,1,7)</f>
        <v/>
      </c>
      <c r="P125" s="24">
        <f>$I$112*INDEX($C$93:$AL$93,1,8)</f>
        <v/>
      </c>
      <c r="Q125" s="24">
        <f>$I$112*INDEX($C$93:$AL$93,1,9)</f>
        <v/>
      </c>
      <c r="R125" s="24">
        <f>$I$112*INDEX($C$93:$AL$93,1,10)</f>
        <v/>
      </c>
      <c r="S125" s="24">
        <f>$I$112*INDEX($C$93:$AL$93,1,11)</f>
        <v/>
      </c>
      <c r="T125" s="24">
        <f>$I$112*INDEX($C$93:$AL$93,1,12)</f>
        <v/>
      </c>
      <c r="U125" s="24">
        <f>$I$112*INDEX($C$93:$AL$93,1,13)</f>
        <v/>
      </c>
      <c r="V125" s="24">
        <f>$I$112*INDEX($C$93:$AL$93,1,14)</f>
        <v/>
      </c>
      <c r="W125" s="24">
        <f>$I$112*INDEX($C$93:$AL$93,1,15)</f>
        <v/>
      </c>
      <c r="X125" s="24">
        <f>$I$112*INDEX($C$93:$AL$93,1,16)</f>
        <v/>
      </c>
      <c r="Y125" s="24">
        <f>$I$112*INDEX($C$93:$AL$93,1,17)</f>
        <v/>
      </c>
      <c r="Z125" s="24">
        <f>$I$112*INDEX($C$93:$AL$93,1,18)</f>
        <v/>
      </c>
      <c r="AA125" s="24">
        <f>$I$112*INDEX($C$93:$AL$93,1,19)</f>
        <v/>
      </c>
      <c r="AB125" s="24">
        <f>$I$112*INDEX($C$93:$AL$93,1,20)</f>
        <v/>
      </c>
      <c r="AC125" s="24">
        <f>$I$112*INDEX($C$93:$AL$93,1,21)</f>
        <v/>
      </c>
      <c r="AD125" s="24">
        <f>$I$112*INDEX($C$93:$AL$93,1,22)</f>
        <v/>
      </c>
      <c r="AE125" s="24">
        <f>$I$112*INDEX($C$93:$AL$93,1,23)</f>
        <v/>
      </c>
      <c r="AF125" s="24">
        <f>$I$112*INDEX($C$93:$AL$93,1,24)</f>
        <v/>
      </c>
    </row>
    <row r="126">
      <c r="A126" s="4" t="inlineStr">
        <is>
          <t>Coorte del mese 8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>
        <f>$J$112*INDEX($C$93:$AL$93,1,1)</f>
        <v/>
      </c>
      <c r="K126" s="24">
        <f>$J$112*INDEX($C$93:$AL$93,1,2)</f>
        <v/>
      </c>
      <c r="L126" s="24">
        <f>$J$112*INDEX($C$93:$AL$93,1,3)</f>
        <v/>
      </c>
      <c r="M126" s="24">
        <f>$J$112*INDEX($C$93:$AL$93,1,4)</f>
        <v/>
      </c>
      <c r="N126" s="24">
        <f>$J$112*INDEX($C$93:$AL$93,1,5)</f>
        <v/>
      </c>
      <c r="O126" s="24">
        <f>$J$112*INDEX($C$93:$AL$93,1,6)</f>
        <v/>
      </c>
      <c r="P126" s="24">
        <f>$J$112*INDEX($C$93:$AL$93,1,7)</f>
        <v/>
      </c>
      <c r="Q126" s="24">
        <f>$J$112*INDEX($C$93:$AL$93,1,8)</f>
        <v/>
      </c>
      <c r="R126" s="24">
        <f>$J$112*INDEX($C$93:$AL$93,1,9)</f>
        <v/>
      </c>
      <c r="S126" s="24">
        <f>$J$112*INDEX($C$93:$AL$93,1,10)</f>
        <v/>
      </c>
      <c r="T126" s="24">
        <f>$J$112*INDEX($C$93:$AL$93,1,11)</f>
        <v/>
      </c>
      <c r="U126" s="24">
        <f>$J$112*INDEX($C$93:$AL$93,1,12)</f>
        <v/>
      </c>
      <c r="V126" s="24">
        <f>$J$112*INDEX($C$93:$AL$93,1,13)</f>
        <v/>
      </c>
      <c r="W126" s="24">
        <f>$J$112*INDEX($C$93:$AL$93,1,14)</f>
        <v/>
      </c>
      <c r="X126" s="24">
        <f>$J$112*INDEX($C$93:$AL$93,1,15)</f>
        <v/>
      </c>
      <c r="Y126" s="24">
        <f>$J$112*INDEX($C$93:$AL$93,1,16)</f>
        <v/>
      </c>
      <c r="Z126" s="24">
        <f>$J$112*INDEX($C$93:$AL$93,1,17)</f>
        <v/>
      </c>
      <c r="AA126" s="24">
        <f>$J$112*INDEX($C$93:$AL$93,1,18)</f>
        <v/>
      </c>
      <c r="AB126" s="24">
        <f>$J$112*INDEX($C$93:$AL$93,1,19)</f>
        <v/>
      </c>
      <c r="AC126" s="24">
        <f>$J$112*INDEX($C$93:$AL$93,1,20)</f>
        <v/>
      </c>
      <c r="AD126" s="24">
        <f>$J$112*INDEX($C$93:$AL$93,1,21)</f>
        <v/>
      </c>
      <c r="AE126" s="24">
        <f>$J$112*INDEX($C$93:$AL$93,1,22)</f>
        <v/>
      </c>
      <c r="AF126" s="24">
        <f>$J$112*INDEX($C$93:$AL$93,1,23)</f>
        <v/>
      </c>
    </row>
    <row r="127">
      <c r="A127" s="4" t="inlineStr">
        <is>
          <t>Coorte del mese 9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>
        <f>$K$112*INDEX($C$93:$AL$93,1,1)</f>
        <v/>
      </c>
      <c r="L127" s="24">
        <f>$K$112*INDEX($C$93:$AL$93,1,2)</f>
        <v/>
      </c>
      <c r="M127" s="24">
        <f>$K$112*INDEX($C$93:$AL$93,1,3)</f>
        <v/>
      </c>
      <c r="N127" s="24">
        <f>$K$112*INDEX($C$93:$AL$93,1,4)</f>
        <v/>
      </c>
      <c r="O127" s="24">
        <f>$K$112*INDEX($C$93:$AL$93,1,5)</f>
        <v/>
      </c>
      <c r="P127" s="24">
        <f>$K$112*INDEX($C$93:$AL$93,1,6)</f>
        <v/>
      </c>
      <c r="Q127" s="24">
        <f>$K$112*INDEX($C$93:$AL$93,1,7)</f>
        <v/>
      </c>
      <c r="R127" s="24">
        <f>$K$112*INDEX($C$93:$AL$93,1,8)</f>
        <v/>
      </c>
      <c r="S127" s="24">
        <f>$K$112*INDEX($C$93:$AL$93,1,9)</f>
        <v/>
      </c>
      <c r="T127" s="24">
        <f>$K$112*INDEX($C$93:$AL$93,1,10)</f>
        <v/>
      </c>
      <c r="U127" s="24">
        <f>$K$112*INDEX($C$93:$AL$93,1,11)</f>
        <v/>
      </c>
      <c r="V127" s="24">
        <f>$K$112*INDEX($C$93:$AL$93,1,12)</f>
        <v/>
      </c>
      <c r="W127" s="24">
        <f>$K$112*INDEX($C$93:$AL$93,1,13)</f>
        <v/>
      </c>
      <c r="X127" s="24">
        <f>$K$112*INDEX($C$93:$AL$93,1,14)</f>
        <v/>
      </c>
      <c r="Y127" s="24">
        <f>$K$112*INDEX($C$93:$AL$93,1,15)</f>
        <v/>
      </c>
      <c r="Z127" s="24">
        <f>$K$112*INDEX($C$93:$AL$93,1,16)</f>
        <v/>
      </c>
      <c r="AA127" s="24">
        <f>$K$112*INDEX($C$93:$AL$93,1,17)</f>
        <v/>
      </c>
      <c r="AB127" s="24">
        <f>$K$112*INDEX($C$93:$AL$93,1,18)</f>
        <v/>
      </c>
      <c r="AC127" s="24">
        <f>$K$112*INDEX($C$93:$AL$93,1,19)</f>
        <v/>
      </c>
      <c r="AD127" s="24">
        <f>$K$112*INDEX($C$93:$AL$93,1,20)</f>
        <v/>
      </c>
      <c r="AE127" s="24">
        <f>$K$112*INDEX($C$93:$AL$93,1,21)</f>
        <v/>
      </c>
      <c r="AF127" s="24">
        <f>$K$112*INDEX($C$93:$AL$93,1,22)</f>
        <v/>
      </c>
    </row>
    <row r="128">
      <c r="A128" s="4" t="inlineStr">
        <is>
          <t>Coorte del mese 10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>
        <f>$L$112*INDEX($C$93:$AL$93,1,1)</f>
        <v/>
      </c>
      <c r="M128" s="24">
        <f>$L$112*INDEX($C$93:$AL$93,1,2)</f>
        <v/>
      </c>
      <c r="N128" s="24">
        <f>$L$112*INDEX($C$93:$AL$93,1,3)</f>
        <v/>
      </c>
      <c r="O128" s="24">
        <f>$L$112*INDEX($C$93:$AL$93,1,4)</f>
        <v/>
      </c>
      <c r="P128" s="24">
        <f>$L$112*INDEX($C$93:$AL$93,1,5)</f>
        <v/>
      </c>
      <c r="Q128" s="24">
        <f>$L$112*INDEX($C$93:$AL$93,1,6)</f>
        <v/>
      </c>
      <c r="R128" s="24">
        <f>$L$112*INDEX($C$93:$AL$93,1,7)</f>
        <v/>
      </c>
      <c r="S128" s="24">
        <f>$L$112*INDEX($C$93:$AL$93,1,8)</f>
        <v/>
      </c>
      <c r="T128" s="24">
        <f>$L$112*INDEX($C$93:$AL$93,1,9)</f>
        <v/>
      </c>
      <c r="U128" s="24">
        <f>$L$112*INDEX($C$93:$AL$93,1,10)</f>
        <v/>
      </c>
      <c r="V128" s="24">
        <f>$L$112*INDEX($C$93:$AL$93,1,11)</f>
        <v/>
      </c>
      <c r="W128" s="24">
        <f>$L$112*INDEX($C$93:$AL$93,1,12)</f>
        <v/>
      </c>
      <c r="X128" s="24">
        <f>$L$112*INDEX($C$93:$AL$93,1,13)</f>
        <v/>
      </c>
      <c r="Y128" s="24">
        <f>$L$112*INDEX($C$93:$AL$93,1,14)</f>
        <v/>
      </c>
      <c r="Z128" s="24">
        <f>$L$112*INDEX($C$93:$AL$93,1,15)</f>
        <v/>
      </c>
      <c r="AA128" s="24">
        <f>$L$112*INDEX($C$93:$AL$93,1,16)</f>
        <v/>
      </c>
      <c r="AB128" s="24">
        <f>$L$112*INDEX($C$93:$AL$93,1,17)</f>
        <v/>
      </c>
      <c r="AC128" s="24">
        <f>$L$112*INDEX($C$93:$AL$93,1,18)</f>
        <v/>
      </c>
      <c r="AD128" s="24">
        <f>$L$112*INDEX($C$93:$AL$93,1,19)</f>
        <v/>
      </c>
      <c r="AE128" s="24">
        <f>$L$112*INDEX($C$93:$AL$93,1,20)</f>
        <v/>
      </c>
      <c r="AF128" s="24">
        <f>$L$112*INDEX($C$93:$AL$93,1,21)</f>
        <v/>
      </c>
    </row>
    <row r="129">
      <c r="A129" s="4" t="inlineStr">
        <is>
          <t>Coorte del mese 11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>
        <f>$M$112*INDEX($C$93:$AL$93,1,1)</f>
        <v/>
      </c>
      <c r="N129" s="24">
        <f>$M$112*INDEX($C$93:$AL$93,1,2)</f>
        <v/>
      </c>
      <c r="O129" s="24">
        <f>$M$112*INDEX($C$93:$AL$93,1,3)</f>
        <v/>
      </c>
      <c r="P129" s="24">
        <f>$M$112*INDEX($C$93:$AL$93,1,4)</f>
        <v/>
      </c>
      <c r="Q129" s="24">
        <f>$M$112*INDEX($C$93:$AL$93,1,5)</f>
        <v/>
      </c>
      <c r="R129" s="24">
        <f>$M$112*INDEX($C$93:$AL$93,1,6)</f>
        <v/>
      </c>
      <c r="S129" s="24">
        <f>$M$112*INDEX($C$93:$AL$93,1,7)</f>
        <v/>
      </c>
      <c r="T129" s="24">
        <f>$M$112*INDEX($C$93:$AL$93,1,8)</f>
        <v/>
      </c>
      <c r="U129" s="24">
        <f>$M$112*INDEX($C$93:$AL$93,1,9)</f>
        <v/>
      </c>
      <c r="V129" s="24">
        <f>$M$112*INDEX($C$93:$AL$93,1,10)</f>
        <v/>
      </c>
      <c r="W129" s="24">
        <f>$M$112*INDEX($C$93:$AL$93,1,11)</f>
        <v/>
      </c>
      <c r="X129" s="24">
        <f>$M$112*INDEX($C$93:$AL$93,1,12)</f>
        <v/>
      </c>
      <c r="Y129" s="24">
        <f>$M$112*INDEX($C$93:$AL$93,1,13)</f>
        <v/>
      </c>
      <c r="Z129" s="24">
        <f>$M$112*INDEX($C$93:$AL$93,1,14)</f>
        <v/>
      </c>
      <c r="AA129" s="24">
        <f>$M$112*INDEX($C$93:$AL$93,1,15)</f>
        <v/>
      </c>
      <c r="AB129" s="24">
        <f>$M$112*INDEX($C$93:$AL$93,1,16)</f>
        <v/>
      </c>
      <c r="AC129" s="24">
        <f>$M$112*INDEX($C$93:$AL$93,1,17)</f>
        <v/>
      </c>
      <c r="AD129" s="24">
        <f>$M$112*INDEX($C$93:$AL$93,1,18)</f>
        <v/>
      </c>
      <c r="AE129" s="24">
        <f>$M$112*INDEX($C$93:$AL$93,1,19)</f>
        <v/>
      </c>
      <c r="AF129" s="24">
        <f>$M$112*INDEX($C$93:$AL$93,1,20)</f>
        <v/>
      </c>
    </row>
    <row r="130">
      <c r="A130" s="4" t="inlineStr">
        <is>
          <t>Coorte del mese 12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>
        <f>$N$112*INDEX($C$93:$AL$93,1,1)</f>
        <v/>
      </c>
      <c r="O130" s="24">
        <f>$N$112*INDEX($C$93:$AL$93,1,2)</f>
        <v/>
      </c>
      <c r="P130" s="24">
        <f>$N$112*INDEX($C$93:$AL$93,1,3)</f>
        <v/>
      </c>
      <c r="Q130" s="24">
        <f>$N$112*INDEX($C$93:$AL$93,1,4)</f>
        <v/>
      </c>
      <c r="R130" s="24">
        <f>$N$112*INDEX($C$93:$AL$93,1,5)</f>
        <v/>
      </c>
      <c r="S130" s="24">
        <f>$N$112*INDEX($C$93:$AL$93,1,6)</f>
        <v/>
      </c>
      <c r="T130" s="24">
        <f>$N$112*INDEX($C$93:$AL$93,1,7)</f>
        <v/>
      </c>
      <c r="U130" s="24">
        <f>$N$112*INDEX($C$93:$AL$93,1,8)</f>
        <v/>
      </c>
      <c r="V130" s="24">
        <f>$N$112*INDEX($C$93:$AL$93,1,9)</f>
        <v/>
      </c>
      <c r="W130" s="24">
        <f>$N$112*INDEX($C$93:$AL$93,1,10)</f>
        <v/>
      </c>
      <c r="X130" s="24">
        <f>$N$112*INDEX($C$93:$AL$93,1,11)</f>
        <v/>
      </c>
      <c r="Y130" s="24">
        <f>$N$112*INDEX($C$93:$AL$93,1,12)</f>
        <v/>
      </c>
      <c r="Z130" s="24">
        <f>$N$112*INDEX($C$93:$AL$93,1,13)</f>
        <v/>
      </c>
      <c r="AA130" s="24">
        <f>$N$112*INDEX($C$93:$AL$93,1,14)</f>
        <v/>
      </c>
      <c r="AB130" s="24">
        <f>$N$112*INDEX($C$93:$AL$93,1,15)</f>
        <v/>
      </c>
      <c r="AC130" s="24">
        <f>$N$112*INDEX($C$93:$AL$93,1,16)</f>
        <v/>
      </c>
      <c r="AD130" s="24">
        <f>$N$112*INDEX($C$93:$AL$93,1,17)</f>
        <v/>
      </c>
      <c r="AE130" s="24">
        <f>$N$112*INDEX($C$93:$AL$93,1,18)</f>
        <v/>
      </c>
      <c r="AF130" s="24">
        <f>$N$112*INDEX($C$93:$AL$93,1,19)</f>
        <v/>
      </c>
    </row>
    <row r="131">
      <c r="A131" s="4" t="inlineStr">
        <is>
          <t>Coorte del mese 13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>
        <f>$O$112*INDEX($C$93:$AL$93,1,1)</f>
        <v/>
      </c>
      <c r="P131" s="24">
        <f>$O$112*INDEX($C$93:$AL$93,1,2)</f>
        <v/>
      </c>
      <c r="Q131" s="24">
        <f>$O$112*INDEX($C$93:$AL$93,1,3)</f>
        <v/>
      </c>
      <c r="R131" s="24">
        <f>$O$112*INDEX($C$93:$AL$93,1,4)</f>
        <v/>
      </c>
      <c r="S131" s="24">
        <f>$O$112*INDEX($C$93:$AL$93,1,5)</f>
        <v/>
      </c>
      <c r="T131" s="24">
        <f>$O$112*INDEX($C$93:$AL$93,1,6)</f>
        <v/>
      </c>
      <c r="U131" s="24">
        <f>$O$112*INDEX($C$93:$AL$93,1,7)</f>
        <v/>
      </c>
      <c r="V131" s="24">
        <f>$O$112*INDEX($C$93:$AL$93,1,8)</f>
        <v/>
      </c>
      <c r="W131" s="24">
        <f>$O$112*INDEX($C$93:$AL$93,1,9)</f>
        <v/>
      </c>
      <c r="X131" s="24">
        <f>$O$112*INDEX($C$93:$AL$93,1,10)</f>
        <v/>
      </c>
      <c r="Y131" s="24">
        <f>$O$112*INDEX($C$93:$AL$93,1,11)</f>
        <v/>
      </c>
      <c r="Z131" s="24">
        <f>$O$112*INDEX($C$93:$AL$93,1,12)</f>
        <v/>
      </c>
      <c r="AA131" s="24">
        <f>$O$112*INDEX($C$93:$AL$93,1,13)</f>
        <v/>
      </c>
      <c r="AB131" s="24">
        <f>$O$112*INDEX($C$93:$AL$93,1,14)</f>
        <v/>
      </c>
      <c r="AC131" s="24">
        <f>$O$112*INDEX($C$93:$AL$93,1,15)</f>
        <v/>
      </c>
      <c r="AD131" s="24">
        <f>$O$112*INDEX($C$93:$AL$93,1,16)</f>
        <v/>
      </c>
      <c r="AE131" s="24">
        <f>$O$112*INDEX($C$93:$AL$93,1,17)</f>
        <v/>
      </c>
      <c r="AF131" s="24">
        <f>$O$112*INDEX($C$93:$AL$93,1,18)</f>
        <v/>
      </c>
    </row>
    <row r="132">
      <c r="A132" s="4" t="inlineStr">
        <is>
          <t>Coorte del mese 14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>
        <f>$P$112*INDEX($C$93:$AL$93,1,1)</f>
        <v/>
      </c>
      <c r="Q132" s="24">
        <f>$P$112*INDEX($C$93:$AL$93,1,2)</f>
        <v/>
      </c>
      <c r="R132" s="24">
        <f>$P$112*INDEX($C$93:$AL$93,1,3)</f>
        <v/>
      </c>
      <c r="S132" s="24">
        <f>$P$112*INDEX($C$93:$AL$93,1,4)</f>
        <v/>
      </c>
      <c r="T132" s="24">
        <f>$P$112*INDEX($C$93:$AL$93,1,5)</f>
        <v/>
      </c>
      <c r="U132" s="24">
        <f>$P$112*INDEX($C$93:$AL$93,1,6)</f>
        <v/>
      </c>
      <c r="V132" s="24">
        <f>$P$112*INDEX($C$93:$AL$93,1,7)</f>
        <v/>
      </c>
      <c r="W132" s="24">
        <f>$P$112*INDEX($C$93:$AL$93,1,8)</f>
        <v/>
      </c>
      <c r="X132" s="24">
        <f>$P$112*INDEX($C$93:$AL$93,1,9)</f>
        <v/>
      </c>
      <c r="Y132" s="24">
        <f>$P$112*INDEX($C$93:$AL$93,1,10)</f>
        <v/>
      </c>
      <c r="Z132" s="24">
        <f>$P$112*INDEX($C$93:$AL$93,1,11)</f>
        <v/>
      </c>
      <c r="AA132" s="24">
        <f>$P$112*INDEX($C$93:$AL$93,1,12)</f>
        <v/>
      </c>
      <c r="AB132" s="24">
        <f>$P$112*INDEX($C$93:$AL$93,1,13)</f>
        <v/>
      </c>
      <c r="AC132" s="24">
        <f>$P$112*INDEX($C$93:$AL$93,1,14)</f>
        <v/>
      </c>
      <c r="AD132" s="24">
        <f>$P$112*INDEX($C$93:$AL$93,1,15)</f>
        <v/>
      </c>
      <c r="AE132" s="24">
        <f>$P$112*INDEX($C$93:$AL$93,1,16)</f>
        <v/>
      </c>
      <c r="AF132" s="24">
        <f>$P$112*INDEX($C$93:$AL$93,1,17)</f>
        <v/>
      </c>
    </row>
    <row r="133">
      <c r="A133" s="4" t="inlineStr">
        <is>
          <t>Coorte del mese 15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>
        <f>$Q$112*INDEX($C$93:$AL$93,1,1)</f>
        <v/>
      </c>
      <c r="R133" s="24">
        <f>$Q$112*INDEX($C$93:$AL$93,1,2)</f>
        <v/>
      </c>
      <c r="S133" s="24">
        <f>$Q$112*INDEX($C$93:$AL$93,1,3)</f>
        <v/>
      </c>
      <c r="T133" s="24">
        <f>$Q$112*INDEX($C$93:$AL$93,1,4)</f>
        <v/>
      </c>
      <c r="U133" s="24">
        <f>$Q$112*INDEX($C$93:$AL$93,1,5)</f>
        <v/>
      </c>
      <c r="V133" s="24">
        <f>$Q$112*INDEX($C$93:$AL$93,1,6)</f>
        <v/>
      </c>
      <c r="W133" s="24">
        <f>$Q$112*INDEX($C$93:$AL$93,1,7)</f>
        <v/>
      </c>
      <c r="X133" s="24">
        <f>$Q$112*INDEX($C$93:$AL$93,1,8)</f>
        <v/>
      </c>
      <c r="Y133" s="24">
        <f>$Q$112*INDEX($C$93:$AL$93,1,9)</f>
        <v/>
      </c>
      <c r="Z133" s="24">
        <f>$Q$112*INDEX($C$93:$AL$93,1,10)</f>
        <v/>
      </c>
      <c r="AA133" s="24">
        <f>$Q$112*INDEX($C$93:$AL$93,1,11)</f>
        <v/>
      </c>
      <c r="AB133" s="24">
        <f>$Q$112*INDEX($C$93:$AL$93,1,12)</f>
        <v/>
      </c>
      <c r="AC133" s="24">
        <f>$Q$112*INDEX($C$93:$AL$93,1,13)</f>
        <v/>
      </c>
      <c r="AD133" s="24">
        <f>$Q$112*INDEX($C$93:$AL$93,1,14)</f>
        <v/>
      </c>
      <c r="AE133" s="24">
        <f>$Q$112*INDEX($C$93:$AL$93,1,15)</f>
        <v/>
      </c>
      <c r="AF133" s="24">
        <f>$Q$112*INDEX($C$93:$AL$93,1,16)</f>
        <v/>
      </c>
    </row>
    <row r="134">
      <c r="A134" s="4" t="inlineStr">
        <is>
          <t>Coorte del mese 16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>
        <f>$R$112*INDEX($C$93:$AL$93,1,1)</f>
        <v/>
      </c>
      <c r="S134" s="24">
        <f>$R$112*INDEX($C$93:$AL$93,1,2)</f>
        <v/>
      </c>
      <c r="T134" s="24">
        <f>$R$112*INDEX($C$93:$AL$93,1,3)</f>
        <v/>
      </c>
      <c r="U134" s="24">
        <f>$R$112*INDEX($C$93:$AL$93,1,4)</f>
        <v/>
      </c>
      <c r="V134" s="24">
        <f>$R$112*INDEX($C$93:$AL$93,1,5)</f>
        <v/>
      </c>
      <c r="W134" s="24">
        <f>$R$112*INDEX($C$93:$AL$93,1,6)</f>
        <v/>
      </c>
      <c r="X134" s="24">
        <f>$R$112*INDEX($C$93:$AL$93,1,7)</f>
        <v/>
      </c>
      <c r="Y134" s="24">
        <f>$R$112*INDEX($C$93:$AL$93,1,8)</f>
        <v/>
      </c>
      <c r="Z134" s="24">
        <f>$R$112*INDEX($C$93:$AL$93,1,9)</f>
        <v/>
      </c>
      <c r="AA134" s="24">
        <f>$R$112*INDEX($C$93:$AL$93,1,10)</f>
        <v/>
      </c>
      <c r="AB134" s="24">
        <f>$R$112*INDEX($C$93:$AL$93,1,11)</f>
        <v/>
      </c>
      <c r="AC134" s="24">
        <f>$R$112*INDEX($C$93:$AL$93,1,12)</f>
        <v/>
      </c>
      <c r="AD134" s="24">
        <f>$R$112*INDEX($C$93:$AL$93,1,13)</f>
        <v/>
      </c>
      <c r="AE134" s="24">
        <f>$R$112*INDEX($C$93:$AL$93,1,14)</f>
        <v/>
      </c>
      <c r="AF134" s="24">
        <f>$R$112*INDEX($C$93:$AL$93,1,15)</f>
        <v/>
      </c>
    </row>
    <row r="135">
      <c r="A135" s="4" t="inlineStr">
        <is>
          <t>Coorte del mese 17</t>
        </is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>
        <f>$S$112*INDEX($C$93:$AL$93,1,1)</f>
        <v/>
      </c>
      <c r="T135" s="24">
        <f>$S$112*INDEX($C$93:$AL$93,1,2)</f>
        <v/>
      </c>
      <c r="U135" s="24">
        <f>$S$112*INDEX($C$93:$AL$93,1,3)</f>
        <v/>
      </c>
      <c r="V135" s="24">
        <f>$S$112*INDEX($C$93:$AL$93,1,4)</f>
        <v/>
      </c>
      <c r="W135" s="24">
        <f>$S$112*INDEX($C$93:$AL$93,1,5)</f>
        <v/>
      </c>
      <c r="X135" s="24">
        <f>$S$112*INDEX($C$93:$AL$93,1,6)</f>
        <v/>
      </c>
      <c r="Y135" s="24">
        <f>$S$112*INDEX($C$93:$AL$93,1,7)</f>
        <v/>
      </c>
      <c r="Z135" s="24">
        <f>$S$112*INDEX($C$93:$AL$93,1,8)</f>
        <v/>
      </c>
      <c r="AA135" s="24">
        <f>$S$112*INDEX($C$93:$AL$93,1,9)</f>
        <v/>
      </c>
      <c r="AB135" s="24">
        <f>$S$112*INDEX($C$93:$AL$93,1,10)</f>
        <v/>
      </c>
      <c r="AC135" s="24">
        <f>$S$112*INDEX($C$93:$AL$93,1,11)</f>
        <v/>
      </c>
      <c r="AD135" s="24">
        <f>$S$112*INDEX($C$93:$AL$93,1,12)</f>
        <v/>
      </c>
      <c r="AE135" s="24">
        <f>$S$112*INDEX($C$93:$AL$93,1,13)</f>
        <v/>
      </c>
      <c r="AF135" s="24">
        <f>$S$112*INDEX($C$93:$AL$93,1,14)</f>
        <v/>
      </c>
    </row>
    <row r="136">
      <c r="A136" s="4" t="inlineStr">
        <is>
          <t>Coorte del mese 18</t>
        </is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>
        <f>$T$112*INDEX($C$93:$AL$93,1,1)</f>
        <v/>
      </c>
      <c r="U136" s="24">
        <f>$T$112*INDEX($C$93:$AL$93,1,2)</f>
        <v/>
      </c>
      <c r="V136" s="24">
        <f>$T$112*INDEX($C$93:$AL$93,1,3)</f>
        <v/>
      </c>
      <c r="W136" s="24">
        <f>$T$112*INDEX($C$93:$AL$93,1,4)</f>
        <v/>
      </c>
      <c r="X136" s="24">
        <f>$T$112*INDEX($C$93:$AL$93,1,5)</f>
        <v/>
      </c>
      <c r="Y136" s="24">
        <f>$T$112*INDEX($C$93:$AL$93,1,6)</f>
        <v/>
      </c>
      <c r="Z136" s="24">
        <f>$T$112*INDEX($C$93:$AL$93,1,7)</f>
        <v/>
      </c>
      <c r="AA136" s="24">
        <f>$T$112*INDEX($C$93:$AL$93,1,8)</f>
        <v/>
      </c>
      <c r="AB136" s="24">
        <f>$T$112*INDEX($C$93:$AL$93,1,9)</f>
        <v/>
      </c>
      <c r="AC136" s="24">
        <f>$T$112*INDEX($C$93:$AL$93,1,10)</f>
        <v/>
      </c>
      <c r="AD136" s="24">
        <f>$T$112*INDEX($C$93:$AL$93,1,11)</f>
        <v/>
      </c>
      <c r="AE136" s="24">
        <f>$T$112*INDEX($C$93:$AL$93,1,12)</f>
        <v/>
      </c>
      <c r="AF136" s="24">
        <f>$T$112*INDEX($C$93:$AL$93,1,13)</f>
        <v/>
      </c>
    </row>
    <row r="137">
      <c r="A137" s="4" t="inlineStr">
        <is>
          <t>Coorte del mese 19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>
        <f>$U$112*INDEX($C$93:$AL$93,1,1)</f>
        <v/>
      </c>
      <c r="V137" s="24">
        <f>$U$112*INDEX($C$93:$AL$93,1,2)</f>
        <v/>
      </c>
      <c r="W137" s="24">
        <f>$U$112*INDEX($C$93:$AL$93,1,3)</f>
        <v/>
      </c>
      <c r="X137" s="24">
        <f>$U$112*INDEX($C$93:$AL$93,1,4)</f>
        <v/>
      </c>
      <c r="Y137" s="24">
        <f>$U$112*INDEX($C$93:$AL$93,1,5)</f>
        <v/>
      </c>
      <c r="Z137" s="24">
        <f>$U$112*INDEX($C$93:$AL$93,1,6)</f>
        <v/>
      </c>
      <c r="AA137" s="24">
        <f>$U$112*INDEX($C$93:$AL$93,1,7)</f>
        <v/>
      </c>
      <c r="AB137" s="24">
        <f>$U$112*INDEX($C$93:$AL$93,1,8)</f>
        <v/>
      </c>
      <c r="AC137" s="24">
        <f>$U$112*INDEX($C$93:$AL$93,1,9)</f>
        <v/>
      </c>
      <c r="AD137" s="24">
        <f>$U$112*INDEX($C$93:$AL$93,1,10)</f>
        <v/>
      </c>
      <c r="AE137" s="24">
        <f>$U$112*INDEX($C$93:$AL$93,1,11)</f>
        <v/>
      </c>
      <c r="AF137" s="24">
        <f>$U$112*INDEX($C$93:$AL$93,1,12)</f>
        <v/>
      </c>
    </row>
    <row r="138">
      <c r="A138" s="4" t="inlineStr">
        <is>
          <t>Coorte del mese 20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>
        <f>$V$112*INDEX($C$93:$AL$93,1,1)</f>
        <v/>
      </c>
      <c r="W138" s="24">
        <f>$V$112*INDEX($C$93:$AL$93,1,2)</f>
        <v/>
      </c>
      <c r="X138" s="24">
        <f>$V$112*INDEX($C$93:$AL$93,1,3)</f>
        <v/>
      </c>
      <c r="Y138" s="24">
        <f>$V$112*INDEX($C$93:$AL$93,1,4)</f>
        <v/>
      </c>
      <c r="Z138" s="24">
        <f>$V$112*INDEX($C$93:$AL$93,1,5)</f>
        <v/>
      </c>
      <c r="AA138" s="24">
        <f>$V$112*INDEX($C$93:$AL$93,1,6)</f>
        <v/>
      </c>
      <c r="AB138" s="24">
        <f>$V$112*INDEX($C$93:$AL$93,1,7)</f>
        <v/>
      </c>
      <c r="AC138" s="24">
        <f>$V$112*INDEX($C$93:$AL$93,1,8)</f>
        <v/>
      </c>
      <c r="AD138" s="24">
        <f>$V$112*INDEX($C$93:$AL$93,1,9)</f>
        <v/>
      </c>
      <c r="AE138" s="24">
        <f>$V$112*INDEX($C$93:$AL$93,1,10)</f>
        <v/>
      </c>
      <c r="AF138" s="24">
        <f>$V$112*INDEX($C$93:$AL$93,1,11)</f>
        <v/>
      </c>
    </row>
    <row r="139">
      <c r="A139" s="4" t="inlineStr">
        <is>
          <t>Coorte del mese 21</t>
        </is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>
        <f>$W$112*INDEX($C$93:$AL$93,1,1)</f>
        <v/>
      </c>
      <c r="X139" s="24">
        <f>$W$112*INDEX($C$93:$AL$93,1,2)</f>
        <v/>
      </c>
      <c r="Y139" s="24">
        <f>$W$112*INDEX($C$93:$AL$93,1,3)</f>
        <v/>
      </c>
      <c r="Z139" s="24">
        <f>$W$112*INDEX($C$93:$AL$93,1,4)</f>
        <v/>
      </c>
      <c r="AA139" s="24">
        <f>$W$112*INDEX($C$93:$AL$93,1,5)</f>
        <v/>
      </c>
      <c r="AB139" s="24">
        <f>$W$112*INDEX($C$93:$AL$93,1,6)</f>
        <v/>
      </c>
      <c r="AC139" s="24">
        <f>$W$112*INDEX($C$93:$AL$93,1,7)</f>
        <v/>
      </c>
      <c r="AD139" s="24">
        <f>$W$112*INDEX($C$93:$AL$93,1,8)</f>
        <v/>
      </c>
      <c r="AE139" s="24">
        <f>$W$112*INDEX($C$93:$AL$93,1,9)</f>
        <v/>
      </c>
      <c r="AF139" s="24">
        <f>$W$112*INDEX($C$93:$AL$93,1,10)</f>
        <v/>
      </c>
    </row>
    <row r="140">
      <c r="A140" s="4" t="inlineStr">
        <is>
          <t>Coorte del mese 22</t>
        </is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>
        <f>$X$112*INDEX($C$93:$AL$93,1,1)</f>
        <v/>
      </c>
      <c r="Y140" s="24">
        <f>$X$112*INDEX($C$93:$AL$93,1,2)</f>
        <v/>
      </c>
      <c r="Z140" s="24">
        <f>$X$112*INDEX($C$93:$AL$93,1,3)</f>
        <v/>
      </c>
      <c r="AA140" s="24">
        <f>$X$112*INDEX($C$93:$AL$93,1,4)</f>
        <v/>
      </c>
      <c r="AB140" s="24">
        <f>$X$112*INDEX($C$93:$AL$93,1,5)</f>
        <v/>
      </c>
      <c r="AC140" s="24">
        <f>$X$112*INDEX($C$93:$AL$93,1,6)</f>
        <v/>
      </c>
      <c r="AD140" s="24">
        <f>$X$112*INDEX($C$93:$AL$93,1,7)</f>
        <v/>
      </c>
      <c r="AE140" s="24">
        <f>$X$112*INDEX($C$93:$AL$93,1,8)</f>
        <v/>
      </c>
      <c r="AF140" s="24">
        <f>$X$112*INDEX($C$93:$AL$93,1,9)</f>
        <v/>
      </c>
    </row>
    <row r="141">
      <c r="A141" s="4" t="inlineStr">
        <is>
          <t>Coorte del mese 23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4">
        <f>$Y$112*INDEX($C$93:$AL$93,1,1)</f>
        <v/>
      </c>
      <c r="Z141" s="24">
        <f>$Y$112*INDEX($C$93:$AL$93,1,2)</f>
        <v/>
      </c>
      <c r="AA141" s="24">
        <f>$Y$112*INDEX($C$93:$AL$93,1,3)</f>
        <v/>
      </c>
      <c r="AB141" s="24">
        <f>$Y$112*INDEX($C$93:$AL$93,1,4)</f>
        <v/>
      </c>
      <c r="AC141" s="24">
        <f>$Y$112*INDEX($C$93:$AL$93,1,5)</f>
        <v/>
      </c>
      <c r="AD141" s="24">
        <f>$Y$112*INDEX($C$93:$AL$93,1,6)</f>
        <v/>
      </c>
      <c r="AE141" s="24">
        <f>$Y$112*INDEX($C$93:$AL$93,1,7)</f>
        <v/>
      </c>
      <c r="AF141" s="24">
        <f>$Y$112*INDEX($C$93:$AL$93,1,8)</f>
        <v/>
      </c>
    </row>
    <row r="142">
      <c r="A142" s="4" t="inlineStr">
        <is>
          <t>Coorte del mese 24</t>
        </is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>
        <f>$Z$112*INDEX($C$93:$AL$93,1,1)</f>
        <v/>
      </c>
      <c r="AA142" s="24">
        <f>$Z$112*INDEX($C$93:$AL$93,1,2)</f>
        <v/>
      </c>
      <c r="AB142" s="24">
        <f>$Z$112*INDEX($C$93:$AL$93,1,3)</f>
        <v/>
      </c>
      <c r="AC142" s="24">
        <f>$Z$112*INDEX($C$93:$AL$93,1,4)</f>
        <v/>
      </c>
      <c r="AD142" s="24">
        <f>$Z$112*INDEX($C$93:$AL$93,1,5)</f>
        <v/>
      </c>
      <c r="AE142" s="24">
        <f>$Z$112*INDEX($C$93:$AL$93,1,6)</f>
        <v/>
      </c>
      <c r="AF142" s="24">
        <f>$Z$112*INDEX($C$93:$AL$93,1,7)</f>
        <v/>
      </c>
    </row>
    <row r="143">
      <c r="A143" s="4" t="inlineStr">
        <is>
          <t>Coorte del mese 25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>
        <f>$AA$112*INDEX($C$93:$AL$93,1,1)</f>
        <v/>
      </c>
      <c r="AB143" s="24">
        <f>$AA$112*INDEX($C$93:$AL$93,1,2)</f>
        <v/>
      </c>
      <c r="AC143" s="24">
        <f>$AA$112*INDEX($C$93:$AL$93,1,3)</f>
        <v/>
      </c>
      <c r="AD143" s="24">
        <f>$AA$112*INDEX($C$93:$AL$93,1,4)</f>
        <v/>
      </c>
      <c r="AE143" s="24">
        <f>$AA$112*INDEX($C$93:$AL$93,1,5)</f>
        <v/>
      </c>
      <c r="AF143" s="24">
        <f>$AA$112*INDEX($C$93:$AL$93,1,6)</f>
        <v/>
      </c>
    </row>
    <row r="144">
      <c r="A144" s="4" t="inlineStr">
        <is>
          <t>Coorte del mese 26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>
        <f>$AB$112*INDEX($C$93:$AL$93,1,1)</f>
        <v/>
      </c>
      <c r="AC144" s="24">
        <f>$AB$112*INDEX($C$93:$AL$93,1,2)</f>
        <v/>
      </c>
      <c r="AD144" s="24">
        <f>$AB$112*INDEX($C$93:$AL$93,1,3)</f>
        <v/>
      </c>
      <c r="AE144" s="24">
        <f>$AB$112*INDEX($C$93:$AL$93,1,4)</f>
        <v/>
      </c>
      <c r="AF144" s="24">
        <f>$AB$112*INDEX($C$93:$AL$93,1,5)</f>
        <v/>
      </c>
    </row>
    <row r="145">
      <c r="A145" s="4" t="inlineStr">
        <is>
          <t>Coorte del mese 27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4" t="n">
        <v>0</v>
      </c>
      <c r="Z145" s="24" t="n">
        <v>0</v>
      </c>
      <c r="AA145" s="24" t="n">
        <v>0</v>
      </c>
      <c r="AB145" s="24" t="n">
        <v>0</v>
      </c>
      <c r="AC145" s="24">
        <f>$AC$112*INDEX($C$93:$AL$93,1,1)</f>
        <v/>
      </c>
      <c r="AD145" s="24">
        <f>$AC$112*INDEX($C$93:$AL$93,1,2)</f>
        <v/>
      </c>
      <c r="AE145" s="24">
        <f>$AC$112*INDEX($C$93:$AL$93,1,3)</f>
        <v/>
      </c>
      <c r="AF145" s="24">
        <f>$AC$112*INDEX($C$93:$AL$93,1,4)</f>
        <v/>
      </c>
    </row>
    <row r="146">
      <c r="A146" s="4" t="inlineStr">
        <is>
          <t>Coorte del mese 28</t>
        </is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>
        <f>$AD$112*INDEX($C$93:$AL$93,1,1)</f>
        <v/>
      </c>
      <c r="AE146" s="24">
        <f>$AD$112*INDEX($C$93:$AL$93,1,2)</f>
        <v/>
      </c>
      <c r="AF146" s="24">
        <f>$AD$112*INDEX($C$93:$AL$93,1,3)</f>
        <v/>
      </c>
    </row>
    <row r="147">
      <c r="A147" s="4" t="inlineStr">
        <is>
          <t>Coorte del mese 29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>
        <f>$AE$112*INDEX($C$93:$AL$93,1,1)</f>
        <v/>
      </c>
      <c r="AF147" s="24">
        <f>$AE$112*INDEX($C$93:$AL$93,1,2)</f>
        <v/>
      </c>
    </row>
    <row r="148">
      <c r="A148" s="4" t="inlineStr">
        <is>
          <t>Coorte del mese 30</t>
        </is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>
        <f>$AF$112*INDEX($C$93:$AL$93,1,1)</f>
        <v/>
      </c>
    </row>
    <row r="149">
      <c r="A149" s="3" t="inlineStr">
        <is>
          <t>Totale percorso 6: ordini</t>
        </is>
      </c>
      <c r="C149" s="25">
        <f>SUM(C119:C148)</f>
        <v/>
      </c>
      <c r="D149" s="25">
        <f>SUM(D119:D148)</f>
        <v/>
      </c>
      <c r="E149" s="25">
        <f>SUM(E119:E148)</f>
        <v/>
      </c>
      <c r="F149" s="25">
        <f>SUM(F119:F148)</f>
        <v/>
      </c>
      <c r="G149" s="25">
        <f>SUM(G119:G148)</f>
        <v/>
      </c>
      <c r="H149" s="25">
        <f>SUM(H119:H148)</f>
        <v/>
      </c>
      <c r="I149" s="25">
        <f>SUM(I119:I148)</f>
        <v/>
      </c>
      <c r="J149" s="25">
        <f>SUM(J119:J148)</f>
        <v/>
      </c>
      <c r="K149" s="25">
        <f>SUM(K119:K148)</f>
        <v/>
      </c>
      <c r="L149" s="25">
        <f>SUM(L119:L148)</f>
        <v/>
      </c>
      <c r="M149" s="25">
        <f>SUM(M119:M148)</f>
        <v/>
      </c>
      <c r="N149" s="25">
        <f>SUM(N119:N148)</f>
        <v/>
      </c>
      <c r="O149" s="25">
        <f>SUM(O119:O148)</f>
        <v/>
      </c>
      <c r="P149" s="25">
        <f>SUM(P119:P148)</f>
        <v/>
      </c>
      <c r="Q149" s="25">
        <f>SUM(Q119:Q148)</f>
        <v/>
      </c>
      <c r="R149" s="25">
        <f>SUM(R119:R148)</f>
        <v/>
      </c>
      <c r="S149" s="25">
        <f>SUM(S119:S148)</f>
        <v/>
      </c>
      <c r="T149" s="25">
        <f>SUM(T119:T148)</f>
        <v/>
      </c>
      <c r="U149" s="25">
        <f>SUM(U119:U148)</f>
        <v/>
      </c>
      <c r="V149" s="25">
        <f>SUM(V119:V148)</f>
        <v/>
      </c>
      <c r="W149" s="25">
        <f>SUM(W119:W148)</f>
        <v/>
      </c>
      <c r="X149" s="25">
        <f>SUM(X119:X148)</f>
        <v/>
      </c>
      <c r="Y149" s="25">
        <f>SUM(Y119:Y148)</f>
        <v/>
      </c>
      <c r="Z149" s="25">
        <f>SUM(Z119:Z148)</f>
        <v/>
      </c>
      <c r="AA149" s="25">
        <f>SUM(AA119:AA148)</f>
        <v/>
      </c>
      <c r="AB149" s="25">
        <f>SUM(AB119:AB148)</f>
        <v/>
      </c>
      <c r="AC149" s="25">
        <f>SUM(AC119:AC148)</f>
        <v/>
      </c>
      <c r="AD149" s="25">
        <f>SUM(AD119:AD148)</f>
        <v/>
      </c>
      <c r="AE149" s="25">
        <f>SUM(AE119:AE148)</f>
        <v/>
      </c>
      <c r="AF149" s="25">
        <f>SUM(AF119:AF148)</f>
        <v/>
      </c>
    </row>
    <row r="151">
      <c r="A151" s="10" t="inlineStr">
        <is>
          <t>Percorso 6: rimborsi per coorte (righe = mese di acquisizione, colonne = mese di calendario)</t>
        </is>
      </c>
    </row>
    <row r="152">
      <c r="A152" s="4" t="inlineStr">
        <is>
          <t>Coorte del mese 1</t>
        </is>
      </c>
      <c r="C152" s="24">
        <f>$C$112*INDEX($C$94:$AL$94,1,1)</f>
        <v/>
      </c>
      <c r="D152" s="24">
        <f>$C$112*INDEX($C$94:$AL$94,1,2)</f>
        <v/>
      </c>
      <c r="E152" s="24">
        <f>$C$112*INDEX($C$94:$AL$94,1,3)</f>
        <v/>
      </c>
      <c r="F152" s="24">
        <f>$C$112*INDEX($C$94:$AL$94,1,4)</f>
        <v/>
      </c>
      <c r="G152" s="24">
        <f>$C$112*INDEX($C$94:$AL$94,1,5)</f>
        <v/>
      </c>
      <c r="H152" s="24">
        <f>$C$112*INDEX($C$94:$AL$94,1,6)</f>
        <v/>
      </c>
      <c r="I152" s="24">
        <f>$C$112*INDEX($C$94:$AL$94,1,7)</f>
        <v/>
      </c>
      <c r="J152" s="24">
        <f>$C$112*INDEX($C$94:$AL$94,1,8)</f>
        <v/>
      </c>
      <c r="K152" s="24">
        <f>$C$112*INDEX($C$94:$AL$94,1,9)</f>
        <v/>
      </c>
      <c r="L152" s="24">
        <f>$C$112*INDEX($C$94:$AL$94,1,10)</f>
        <v/>
      </c>
      <c r="M152" s="24">
        <f>$C$112*INDEX($C$94:$AL$94,1,11)</f>
        <v/>
      </c>
      <c r="N152" s="24">
        <f>$C$112*INDEX($C$94:$AL$94,1,12)</f>
        <v/>
      </c>
      <c r="O152" s="24">
        <f>$C$112*INDEX($C$94:$AL$94,1,13)</f>
        <v/>
      </c>
      <c r="P152" s="24">
        <f>$C$112*INDEX($C$94:$AL$94,1,14)</f>
        <v/>
      </c>
      <c r="Q152" s="24">
        <f>$C$112*INDEX($C$94:$AL$94,1,15)</f>
        <v/>
      </c>
      <c r="R152" s="24">
        <f>$C$112*INDEX($C$94:$AL$94,1,16)</f>
        <v/>
      </c>
      <c r="S152" s="24">
        <f>$C$112*INDEX($C$94:$AL$94,1,17)</f>
        <v/>
      </c>
      <c r="T152" s="24">
        <f>$C$112*INDEX($C$94:$AL$94,1,18)</f>
        <v/>
      </c>
      <c r="U152" s="24">
        <f>$C$112*INDEX($C$94:$AL$94,1,19)</f>
        <v/>
      </c>
      <c r="V152" s="24">
        <f>$C$112*INDEX($C$94:$AL$94,1,20)</f>
        <v/>
      </c>
      <c r="W152" s="24">
        <f>$C$112*INDEX($C$94:$AL$94,1,21)</f>
        <v/>
      </c>
      <c r="X152" s="24">
        <f>$C$112*INDEX($C$94:$AL$94,1,22)</f>
        <v/>
      </c>
      <c r="Y152" s="24">
        <f>$C$112*INDEX($C$94:$AL$94,1,23)</f>
        <v/>
      </c>
      <c r="Z152" s="24">
        <f>$C$112*INDEX($C$94:$AL$94,1,24)</f>
        <v/>
      </c>
      <c r="AA152" s="24">
        <f>$C$112*INDEX($C$94:$AL$94,1,25)</f>
        <v/>
      </c>
      <c r="AB152" s="24">
        <f>$C$112*INDEX($C$94:$AL$94,1,26)</f>
        <v/>
      </c>
      <c r="AC152" s="24">
        <f>$C$112*INDEX($C$94:$AL$94,1,27)</f>
        <v/>
      </c>
      <c r="AD152" s="24">
        <f>$C$112*INDEX($C$94:$AL$94,1,28)</f>
        <v/>
      </c>
      <c r="AE152" s="24">
        <f>$C$112*INDEX($C$94:$AL$94,1,29)</f>
        <v/>
      </c>
      <c r="AF152" s="24">
        <f>$C$112*INDEX($C$94:$AL$94,1,30)</f>
        <v/>
      </c>
    </row>
    <row r="153">
      <c r="A153" s="4" t="inlineStr">
        <is>
          <t>Coorte del mese 2</t>
        </is>
      </c>
      <c r="C153" s="24" t="n">
        <v>0</v>
      </c>
      <c r="D153" s="24">
        <f>$D$112*INDEX($C$94:$AL$94,1,1)</f>
        <v/>
      </c>
      <c r="E153" s="24">
        <f>$D$112*INDEX($C$94:$AL$94,1,2)</f>
        <v/>
      </c>
      <c r="F153" s="24">
        <f>$D$112*INDEX($C$94:$AL$94,1,3)</f>
        <v/>
      </c>
      <c r="G153" s="24">
        <f>$D$112*INDEX($C$94:$AL$94,1,4)</f>
        <v/>
      </c>
      <c r="H153" s="24">
        <f>$D$112*INDEX($C$94:$AL$94,1,5)</f>
        <v/>
      </c>
      <c r="I153" s="24">
        <f>$D$112*INDEX($C$94:$AL$94,1,6)</f>
        <v/>
      </c>
      <c r="J153" s="24">
        <f>$D$112*INDEX($C$94:$AL$94,1,7)</f>
        <v/>
      </c>
      <c r="K153" s="24">
        <f>$D$112*INDEX($C$94:$AL$94,1,8)</f>
        <v/>
      </c>
      <c r="L153" s="24">
        <f>$D$112*INDEX($C$94:$AL$94,1,9)</f>
        <v/>
      </c>
      <c r="M153" s="24">
        <f>$D$112*INDEX($C$94:$AL$94,1,10)</f>
        <v/>
      </c>
      <c r="N153" s="24">
        <f>$D$112*INDEX($C$94:$AL$94,1,11)</f>
        <v/>
      </c>
      <c r="O153" s="24">
        <f>$D$112*INDEX($C$94:$AL$94,1,12)</f>
        <v/>
      </c>
      <c r="P153" s="24">
        <f>$D$112*INDEX($C$94:$AL$94,1,13)</f>
        <v/>
      </c>
      <c r="Q153" s="24">
        <f>$D$112*INDEX($C$94:$AL$94,1,14)</f>
        <v/>
      </c>
      <c r="R153" s="24">
        <f>$D$112*INDEX($C$94:$AL$94,1,15)</f>
        <v/>
      </c>
      <c r="S153" s="24">
        <f>$D$112*INDEX($C$94:$AL$94,1,16)</f>
        <v/>
      </c>
      <c r="T153" s="24">
        <f>$D$112*INDEX($C$94:$AL$94,1,17)</f>
        <v/>
      </c>
      <c r="U153" s="24">
        <f>$D$112*INDEX($C$94:$AL$94,1,18)</f>
        <v/>
      </c>
      <c r="V153" s="24">
        <f>$D$112*INDEX($C$94:$AL$94,1,19)</f>
        <v/>
      </c>
      <c r="W153" s="24">
        <f>$D$112*INDEX($C$94:$AL$94,1,20)</f>
        <v/>
      </c>
      <c r="X153" s="24">
        <f>$D$112*INDEX($C$94:$AL$94,1,21)</f>
        <v/>
      </c>
      <c r="Y153" s="24">
        <f>$D$112*INDEX($C$94:$AL$94,1,22)</f>
        <v/>
      </c>
      <c r="Z153" s="24">
        <f>$D$112*INDEX($C$94:$AL$94,1,23)</f>
        <v/>
      </c>
      <c r="AA153" s="24">
        <f>$D$112*INDEX($C$94:$AL$94,1,24)</f>
        <v/>
      </c>
      <c r="AB153" s="24">
        <f>$D$112*INDEX($C$94:$AL$94,1,25)</f>
        <v/>
      </c>
      <c r="AC153" s="24">
        <f>$D$112*INDEX($C$94:$AL$94,1,26)</f>
        <v/>
      </c>
      <c r="AD153" s="24">
        <f>$D$112*INDEX($C$94:$AL$94,1,27)</f>
        <v/>
      </c>
      <c r="AE153" s="24">
        <f>$D$112*INDEX($C$94:$AL$94,1,28)</f>
        <v/>
      </c>
      <c r="AF153" s="24">
        <f>$D$112*INDEX($C$94:$AL$94,1,29)</f>
        <v/>
      </c>
    </row>
    <row r="154">
      <c r="A154" s="4" t="inlineStr">
        <is>
          <t>Coorte del mese 3</t>
        </is>
      </c>
      <c r="C154" s="24" t="n">
        <v>0</v>
      </c>
      <c r="D154" s="24" t="n">
        <v>0</v>
      </c>
      <c r="E154" s="24">
        <f>$E$112*INDEX($C$94:$AL$94,1,1)</f>
        <v/>
      </c>
      <c r="F154" s="24">
        <f>$E$112*INDEX($C$94:$AL$94,1,2)</f>
        <v/>
      </c>
      <c r="G154" s="24">
        <f>$E$112*INDEX($C$94:$AL$94,1,3)</f>
        <v/>
      </c>
      <c r="H154" s="24">
        <f>$E$112*INDEX($C$94:$AL$94,1,4)</f>
        <v/>
      </c>
      <c r="I154" s="24">
        <f>$E$112*INDEX($C$94:$AL$94,1,5)</f>
        <v/>
      </c>
      <c r="J154" s="24">
        <f>$E$112*INDEX($C$94:$AL$94,1,6)</f>
        <v/>
      </c>
      <c r="K154" s="24">
        <f>$E$112*INDEX($C$94:$AL$94,1,7)</f>
        <v/>
      </c>
      <c r="L154" s="24">
        <f>$E$112*INDEX($C$94:$AL$94,1,8)</f>
        <v/>
      </c>
      <c r="M154" s="24">
        <f>$E$112*INDEX($C$94:$AL$94,1,9)</f>
        <v/>
      </c>
      <c r="N154" s="24">
        <f>$E$112*INDEX($C$94:$AL$94,1,10)</f>
        <v/>
      </c>
      <c r="O154" s="24">
        <f>$E$112*INDEX($C$94:$AL$94,1,11)</f>
        <v/>
      </c>
      <c r="P154" s="24">
        <f>$E$112*INDEX($C$94:$AL$94,1,12)</f>
        <v/>
      </c>
      <c r="Q154" s="24">
        <f>$E$112*INDEX($C$94:$AL$94,1,13)</f>
        <v/>
      </c>
      <c r="R154" s="24">
        <f>$E$112*INDEX($C$94:$AL$94,1,14)</f>
        <v/>
      </c>
      <c r="S154" s="24">
        <f>$E$112*INDEX($C$94:$AL$94,1,15)</f>
        <v/>
      </c>
      <c r="T154" s="24">
        <f>$E$112*INDEX($C$94:$AL$94,1,16)</f>
        <v/>
      </c>
      <c r="U154" s="24">
        <f>$E$112*INDEX($C$94:$AL$94,1,17)</f>
        <v/>
      </c>
      <c r="V154" s="24">
        <f>$E$112*INDEX($C$94:$AL$94,1,18)</f>
        <v/>
      </c>
      <c r="W154" s="24">
        <f>$E$112*INDEX($C$94:$AL$94,1,19)</f>
        <v/>
      </c>
      <c r="X154" s="24">
        <f>$E$112*INDEX($C$94:$AL$94,1,20)</f>
        <v/>
      </c>
      <c r="Y154" s="24">
        <f>$E$112*INDEX($C$94:$AL$94,1,21)</f>
        <v/>
      </c>
      <c r="Z154" s="24">
        <f>$E$112*INDEX($C$94:$AL$94,1,22)</f>
        <v/>
      </c>
      <c r="AA154" s="24">
        <f>$E$112*INDEX($C$94:$AL$94,1,23)</f>
        <v/>
      </c>
      <c r="AB154" s="24">
        <f>$E$112*INDEX($C$94:$AL$94,1,24)</f>
        <v/>
      </c>
      <c r="AC154" s="24">
        <f>$E$112*INDEX($C$94:$AL$94,1,25)</f>
        <v/>
      </c>
      <c r="AD154" s="24">
        <f>$E$112*INDEX($C$94:$AL$94,1,26)</f>
        <v/>
      </c>
      <c r="AE154" s="24">
        <f>$E$112*INDEX($C$94:$AL$94,1,27)</f>
        <v/>
      </c>
      <c r="AF154" s="24">
        <f>$E$112*INDEX($C$94:$AL$94,1,28)</f>
        <v/>
      </c>
    </row>
    <row r="155">
      <c r="A155" s="4" t="inlineStr">
        <is>
          <t>Coorte del mese 4</t>
        </is>
      </c>
      <c r="C155" s="24" t="n">
        <v>0</v>
      </c>
      <c r="D155" s="24" t="n">
        <v>0</v>
      </c>
      <c r="E155" s="24" t="n">
        <v>0</v>
      </c>
      <c r="F155" s="24">
        <f>$F$112*INDEX($C$94:$AL$94,1,1)</f>
        <v/>
      </c>
      <c r="G155" s="24">
        <f>$F$112*INDEX($C$94:$AL$94,1,2)</f>
        <v/>
      </c>
      <c r="H155" s="24">
        <f>$F$112*INDEX($C$94:$AL$94,1,3)</f>
        <v/>
      </c>
      <c r="I155" s="24">
        <f>$F$112*INDEX($C$94:$AL$94,1,4)</f>
        <v/>
      </c>
      <c r="J155" s="24">
        <f>$F$112*INDEX($C$94:$AL$94,1,5)</f>
        <v/>
      </c>
      <c r="K155" s="24">
        <f>$F$112*INDEX($C$94:$AL$94,1,6)</f>
        <v/>
      </c>
      <c r="L155" s="24">
        <f>$F$112*INDEX($C$94:$AL$94,1,7)</f>
        <v/>
      </c>
      <c r="M155" s="24">
        <f>$F$112*INDEX($C$94:$AL$94,1,8)</f>
        <v/>
      </c>
      <c r="N155" s="24">
        <f>$F$112*INDEX($C$94:$AL$94,1,9)</f>
        <v/>
      </c>
      <c r="O155" s="24">
        <f>$F$112*INDEX($C$94:$AL$94,1,10)</f>
        <v/>
      </c>
      <c r="P155" s="24">
        <f>$F$112*INDEX($C$94:$AL$94,1,11)</f>
        <v/>
      </c>
      <c r="Q155" s="24">
        <f>$F$112*INDEX($C$94:$AL$94,1,12)</f>
        <v/>
      </c>
      <c r="R155" s="24">
        <f>$F$112*INDEX($C$94:$AL$94,1,13)</f>
        <v/>
      </c>
      <c r="S155" s="24">
        <f>$F$112*INDEX($C$94:$AL$94,1,14)</f>
        <v/>
      </c>
      <c r="T155" s="24">
        <f>$F$112*INDEX($C$94:$AL$94,1,15)</f>
        <v/>
      </c>
      <c r="U155" s="24">
        <f>$F$112*INDEX($C$94:$AL$94,1,16)</f>
        <v/>
      </c>
      <c r="V155" s="24">
        <f>$F$112*INDEX($C$94:$AL$94,1,17)</f>
        <v/>
      </c>
      <c r="W155" s="24">
        <f>$F$112*INDEX($C$94:$AL$94,1,18)</f>
        <v/>
      </c>
      <c r="X155" s="24">
        <f>$F$112*INDEX($C$94:$AL$94,1,19)</f>
        <v/>
      </c>
      <c r="Y155" s="24">
        <f>$F$112*INDEX($C$94:$AL$94,1,20)</f>
        <v/>
      </c>
      <c r="Z155" s="24">
        <f>$F$112*INDEX($C$94:$AL$94,1,21)</f>
        <v/>
      </c>
      <c r="AA155" s="24">
        <f>$F$112*INDEX($C$94:$AL$94,1,22)</f>
        <v/>
      </c>
      <c r="AB155" s="24">
        <f>$F$112*INDEX($C$94:$AL$94,1,23)</f>
        <v/>
      </c>
      <c r="AC155" s="24">
        <f>$F$112*INDEX($C$94:$AL$94,1,24)</f>
        <v/>
      </c>
      <c r="AD155" s="24">
        <f>$F$112*INDEX($C$94:$AL$94,1,25)</f>
        <v/>
      </c>
      <c r="AE155" s="24">
        <f>$F$112*INDEX($C$94:$AL$94,1,26)</f>
        <v/>
      </c>
      <c r="AF155" s="24">
        <f>$F$112*INDEX($C$94:$AL$94,1,27)</f>
        <v/>
      </c>
    </row>
    <row r="156">
      <c r="A156" s="4" t="inlineStr">
        <is>
          <t>Coorte del mese 5</t>
        </is>
      </c>
      <c r="C156" s="24" t="n">
        <v>0</v>
      </c>
      <c r="D156" s="24" t="n">
        <v>0</v>
      </c>
      <c r="E156" s="24" t="n">
        <v>0</v>
      </c>
      <c r="F156" s="24" t="n">
        <v>0</v>
      </c>
      <c r="G156" s="24">
        <f>$G$112*INDEX($C$94:$AL$94,1,1)</f>
        <v/>
      </c>
      <c r="H156" s="24">
        <f>$G$112*INDEX($C$94:$AL$94,1,2)</f>
        <v/>
      </c>
      <c r="I156" s="24">
        <f>$G$112*INDEX($C$94:$AL$94,1,3)</f>
        <v/>
      </c>
      <c r="J156" s="24">
        <f>$G$112*INDEX($C$94:$AL$94,1,4)</f>
        <v/>
      </c>
      <c r="K156" s="24">
        <f>$G$112*INDEX($C$94:$AL$94,1,5)</f>
        <v/>
      </c>
      <c r="L156" s="24">
        <f>$G$112*INDEX($C$94:$AL$94,1,6)</f>
        <v/>
      </c>
      <c r="M156" s="24">
        <f>$G$112*INDEX($C$94:$AL$94,1,7)</f>
        <v/>
      </c>
      <c r="N156" s="24">
        <f>$G$112*INDEX($C$94:$AL$94,1,8)</f>
        <v/>
      </c>
      <c r="O156" s="24">
        <f>$G$112*INDEX($C$94:$AL$94,1,9)</f>
        <v/>
      </c>
      <c r="P156" s="24">
        <f>$G$112*INDEX($C$94:$AL$94,1,10)</f>
        <v/>
      </c>
      <c r="Q156" s="24">
        <f>$G$112*INDEX($C$94:$AL$94,1,11)</f>
        <v/>
      </c>
      <c r="R156" s="24">
        <f>$G$112*INDEX($C$94:$AL$94,1,12)</f>
        <v/>
      </c>
      <c r="S156" s="24">
        <f>$G$112*INDEX($C$94:$AL$94,1,13)</f>
        <v/>
      </c>
      <c r="T156" s="24">
        <f>$G$112*INDEX($C$94:$AL$94,1,14)</f>
        <v/>
      </c>
      <c r="U156" s="24">
        <f>$G$112*INDEX($C$94:$AL$94,1,15)</f>
        <v/>
      </c>
      <c r="V156" s="24">
        <f>$G$112*INDEX($C$94:$AL$94,1,16)</f>
        <v/>
      </c>
      <c r="W156" s="24">
        <f>$G$112*INDEX($C$94:$AL$94,1,17)</f>
        <v/>
      </c>
      <c r="X156" s="24">
        <f>$G$112*INDEX($C$94:$AL$94,1,18)</f>
        <v/>
      </c>
      <c r="Y156" s="24">
        <f>$G$112*INDEX($C$94:$AL$94,1,19)</f>
        <v/>
      </c>
      <c r="Z156" s="24">
        <f>$G$112*INDEX($C$94:$AL$94,1,20)</f>
        <v/>
      </c>
      <c r="AA156" s="24">
        <f>$G$112*INDEX($C$94:$AL$94,1,21)</f>
        <v/>
      </c>
      <c r="AB156" s="24">
        <f>$G$112*INDEX($C$94:$AL$94,1,22)</f>
        <v/>
      </c>
      <c r="AC156" s="24">
        <f>$G$112*INDEX($C$94:$AL$94,1,23)</f>
        <v/>
      </c>
      <c r="AD156" s="24">
        <f>$G$112*INDEX($C$94:$AL$94,1,24)</f>
        <v/>
      </c>
      <c r="AE156" s="24">
        <f>$G$112*INDEX($C$94:$AL$94,1,25)</f>
        <v/>
      </c>
      <c r="AF156" s="24">
        <f>$G$112*INDEX($C$94:$AL$94,1,26)</f>
        <v/>
      </c>
    </row>
    <row r="157">
      <c r="A157" s="4" t="inlineStr">
        <is>
          <t>Coorte del mese 6</t>
        </is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>
        <f>$H$112*INDEX($C$94:$AL$94,1,1)</f>
        <v/>
      </c>
      <c r="I157" s="24">
        <f>$H$112*INDEX($C$94:$AL$94,1,2)</f>
        <v/>
      </c>
      <c r="J157" s="24">
        <f>$H$112*INDEX($C$94:$AL$94,1,3)</f>
        <v/>
      </c>
      <c r="K157" s="24">
        <f>$H$112*INDEX($C$94:$AL$94,1,4)</f>
        <v/>
      </c>
      <c r="L157" s="24">
        <f>$H$112*INDEX($C$94:$AL$94,1,5)</f>
        <v/>
      </c>
      <c r="M157" s="24">
        <f>$H$112*INDEX($C$94:$AL$94,1,6)</f>
        <v/>
      </c>
      <c r="N157" s="24">
        <f>$H$112*INDEX($C$94:$AL$94,1,7)</f>
        <v/>
      </c>
      <c r="O157" s="24">
        <f>$H$112*INDEX($C$94:$AL$94,1,8)</f>
        <v/>
      </c>
      <c r="P157" s="24">
        <f>$H$112*INDEX($C$94:$AL$94,1,9)</f>
        <v/>
      </c>
      <c r="Q157" s="24">
        <f>$H$112*INDEX($C$94:$AL$94,1,10)</f>
        <v/>
      </c>
      <c r="R157" s="24">
        <f>$H$112*INDEX($C$94:$AL$94,1,11)</f>
        <v/>
      </c>
      <c r="S157" s="24">
        <f>$H$112*INDEX($C$94:$AL$94,1,12)</f>
        <v/>
      </c>
      <c r="T157" s="24">
        <f>$H$112*INDEX($C$94:$AL$94,1,13)</f>
        <v/>
      </c>
      <c r="U157" s="24">
        <f>$H$112*INDEX($C$94:$AL$94,1,14)</f>
        <v/>
      </c>
      <c r="V157" s="24">
        <f>$H$112*INDEX($C$94:$AL$94,1,15)</f>
        <v/>
      </c>
      <c r="W157" s="24">
        <f>$H$112*INDEX($C$94:$AL$94,1,16)</f>
        <v/>
      </c>
      <c r="X157" s="24">
        <f>$H$112*INDEX($C$94:$AL$94,1,17)</f>
        <v/>
      </c>
      <c r="Y157" s="24">
        <f>$H$112*INDEX($C$94:$AL$94,1,18)</f>
        <v/>
      </c>
      <c r="Z157" s="24">
        <f>$H$112*INDEX($C$94:$AL$94,1,19)</f>
        <v/>
      </c>
      <c r="AA157" s="24">
        <f>$H$112*INDEX($C$94:$AL$94,1,20)</f>
        <v/>
      </c>
      <c r="AB157" s="24">
        <f>$H$112*INDEX($C$94:$AL$94,1,21)</f>
        <v/>
      </c>
      <c r="AC157" s="24">
        <f>$H$112*INDEX($C$94:$AL$94,1,22)</f>
        <v/>
      </c>
      <c r="AD157" s="24">
        <f>$H$112*INDEX($C$94:$AL$94,1,23)</f>
        <v/>
      </c>
      <c r="AE157" s="24">
        <f>$H$112*INDEX($C$94:$AL$94,1,24)</f>
        <v/>
      </c>
      <c r="AF157" s="24">
        <f>$H$112*INDEX($C$94:$AL$94,1,25)</f>
        <v/>
      </c>
    </row>
    <row r="158">
      <c r="A158" s="4" t="inlineStr">
        <is>
          <t>Coorte del mese 7</t>
        </is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>
        <f>$I$112*INDEX($C$94:$AL$94,1,1)</f>
        <v/>
      </c>
      <c r="J158" s="24">
        <f>$I$112*INDEX($C$94:$AL$94,1,2)</f>
        <v/>
      </c>
      <c r="K158" s="24">
        <f>$I$112*INDEX($C$94:$AL$94,1,3)</f>
        <v/>
      </c>
      <c r="L158" s="24">
        <f>$I$112*INDEX($C$94:$AL$94,1,4)</f>
        <v/>
      </c>
      <c r="M158" s="24">
        <f>$I$112*INDEX($C$94:$AL$94,1,5)</f>
        <v/>
      </c>
      <c r="N158" s="24">
        <f>$I$112*INDEX($C$94:$AL$94,1,6)</f>
        <v/>
      </c>
      <c r="O158" s="24">
        <f>$I$112*INDEX($C$94:$AL$94,1,7)</f>
        <v/>
      </c>
      <c r="P158" s="24">
        <f>$I$112*INDEX($C$94:$AL$94,1,8)</f>
        <v/>
      </c>
      <c r="Q158" s="24">
        <f>$I$112*INDEX($C$94:$AL$94,1,9)</f>
        <v/>
      </c>
      <c r="R158" s="24">
        <f>$I$112*INDEX($C$94:$AL$94,1,10)</f>
        <v/>
      </c>
      <c r="S158" s="24">
        <f>$I$112*INDEX($C$94:$AL$94,1,11)</f>
        <v/>
      </c>
      <c r="T158" s="24">
        <f>$I$112*INDEX($C$94:$AL$94,1,12)</f>
        <v/>
      </c>
      <c r="U158" s="24">
        <f>$I$112*INDEX($C$94:$AL$94,1,13)</f>
        <v/>
      </c>
      <c r="V158" s="24">
        <f>$I$112*INDEX($C$94:$AL$94,1,14)</f>
        <v/>
      </c>
      <c r="W158" s="24">
        <f>$I$112*INDEX($C$94:$AL$94,1,15)</f>
        <v/>
      </c>
      <c r="X158" s="24">
        <f>$I$112*INDEX($C$94:$AL$94,1,16)</f>
        <v/>
      </c>
      <c r="Y158" s="24">
        <f>$I$112*INDEX($C$94:$AL$94,1,17)</f>
        <v/>
      </c>
      <c r="Z158" s="24">
        <f>$I$112*INDEX($C$94:$AL$94,1,18)</f>
        <v/>
      </c>
      <c r="AA158" s="24">
        <f>$I$112*INDEX($C$94:$AL$94,1,19)</f>
        <v/>
      </c>
      <c r="AB158" s="24">
        <f>$I$112*INDEX($C$94:$AL$94,1,20)</f>
        <v/>
      </c>
      <c r="AC158" s="24">
        <f>$I$112*INDEX($C$94:$AL$94,1,21)</f>
        <v/>
      </c>
      <c r="AD158" s="24">
        <f>$I$112*INDEX($C$94:$AL$94,1,22)</f>
        <v/>
      </c>
      <c r="AE158" s="24">
        <f>$I$112*INDEX($C$94:$AL$94,1,23)</f>
        <v/>
      </c>
      <c r="AF158" s="24">
        <f>$I$112*INDEX($C$94:$AL$94,1,24)</f>
        <v/>
      </c>
    </row>
    <row r="159">
      <c r="A159" s="4" t="inlineStr">
        <is>
          <t>Coorte del mese 8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>
        <f>$J$112*INDEX($C$94:$AL$94,1,1)</f>
        <v/>
      </c>
      <c r="K159" s="24">
        <f>$J$112*INDEX($C$94:$AL$94,1,2)</f>
        <v/>
      </c>
      <c r="L159" s="24">
        <f>$J$112*INDEX($C$94:$AL$94,1,3)</f>
        <v/>
      </c>
      <c r="M159" s="24">
        <f>$J$112*INDEX($C$94:$AL$94,1,4)</f>
        <v/>
      </c>
      <c r="N159" s="24">
        <f>$J$112*INDEX($C$94:$AL$94,1,5)</f>
        <v/>
      </c>
      <c r="O159" s="24">
        <f>$J$112*INDEX($C$94:$AL$94,1,6)</f>
        <v/>
      </c>
      <c r="P159" s="24">
        <f>$J$112*INDEX($C$94:$AL$94,1,7)</f>
        <v/>
      </c>
      <c r="Q159" s="24">
        <f>$J$112*INDEX($C$94:$AL$94,1,8)</f>
        <v/>
      </c>
      <c r="R159" s="24">
        <f>$J$112*INDEX($C$94:$AL$94,1,9)</f>
        <v/>
      </c>
      <c r="S159" s="24">
        <f>$J$112*INDEX($C$94:$AL$94,1,10)</f>
        <v/>
      </c>
      <c r="T159" s="24">
        <f>$J$112*INDEX($C$94:$AL$94,1,11)</f>
        <v/>
      </c>
      <c r="U159" s="24">
        <f>$J$112*INDEX($C$94:$AL$94,1,12)</f>
        <v/>
      </c>
      <c r="V159" s="24">
        <f>$J$112*INDEX($C$94:$AL$94,1,13)</f>
        <v/>
      </c>
      <c r="W159" s="24">
        <f>$J$112*INDEX($C$94:$AL$94,1,14)</f>
        <v/>
      </c>
      <c r="X159" s="24">
        <f>$J$112*INDEX($C$94:$AL$94,1,15)</f>
        <v/>
      </c>
      <c r="Y159" s="24">
        <f>$J$112*INDEX($C$94:$AL$94,1,16)</f>
        <v/>
      </c>
      <c r="Z159" s="24">
        <f>$J$112*INDEX($C$94:$AL$94,1,17)</f>
        <v/>
      </c>
      <c r="AA159" s="24">
        <f>$J$112*INDEX($C$94:$AL$94,1,18)</f>
        <v/>
      </c>
      <c r="AB159" s="24">
        <f>$J$112*INDEX($C$94:$AL$94,1,19)</f>
        <v/>
      </c>
      <c r="AC159" s="24">
        <f>$J$112*INDEX($C$94:$AL$94,1,20)</f>
        <v/>
      </c>
      <c r="AD159" s="24">
        <f>$J$112*INDEX($C$94:$AL$94,1,21)</f>
        <v/>
      </c>
      <c r="AE159" s="24">
        <f>$J$112*INDEX($C$94:$AL$94,1,22)</f>
        <v/>
      </c>
      <c r="AF159" s="24">
        <f>$J$112*INDEX($C$94:$AL$94,1,23)</f>
        <v/>
      </c>
    </row>
    <row r="160">
      <c r="A160" s="4" t="inlineStr">
        <is>
          <t>Coorte del mese 9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>
        <f>$K$112*INDEX($C$94:$AL$94,1,1)</f>
        <v/>
      </c>
      <c r="L160" s="24">
        <f>$K$112*INDEX($C$94:$AL$94,1,2)</f>
        <v/>
      </c>
      <c r="M160" s="24">
        <f>$K$112*INDEX($C$94:$AL$94,1,3)</f>
        <v/>
      </c>
      <c r="N160" s="24">
        <f>$K$112*INDEX($C$94:$AL$94,1,4)</f>
        <v/>
      </c>
      <c r="O160" s="24">
        <f>$K$112*INDEX($C$94:$AL$94,1,5)</f>
        <v/>
      </c>
      <c r="P160" s="24">
        <f>$K$112*INDEX($C$94:$AL$94,1,6)</f>
        <v/>
      </c>
      <c r="Q160" s="24">
        <f>$K$112*INDEX($C$94:$AL$94,1,7)</f>
        <v/>
      </c>
      <c r="R160" s="24">
        <f>$K$112*INDEX($C$94:$AL$94,1,8)</f>
        <v/>
      </c>
      <c r="S160" s="24">
        <f>$K$112*INDEX($C$94:$AL$94,1,9)</f>
        <v/>
      </c>
      <c r="T160" s="24">
        <f>$K$112*INDEX($C$94:$AL$94,1,10)</f>
        <v/>
      </c>
      <c r="U160" s="24">
        <f>$K$112*INDEX($C$94:$AL$94,1,11)</f>
        <v/>
      </c>
      <c r="V160" s="24">
        <f>$K$112*INDEX($C$94:$AL$94,1,12)</f>
        <v/>
      </c>
      <c r="W160" s="24">
        <f>$K$112*INDEX($C$94:$AL$94,1,13)</f>
        <v/>
      </c>
      <c r="X160" s="24">
        <f>$K$112*INDEX($C$94:$AL$94,1,14)</f>
        <v/>
      </c>
      <c r="Y160" s="24">
        <f>$K$112*INDEX($C$94:$AL$94,1,15)</f>
        <v/>
      </c>
      <c r="Z160" s="24">
        <f>$K$112*INDEX($C$94:$AL$94,1,16)</f>
        <v/>
      </c>
      <c r="AA160" s="24">
        <f>$K$112*INDEX($C$94:$AL$94,1,17)</f>
        <v/>
      </c>
      <c r="AB160" s="24">
        <f>$K$112*INDEX($C$94:$AL$94,1,18)</f>
        <v/>
      </c>
      <c r="AC160" s="24">
        <f>$K$112*INDEX($C$94:$AL$94,1,19)</f>
        <v/>
      </c>
      <c r="AD160" s="24">
        <f>$K$112*INDEX($C$94:$AL$94,1,20)</f>
        <v/>
      </c>
      <c r="AE160" s="24">
        <f>$K$112*INDEX($C$94:$AL$94,1,21)</f>
        <v/>
      </c>
      <c r="AF160" s="24">
        <f>$K$112*INDEX($C$94:$AL$94,1,22)</f>
        <v/>
      </c>
    </row>
    <row r="161">
      <c r="A161" s="4" t="inlineStr">
        <is>
          <t>Coorte del mese 10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>
        <f>$L$112*INDEX($C$94:$AL$94,1,1)</f>
        <v/>
      </c>
      <c r="M161" s="24">
        <f>$L$112*INDEX($C$94:$AL$94,1,2)</f>
        <v/>
      </c>
      <c r="N161" s="24">
        <f>$L$112*INDEX($C$94:$AL$94,1,3)</f>
        <v/>
      </c>
      <c r="O161" s="24">
        <f>$L$112*INDEX($C$94:$AL$94,1,4)</f>
        <v/>
      </c>
      <c r="P161" s="24">
        <f>$L$112*INDEX($C$94:$AL$94,1,5)</f>
        <v/>
      </c>
      <c r="Q161" s="24">
        <f>$L$112*INDEX($C$94:$AL$94,1,6)</f>
        <v/>
      </c>
      <c r="R161" s="24">
        <f>$L$112*INDEX($C$94:$AL$94,1,7)</f>
        <v/>
      </c>
      <c r="S161" s="24">
        <f>$L$112*INDEX($C$94:$AL$94,1,8)</f>
        <v/>
      </c>
      <c r="T161" s="24">
        <f>$L$112*INDEX($C$94:$AL$94,1,9)</f>
        <v/>
      </c>
      <c r="U161" s="24">
        <f>$L$112*INDEX($C$94:$AL$94,1,10)</f>
        <v/>
      </c>
      <c r="V161" s="24">
        <f>$L$112*INDEX($C$94:$AL$94,1,11)</f>
        <v/>
      </c>
      <c r="W161" s="24">
        <f>$L$112*INDEX($C$94:$AL$94,1,12)</f>
        <v/>
      </c>
      <c r="X161" s="24">
        <f>$L$112*INDEX($C$94:$AL$94,1,13)</f>
        <v/>
      </c>
      <c r="Y161" s="24">
        <f>$L$112*INDEX($C$94:$AL$94,1,14)</f>
        <v/>
      </c>
      <c r="Z161" s="24">
        <f>$L$112*INDEX($C$94:$AL$94,1,15)</f>
        <v/>
      </c>
      <c r="AA161" s="24">
        <f>$L$112*INDEX($C$94:$AL$94,1,16)</f>
        <v/>
      </c>
      <c r="AB161" s="24">
        <f>$L$112*INDEX($C$94:$AL$94,1,17)</f>
        <v/>
      </c>
      <c r="AC161" s="24">
        <f>$L$112*INDEX($C$94:$AL$94,1,18)</f>
        <v/>
      </c>
      <c r="AD161" s="24">
        <f>$L$112*INDEX($C$94:$AL$94,1,19)</f>
        <v/>
      </c>
      <c r="AE161" s="24">
        <f>$L$112*INDEX($C$94:$AL$94,1,20)</f>
        <v/>
      </c>
      <c r="AF161" s="24">
        <f>$L$112*INDEX($C$94:$AL$94,1,21)</f>
        <v/>
      </c>
    </row>
    <row r="162">
      <c r="A162" s="4" t="inlineStr">
        <is>
          <t>Coorte del mese 11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>
        <f>$M$112*INDEX($C$94:$AL$94,1,1)</f>
        <v/>
      </c>
      <c r="N162" s="24">
        <f>$M$112*INDEX($C$94:$AL$94,1,2)</f>
        <v/>
      </c>
      <c r="O162" s="24">
        <f>$M$112*INDEX($C$94:$AL$94,1,3)</f>
        <v/>
      </c>
      <c r="P162" s="24">
        <f>$M$112*INDEX($C$94:$AL$94,1,4)</f>
        <v/>
      </c>
      <c r="Q162" s="24">
        <f>$M$112*INDEX($C$94:$AL$94,1,5)</f>
        <v/>
      </c>
      <c r="R162" s="24">
        <f>$M$112*INDEX($C$94:$AL$94,1,6)</f>
        <v/>
      </c>
      <c r="S162" s="24">
        <f>$M$112*INDEX($C$94:$AL$94,1,7)</f>
        <v/>
      </c>
      <c r="T162" s="24">
        <f>$M$112*INDEX($C$94:$AL$94,1,8)</f>
        <v/>
      </c>
      <c r="U162" s="24">
        <f>$M$112*INDEX($C$94:$AL$94,1,9)</f>
        <v/>
      </c>
      <c r="V162" s="24">
        <f>$M$112*INDEX($C$94:$AL$94,1,10)</f>
        <v/>
      </c>
      <c r="W162" s="24">
        <f>$M$112*INDEX($C$94:$AL$94,1,11)</f>
        <v/>
      </c>
      <c r="X162" s="24">
        <f>$M$112*INDEX($C$94:$AL$94,1,12)</f>
        <v/>
      </c>
      <c r="Y162" s="24">
        <f>$M$112*INDEX($C$94:$AL$94,1,13)</f>
        <v/>
      </c>
      <c r="Z162" s="24">
        <f>$M$112*INDEX($C$94:$AL$94,1,14)</f>
        <v/>
      </c>
      <c r="AA162" s="24">
        <f>$M$112*INDEX($C$94:$AL$94,1,15)</f>
        <v/>
      </c>
      <c r="AB162" s="24">
        <f>$M$112*INDEX($C$94:$AL$94,1,16)</f>
        <v/>
      </c>
      <c r="AC162" s="24">
        <f>$M$112*INDEX($C$94:$AL$94,1,17)</f>
        <v/>
      </c>
      <c r="AD162" s="24">
        <f>$M$112*INDEX($C$94:$AL$94,1,18)</f>
        <v/>
      </c>
      <c r="AE162" s="24">
        <f>$M$112*INDEX($C$94:$AL$94,1,19)</f>
        <v/>
      </c>
      <c r="AF162" s="24">
        <f>$M$112*INDEX($C$94:$AL$94,1,20)</f>
        <v/>
      </c>
    </row>
    <row r="163">
      <c r="A163" s="4" t="inlineStr">
        <is>
          <t>Coorte del mese 12</t>
        </is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>
        <f>$N$112*INDEX($C$94:$AL$94,1,1)</f>
        <v/>
      </c>
      <c r="O163" s="24">
        <f>$N$112*INDEX($C$94:$AL$94,1,2)</f>
        <v/>
      </c>
      <c r="P163" s="24">
        <f>$N$112*INDEX($C$94:$AL$94,1,3)</f>
        <v/>
      </c>
      <c r="Q163" s="24">
        <f>$N$112*INDEX($C$94:$AL$94,1,4)</f>
        <v/>
      </c>
      <c r="R163" s="24">
        <f>$N$112*INDEX($C$94:$AL$94,1,5)</f>
        <v/>
      </c>
      <c r="S163" s="24">
        <f>$N$112*INDEX($C$94:$AL$94,1,6)</f>
        <v/>
      </c>
      <c r="T163" s="24">
        <f>$N$112*INDEX($C$94:$AL$94,1,7)</f>
        <v/>
      </c>
      <c r="U163" s="24">
        <f>$N$112*INDEX($C$94:$AL$94,1,8)</f>
        <v/>
      </c>
      <c r="V163" s="24">
        <f>$N$112*INDEX($C$94:$AL$94,1,9)</f>
        <v/>
      </c>
      <c r="W163" s="24">
        <f>$N$112*INDEX($C$94:$AL$94,1,10)</f>
        <v/>
      </c>
      <c r="X163" s="24">
        <f>$N$112*INDEX($C$94:$AL$94,1,11)</f>
        <v/>
      </c>
      <c r="Y163" s="24">
        <f>$N$112*INDEX($C$94:$AL$94,1,12)</f>
        <v/>
      </c>
      <c r="Z163" s="24">
        <f>$N$112*INDEX($C$94:$AL$94,1,13)</f>
        <v/>
      </c>
      <c r="AA163" s="24">
        <f>$N$112*INDEX($C$94:$AL$94,1,14)</f>
        <v/>
      </c>
      <c r="AB163" s="24">
        <f>$N$112*INDEX($C$94:$AL$94,1,15)</f>
        <v/>
      </c>
      <c r="AC163" s="24">
        <f>$N$112*INDEX($C$94:$AL$94,1,16)</f>
        <v/>
      </c>
      <c r="AD163" s="24">
        <f>$N$112*INDEX($C$94:$AL$94,1,17)</f>
        <v/>
      </c>
      <c r="AE163" s="24">
        <f>$N$112*INDEX($C$94:$AL$94,1,18)</f>
        <v/>
      </c>
      <c r="AF163" s="24">
        <f>$N$112*INDEX($C$94:$AL$94,1,19)</f>
        <v/>
      </c>
    </row>
    <row r="164">
      <c r="A164" s="4" t="inlineStr">
        <is>
          <t>Coorte del mese 13</t>
        </is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>
        <f>$O$112*INDEX($C$94:$AL$94,1,1)</f>
        <v/>
      </c>
      <c r="P164" s="24">
        <f>$O$112*INDEX($C$94:$AL$94,1,2)</f>
        <v/>
      </c>
      <c r="Q164" s="24">
        <f>$O$112*INDEX($C$94:$AL$94,1,3)</f>
        <v/>
      </c>
      <c r="R164" s="24">
        <f>$O$112*INDEX($C$94:$AL$94,1,4)</f>
        <v/>
      </c>
      <c r="S164" s="24">
        <f>$O$112*INDEX($C$94:$AL$94,1,5)</f>
        <v/>
      </c>
      <c r="T164" s="24">
        <f>$O$112*INDEX($C$94:$AL$94,1,6)</f>
        <v/>
      </c>
      <c r="U164" s="24">
        <f>$O$112*INDEX($C$94:$AL$94,1,7)</f>
        <v/>
      </c>
      <c r="V164" s="24">
        <f>$O$112*INDEX($C$94:$AL$94,1,8)</f>
        <v/>
      </c>
      <c r="W164" s="24">
        <f>$O$112*INDEX($C$94:$AL$94,1,9)</f>
        <v/>
      </c>
      <c r="X164" s="24">
        <f>$O$112*INDEX($C$94:$AL$94,1,10)</f>
        <v/>
      </c>
      <c r="Y164" s="24">
        <f>$O$112*INDEX($C$94:$AL$94,1,11)</f>
        <v/>
      </c>
      <c r="Z164" s="24">
        <f>$O$112*INDEX($C$94:$AL$94,1,12)</f>
        <v/>
      </c>
      <c r="AA164" s="24">
        <f>$O$112*INDEX($C$94:$AL$94,1,13)</f>
        <v/>
      </c>
      <c r="AB164" s="24">
        <f>$O$112*INDEX($C$94:$AL$94,1,14)</f>
        <v/>
      </c>
      <c r="AC164" s="24">
        <f>$O$112*INDEX($C$94:$AL$94,1,15)</f>
        <v/>
      </c>
      <c r="AD164" s="24">
        <f>$O$112*INDEX($C$94:$AL$94,1,16)</f>
        <v/>
      </c>
      <c r="AE164" s="24">
        <f>$O$112*INDEX($C$94:$AL$94,1,17)</f>
        <v/>
      </c>
      <c r="AF164" s="24">
        <f>$O$112*INDEX($C$94:$AL$94,1,18)</f>
        <v/>
      </c>
    </row>
    <row r="165">
      <c r="A165" s="4" t="inlineStr">
        <is>
          <t>Coorte del mese 14</t>
        </is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>
        <f>$P$112*INDEX($C$94:$AL$94,1,1)</f>
        <v/>
      </c>
      <c r="Q165" s="24">
        <f>$P$112*INDEX($C$94:$AL$94,1,2)</f>
        <v/>
      </c>
      <c r="R165" s="24">
        <f>$P$112*INDEX($C$94:$AL$94,1,3)</f>
        <v/>
      </c>
      <c r="S165" s="24">
        <f>$P$112*INDEX($C$94:$AL$94,1,4)</f>
        <v/>
      </c>
      <c r="T165" s="24">
        <f>$P$112*INDEX($C$94:$AL$94,1,5)</f>
        <v/>
      </c>
      <c r="U165" s="24">
        <f>$P$112*INDEX($C$94:$AL$94,1,6)</f>
        <v/>
      </c>
      <c r="V165" s="24">
        <f>$P$112*INDEX($C$94:$AL$94,1,7)</f>
        <v/>
      </c>
      <c r="W165" s="24">
        <f>$P$112*INDEX($C$94:$AL$94,1,8)</f>
        <v/>
      </c>
      <c r="X165" s="24">
        <f>$P$112*INDEX($C$94:$AL$94,1,9)</f>
        <v/>
      </c>
      <c r="Y165" s="24">
        <f>$P$112*INDEX($C$94:$AL$94,1,10)</f>
        <v/>
      </c>
      <c r="Z165" s="24">
        <f>$P$112*INDEX($C$94:$AL$94,1,11)</f>
        <v/>
      </c>
      <c r="AA165" s="24">
        <f>$P$112*INDEX($C$94:$AL$94,1,12)</f>
        <v/>
      </c>
      <c r="AB165" s="24">
        <f>$P$112*INDEX($C$94:$AL$94,1,13)</f>
        <v/>
      </c>
      <c r="AC165" s="24">
        <f>$P$112*INDEX($C$94:$AL$94,1,14)</f>
        <v/>
      </c>
      <c r="AD165" s="24">
        <f>$P$112*INDEX($C$94:$AL$94,1,15)</f>
        <v/>
      </c>
      <c r="AE165" s="24">
        <f>$P$112*INDEX($C$94:$AL$94,1,16)</f>
        <v/>
      </c>
      <c r="AF165" s="24">
        <f>$P$112*INDEX($C$94:$AL$94,1,17)</f>
        <v/>
      </c>
    </row>
    <row r="166">
      <c r="A166" s="4" t="inlineStr">
        <is>
          <t>Coorte del mese 15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>
        <f>$Q$112*INDEX($C$94:$AL$94,1,1)</f>
        <v/>
      </c>
      <c r="R166" s="24">
        <f>$Q$112*INDEX($C$94:$AL$94,1,2)</f>
        <v/>
      </c>
      <c r="S166" s="24">
        <f>$Q$112*INDEX($C$94:$AL$94,1,3)</f>
        <v/>
      </c>
      <c r="T166" s="24">
        <f>$Q$112*INDEX($C$94:$AL$94,1,4)</f>
        <v/>
      </c>
      <c r="U166" s="24">
        <f>$Q$112*INDEX($C$94:$AL$94,1,5)</f>
        <v/>
      </c>
      <c r="V166" s="24">
        <f>$Q$112*INDEX($C$94:$AL$94,1,6)</f>
        <v/>
      </c>
      <c r="W166" s="24">
        <f>$Q$112*INDEX($C$94:$AL$94,1,7)</f>
        <v/>
      </c>
      <c r="X166" s="24">
        <f>$Q$112*INDEX($C$94:$AL$94,1,8)</f>
        <v/>
      </c>
      <c r="Y166" s="24">
        <f>$Q$112*INDEX($C$94:$AL$94,1,9)</f>
        <v/>
      </c>
      <c r="Z166" s="24">
        <f>$Q$112*INDEX($C$94:$AL$94,1,10)</f>
        <v/>
      </c>
      <c r="AA166" s="24">
        <f>$Q$112*INDEX($C$94:$AL$94,1,11)</f>
        <v/>
      </c>
      <c r="AB166" s="24">
        <f>$Q$112*INDEX($C$94:$AL$94,1,12)</f>
        <v/>
      </c>
      <c r="AC166" s="24">
        <f>$Q$112*INDEX($C$94:$AL$94,1,13)</f>
        <v/>
      </c>
      <c r="AD166" s="24">
        <f>$Q$112*INDEX($C$94:$AL$94,1,14)</f>
        <v/>
      </c>
      <c r="AE166" s="24">
        <f>$Q$112*INDEX($C$94:$AL$94,1,15)</f>
        <v/>
      </c>
      <c r="AF166" s="24">
        <f>$Q$112*INDEX($C$94:$AL$94,1,16)</f>
        <v/>
      </c>
    </row>
    <row r="167">
      <c r="A167" s="4" t="inlineStr">
        <is>
          <t>Coorte del mese 16</t>
        </is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>
        <f>$R$112*INDEX($C$94:$AL$94,1,1)</f>
        <v/>
      </c>
      <c r="S167" s="24">
        <f>$R$112*INDEX($C$94:$AL$94,1,2)</f>
        <v/>
      </c>
      <c r="T167" s="24">
        <f>$R$112*INDEX($C$94:$AL$94,1,3)</f>
        <v/>
      </c>
      <c r="U167" s="24">
        <f>$R$112*INDEX($C$94:$AL$94,1,4)</f>
        <v/>
      </c>
      <c r="V167" s="24">
        <f>$R$112*INDEX($C$94:$AL$94,1,5)</f>
        <v/>
      </c>
      <c r="W167" s="24">
        <f>$R$112*INDEX($C$94:$AL$94,1,6)</f>
        <v/>
      </c>
      <c r="X167" s="24">
        <f>$R$112*INDEX($C$94:$AL$94,1,7)</f>
        <v/>
      </c>
      <c r="Y167" s="24">
        <f>$R$112*INDEX($C$94:$AL$94,1,8)</f>
        <v/>
      </c>
      <c r="Z167" s="24">
        <f>$R$112*INDEX($C$94:$AL$94,1,9)</f>
        <v/>
      </c>
      <c r="AA167" s="24">
        <f>$R$112*INDEX($C$94:$AL$94,1,10)</f>
        <v/>
      </c>
      <c r="AB167" s="24">
        <f>$R$112*INDEX($C$94:$AL$94,1,11)</f>
        <v/>
      </c>
      <c r="AC167" s="24">
        <f>$R$112*INDEX($C$94:$AL$94,1,12)</f>
        <v/>
      </c>
      <c r="AD167" s="24">
        <f>$R$112*INDEX($C$94:$AL$94,1,13)</f>
        <v/>
      </c>
      <c r="AE167" s="24">
        <f>$R$112*INDEX($C$94:$AL$94,1,14)</f>
        <v/>
      </c>
      <c r="AF167" s="24">
        <f>$R$112*INDEX($C$94:$AL$94,1,15)</f>
        <v/>
      </c>
    </row>
    <row r="168">
      <c r="A168" s="4" t="inlineStr">
        <is>
          <t>Coorte del mese 17</t>
        </is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>
        <f>$S$112*INDEX($C$94:$AL$94,1,1)</f>
        <v/>
      </c>
      <c r="T168" s="24">
        <f>$S$112*INDEX($C$94:$AL$94,1,2)</f>
        <v/>
      </c>
      <c r="U168" s="24">
        <f>$S$112*INDEX($C$94:$AL$94,1,3)</f>
        <v/>
      </c>
      <c r="V168" s="24">
        <f>$S$112*INDEX($C$94:$AL$94,1,4)</f>
        <v/>
      </c>
      <c r="W168" s="24">
        <f>$S$112*INDEX($C$94:$AL$94,1,5)</f>
        <v/>
      </c>
      <c r="X168" s="24">
        <f>$S$112*INDEX($C$94:$AL$94,1,6)</f>
        <v/>
      </c>
      <c r="Y168" s="24">
        <f>$S$112*INDEX($C$94:$AL$94,1,7)</f>
        <v/>
      </c>
      <c r="Z168" s="24">
        <f>$S$112*INDEX($C$94:$AL$94,1,8)</f>
        <v/>
      </c>
      <c r="AA168" s="24">
        <f>$S$112*INDEX($C$94:$AL$94,1,9)</f>
        <v/>
      </c>
      <c r="AB168" s="24">
        <f>$S$112*INDEX($C$94:$AL$94,1,10)</f>
        <v/>
      </c>
      <c r="AC168" s="24">
        <f>$S$112*INDEX($C$94:$AL$94,1,11)</f>
        <v/>
      </c>
      <c r="AD168" s="24">
        <f>$S$112*INDEX($C$94:$AL$94,1,12)</f>
        <v/>
      </c>
      <c r="AE168" s="24">
        <f>$S$112*INDEX($C$94:$AL$94,1,13)</f>
        <v/>
      </c>
      <c r="AF168" s="24">
        <f>$S$112*INDEX($C$94:$AL$94,1,14)</f>
        <v/>
      </c>
    </row>
    <row r="169">
      <c r="A169" s="4" t="inlineStr">
        <is>
          <t>Coorte del mese 18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>
        <f>$T$112*INDEX($C$94:$AL$94,1,1)</f>
        <v/>
      </c>
      <c r="U169" s="24">
        <f>$T$112*INDEX($C$94:$AL$94,1,2)</f>
        <v/>
      </c>
      <c r="V169" s="24">
        <f>$T$112*INDEX($C$94:$AL$94,1,3)</f>
        <v/>
      </c>
      <c r="W169" s="24">
        <f>$T$112*INDEX($C$94:$AL$94,1,4)</f>
        <v/>
      </c>
      <c r="X169" s="24">
        <f>$T$112*INDEX($C$94:$AL$94,1,5)</f>
        <v/>
      </c>
      <c r="Y169" s="24">
        <f>$T$112*INDEX($C$94:$AL$94,1,6)</f>
        <v/>
      </c>
      <c r="Z169" s="24">
        <f>$T$112*INDEX($C$94:$AL$94,1,7)</f>
        <v/>
      </c>
      <c r="AA169" s="24">
        <f>$T$112*INDEX($C$94:$AL$94,1,8)</f>
        <v/>
      </c>
      <c r="AB169" s="24">
        <f>$T$112*INDEX($C$94:$AL$94,1,9)</f>
        <v/>
      </c>
      <c r="AC169" s="24">
        <f>$T$112*INDEX($C$94:$AL$94,1,10)</f>
        <v/>
      </c>
      <c r="AD169" s="24">
        <f>$T$112*INDEX($C$94:$AL$94,1,11)</f>
        <v/>
      </c>
      <c r="AE169" s="24">
        <f>$T$112*INDEX($C$94:$AL$94,1,12)</f>
        <v/>
      </c>
      <c r="AF169" s="24">
        <f>$T$112*INDEX($C$94:$AL$94,1,13)</f>
        <v/>
      </c>
    </row>
    <row r="170">
      <c r="A170" s="4" t="inlineStr">
        <is>
          <t>Coorte del mese 19</t>
        </is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>
        <f>$U$112*INDEX($C$94:$AL$94,1,1)</f>
        <v/>
      </c>
      <c r="V170" s="24">
        <f>$U$112*INDEX($C$94:$AL$94,1,2)</f>
        <v/>
      </c>
      <c r="W170" s="24">
        <f>$U$112*INDEX($C$94:$AL$94,1,3)</f>
        <v/>
      </c>
      <c r="X170" s="24">
        <f>$U$112*INDEX($C$94:$AL$94,1,4)</f>
        <v/>
      </c>
      <c r="Y170" s="24">
        <f>$U$112*INDEX($C$94:$AL$94,1,5)</f>
        <v/>
      </c>
      <c r="Z170" s="24">
        <f>$U$112*INDEX($C$94:$AL$94,1,6)</f>
        <v/>
      </c>
      <c r="AA170" s="24">
        <f>$U$112*INDEX($C$94:$AL$94,1,7)</f>
        <v/>
      </c>
      <c r="AB170" s="24">
        <f>$U$112*INDEX($C$94:$AL$94,1,8)</f>
        <v/>
      </c>
      <c r="AC170" s="24">
        <f>$U$112*INDEX($C$94:$AL$94,1,9)</f>
        <v/>
      </c>
      <c r="AD170" s="24">
        <f>$U$112*INDEX($C$94:$AL$94,1,10)</f>
        <v/>
      </c>
      <c r="AE170" s="24">
        <f>$U$112*INDEX($C$94:$AL$94,1,11)</f>
        <v/>
      </c>
      <c r="AF170" s="24">
        <f>$U$112*INDEX($C$94:$AL$94,1,12)</f>
        <v/>
      </c>
    </row>
    <row r="171">
      <c r="A171" s="4" t="inlineStr">
        <is>
          <t>Coorte del mese 20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>
        <f>$V$112*INDEX($C$94:$AL$94,1,1)</f>
        <v/>
      </c>
      <c r="W171" s="24">
        <f>$V$112*INDEX($C$94:$AL$94,1,2)</f>
        <v/>
      </c>
      <c r="X171" s="24">
        <f>$V$112*INDEX($C$94:$AL$94,1,3)</f>
        <v/>
      </c>
      <c r="Y171" s="24">
        <f>$V$112*INDEX($C$94:$AL$94,1,4)</f>
        <v/>
      </c>
      <c r="Z171" s="24">
        <f>$V$112*INDEX($C$94:$AL$94,1,5)</f>
        <v/>
      </c>
      <c r="AA171" s="24">
        <f>$V$112*INDEX($C$94:$AL$94,1,6)</f>
        <v/>
      </c>
      <c r="AB171" s="24">
        <f>$V$112*INDEX($C$94:$AL$94,1,7)</f>
        <v/>
      </c>
      <c r="AC171" s="24">
        <f>$V$112*INDEX($C$94:$AL$94,1,8)</f>
        <v/>
      </c>
      <c r="AD171" s="24">
        <f>$V$112*INDEX($C$94:$AL$94,1,9)</f>
        <v/>
      </c>
      <c r="AE171" s="24">
        <f>$V$112*INDEX($C$94:$AL$94,1,10)</f>
        <v/>
      </c>
      <c r="AF171" s="24">
        <f>$V$112*INDEX($C$94:$AL$94,1,11)</f>
        <v/>
      </c>
    </row>
    <row r="172">
      <c r="A172" s="4" t="inlineStr">
        <is>
          <t>Coorte del mese 21</t>
        </is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>
        <f>$W$112*INDEX($C$94:$AL$94,1,1)</f>
        <v/>
      </c>
      <c r="X172" s="24">
        <f>$W$112*INDEX($C$94:$AL$94,1,2)</f>
        <v/>
      </c>
      <c r="Y172" s="24">
        <f>$W$112*INDEX($C$94:$AL$94,1,3)</f>
        <v/>
      </c>
      <c r="Z172" s="24">
        <f>$W$112*INDEX($C$94:$AL$94,1,4)</f>
        <v/>
      </c>
      <c r="AA172" s="24">
        <f>$W$112*INDEX($C$94:$AL$94,1,5)</f>
        <v/>
      </c>
      <c r="AB172" s="24">
        <f>$W$112*INDEX($C$94:$AL$94,1,6)</f>
        <v/>
      </c>
      <c r="AC172" s="24">
        <f>$W$112*INDEX($C$94:$AL$94,1,7)</f>
        <v/>
      </c>
      <c r="AD172" s="24">
        <f>$W$112*INDEX($C$94:$AL$94,1,8)</f>
        <v/>
      </c>
      <c r="AE172" s="24">
        <f>$W$112*INDEX($C$94:$AL$94,1,9)</f>
        <v/>
      </c>
      <c r="AF172" s="24">
        <f>$W$112*INDEX($C$94:$AL$94,1,10)</f>
        <v/>
      </c>
    </row>
    <row r="173">
      <c r="A173" s="4" t="inlineStr">
        <is>
          <t>Coorte del mese 22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>
        <f>$X$112*INDEX($C$94:$AL$94,1,1)</f>
        <v/>
      </c>
      <c r="Y173" s="24">
        <f>$X$112*INDEX($C$94:$AL$94,1,2)</f>
        <v/>
      </c>
      <c r="Z173" s="24">
        <f>$X$112*INDEX($C$94:$AL$94,1,3)</f>
        <v/>
      </c>
      <c r="AA173" s="24">
        <f>$X$112*INDEX($C$94:$AL$94,1,4)</f>
        <v/>
      </c>
      <c r="AB173" s="24">
        <f>$X$112*INDEX($C$94:$AL$94,1,5)</f>
        <v/>
      </c>
      <c r="AC173" s="24">
        <f>$X$112*INDEX($C$94:$AL$94,1,6)</f>
        <v/>
      </c>
      <c r="AD173" s="24">
        <f>$X$112*INDEX($C$94:$AL$94,1,7)</f>
        <v/>
      </c>
      <c r="AE173" s="24">
        <f>$X$112*INDEX($C$94:$AL$94,1,8)</f>
        <v/>
      </c>
      <c r="AF173" s="24">
        <f>$X$112*INDEX($C$94:$AL$94,1,9)</f>
        <v/>
      </c>
    </row>
    <row r="174">
      <c r="A174" s="4" t="inlineStr">
        <is>
          <t>Coorte del mese 23</t>
        </is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>
        <f>$Y$112*INDEX($C$94:$AL$94,1,1)</f>
        <v/>
      </c>
      <c r="Z174" s="24">
        <f>$Y$112*INDEX($C$94:$AL$94,1,2)</f>
        <v/>
      </c>
      <c r="AA174" s="24">
        <f>$Y$112*INDEX($C$94:$AL$94,1,3)</f>
        <v/>
      </c>
      <c r="AB174" s="24">
        <f>$Y$112*INDEX($C$94:$AL$94,1,4)</f>
        <v/>
      </c>
      <c r="AC174" s="24">
        <f>$Y$112*INDEX($C$94:$AL$94,1,5)</f>
        <v/>
      </c>
      <c r="AD174" s="24">
        <f>$Y$112*INDEX($C$94:$AL$94,1,6)</f>
        <v/>
      </c>
      <c r="AE174" s="24">
        <f>$Y$112*INDEX($C$94:$AL$94,1,7)</f>
        <v/>
      </c>
      <c r="AF174" s="24">
        <f>$Y$112*INDEX($C$94:$AL$94,1,8)</f>
        <v/>
      </c>
    </row>
    <row r="175">
      <c r="A175" s="4" t="inlineStr">
        <is>
          <t>Coorte del mese 24</t>
        </is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>
        <f>$Z$112*INDEX($C$94:$AL$94,1,1)</f>
        <v/>
      </c>
      <c r="AA175" s="24">
        <f>$Z$112*INDEX($C$94:$AL$94,1,2)</f>
        <v/>
      </c>
      <c r="AB175" s="24">
        <f>$Z$112*INDEX($C$94:$AL$94,1,3)</f>
        <v/>
      </c>
      <c r="AC175" s="24">
        <f>$Z$112*INDEX($C$94:$AL$94,1,4)</f>
        <v/>
      </c>
      <c r="AD175" s="24">
        <f>$Z$112*INDEX($C$94:$AL$94,1,5)</f>
        <v/>
      </c>
      <c r="AE175" s="24">
        <f>$Z$112*INDEX($C$94:$AL$94,1,6)</f>
        <v/>
      </c>
      <c r="AF175" s="24">
        <f>$Z$112*INDEX($C$94:$AL$94,1,7)</f>
        <v/>
      </c>
    </row>
    <row r="176">
      <c r="A176" s="4" t="inlineStr">
        <is>
          <t>Coorte del mese 25</t>
        </is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24">
        <f>$AA$112*INDEX($C$94:$AL$94,1,1)</f>
        <v/>
      </c>
      <c r="AB176" s="24">
        <f>$AA$112*INDEX($C$94:$AL$94,1,2)</f>
        <v/>
      </c>
      <c r="AC176" s="24">
        <f>$AA$112*INDEX($C$94:$AL$94,1,3)</f>
        <v/>
      </c>
      <c r="AD176" s="24">
        <f>$AA$112*INDEX($C$94:$AL$94,1,4)</f>
        <v/>
      </c>
      <c r="AE176" s="24">
        <f>$AA$112*INDEX($C$94:$AL$94,1,5)</f>
        <v/>
      </c>
      <c r="AF176" s="24">
        <f>$AA$112*INDEX($C$94:$AL$94,1,6)</f>
        <v/>
      </c>
    </row>
    <row r="177">
      <c r="A177" s="4" t="inlineStr">
        <is>
          <t>Coorte del mese 26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>
        <f>$AB$112*INDEX($C$94:$AL$94,1,1)</f>
        <v/>
      </c>
      <c r="AC177" s="24">
        <f>$AB$112*INDEX($C$94:$AL$94,1,2)</f>
        <v/>
      </c>
      <c r="AD177" s="24">
        <f>$AB$112*INDEX($C$94:$AL$94,1,3)</f>
        <v/>
      </c>
      <c r="AE177" s="24">
        <f>$AB$112*INDEX($C$94:$AL$94,1,4)</f>
        <v/>
      </c>
      <c r="AF177" s="24">
        <f>$AB$112*INDEX($C$94:$AL$94,1,5)</f>
        <v/>
      </c>
    </row>
    <row r="178">
      <c r="A178" s="4" t="inlineStr">
        <is>
          <t>Coorte del mese 27</t>
        </is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>
        <f>$AC$112*INDEX($C$94:$AL$94,1,1)</f>
        <v/>
      </c>
      <c r="AD178" s="24">
        <f>$AC$112*INDEX($C$94:$AL$94,1,2)</f>
        <v/>
      </c>
      <c r="AE178" s="24">
        <f>$AC$112*INDEX($C$94:$AL$94,1,3)</f>
        <v/>
      </c>
      <c r="AF178" s="24">
        <f>$AC$112*INDEX($C$94:$AL$94,1,4)</f>
        <v/>
      </c>
    </row>
    <row r="179">
      <c r="A179" s="4" t="inlineStr">
        <is>
          <t>Coorte del mese 28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>
        <f>$AD$112*INDEX($C$94:$AL$94,1,1)</f>
        <v/>
      </c>
      <c r="AE179" s="24">
        <f>$AD$112*INDEX($C$94:$AL$94,1,2)</f>
        <v/>
      </c>
      <c r="AF179" s="24">
        <f>$AD$112*INDEX($C$94:$AL$94,1,3)</f>
        <v/>
      </c>
    </row>
    <row r="180">
      <c r="A180" s="4" t="inlineStr">
        <is>
          <t>Coorte del mese 29</t>
        </is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24" t="n">
        <v>0</v>
      </c>
      <c r="AB180" s="24" t="n">
        <v>0</v>
      </c>
      <c r="AC180" s="24" t="n">
        <v>0</v>
      </c>
      <c r="AD180" s="24" t="n">
        <v>0</v>
      </c>
      <c r="AE180" s="24">
        <f>$AE$112*INDEX($C$94:$AL$94,1,1)</f>
        <v/>
      </c>
      <c r="AF180" s="24">
        <f>$AE$112*INDEX($C$94:$AL$94,1,2)</f>
        <v/>
      </c>
    </row>
    <row r="181">
      <c r="A181" s="4" t="inlineStr">
        <is>
          <t>Coorte del mese 30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4" t="n">
        <v>0</v>
      </c>
      <c r="AD181" s="24" t="n">
        <v>0</v>
      </c>
      <c r="AE181" s="24" t="n">
        <v>0</v>
      </c>
      <c r="AF181" s="24">
        <f>$AF$112*INDEX($C$94:$AL$94,1,1)</f>
        <v/>
      </c>
    </row>
    <row r="182">
      <c r="A182" s="3" t="inlineStr">
        <is>
          <t>Totale percorso 6: rimborsi</t>
        </is>
      </c>
      <c r="C182" s="25">
        <f>SUM(C152:C181)</f>
        <v/>
      </c>
      <c r="D182" s="25">
        <f>SUM(D152:D181)</f>
        <v/>
      </c>
      <c r="E182" s="25">
        <f>SUM(E152:E181)</f>
        <v/>
      </c>
      <c r="F182" s="25">
        <f>SUM(F152:F181)</f>
        <v/>
      </c>
      <c r="G182" s="25">
        <f>SUM(G152:G181)</f>
        <v/>
      </c>
      <c r="H182" s="25">
        <f>SUM(H152:H181)</f>
        <v/>
      </c>
      <c r="I182" s="25">
        <f>SUM(I152:I181)</f>
        <v/>
      </c>
      <c r="J182" s="25">
        <f>SUM(J152:J181)</f>
        <v/>
      </c>
      <c r="K182" s="25">
        <f>SUM(K152:K181)</f>
        <v/>
      </c>
      <c r="L182" s="25">
        <f>SUM(L152:L181)</f>
        <v/>
      </c>
      <c r="M182" s="25">
        <f>SUM(M152:M181)</f>
        <v/>
      </c>
      <c r="N182" s="25">
        <f>SUM(N152:N181)</f>
        <v/>
      </c>
      <c r="O182" s="25">
        <f>SUM(O152:O181)</f>
        <v/>
      </c>
      <c r="P182" s="25">
        <f>SUM(P152:P181)</f>
        <v/>
      </c>
      <c r="Q182" s="25">
        <f>SUM(Q152:Q181)</f>
        <v/>
      </c>
      <c r="R182" s="25">
        <f>SUM(R152:R181)</f>
        <v/>
      </c>
      <c r="S182" s="25">
        <f>SUM(S152:S181)</f>
        <v/>
      </c>
      <c r="T182" s="25">
        <f>SUM(T152:T181)</f>
        <v/>
      </c>
      <c r="U182" s="25">
        <f>SUM(U152:U181)</f>
        <v/>
      </c>
      <c r="V182" s="25">
        <f>SUM(V152:V181)</f>
        <v/>
      </c>
      <c r="W182" s="25">
        <f>SUM(W152:W181)</f>
        <v/>
      </c>
      <c r="X182" s="25">
        <f>SUM(X152:X181)</f>
        <v/>
      </c>
      <c r="Y182" s="25">
        <f>SUM(Y152:Y181)</f>
        <v/>
      </c>
      <c r="Z182" s="25">
        <f>SUM(Z152:Z181)</f>
        <v/>
      </c>
      <c r="AA182" s="25">
        <f>SUM(AA152:AA181)</f>
        <v/>
      </c>
      <c r="AB182" s="25">
        <f>SUM(AB152:AB181)</f>
        <v/>
      </c>
      <c r="AC182" s="25">
        <f>SUM(AC152:AC181)</f>
        <v/>
      </c>
      <c r="AD182" s="25">
        <f>SUM(AD152:AD181)</f>
        <v/>
      </c>
      <c r="AE182" s="25">
        <f>SUM(AE152:AE181)</f>
        <v/>
      </c>
      <c r="AF182" s="25">
        <f>SUM(AF152:AF181)</f>
        <v/>
      </c>
    </row>
    <row r="184">
      <c r="A184" s="10" t="inlineStr">
        <is>
          <t>Percorso 3: ordini per coorte (righe = mese di acquisizione, colonne = mese di calendario)</t>
        </is>
      </c>
    </row>
    <row r="185">
      <c r="A185" s="4" t="inlineStr">
        <is>
          <t>Coorte del mese 1</t>
        </is>
      </c>
      <c r="C185" s="24">
        <f>$C$113*INDEX($C$95:$AL$95,1,1)</f>
        <v/>
      </c>
      <c r="D185" s="24">
        <f>$C$113*INDEX($C$95:$AL$95,1,2)</f>
        <v/>
      </c>
      <c r="E185" s="24">
        <f>$C$113*INDEX($C$95:$AL$95,1,3)</f>
        <v/>
      </c>
      <c r="F185" s="24">
        <f>$C$113*INDEX($C$95:$AL$95,1,4)</f>
        <v/>
      </c>
      <c r="G185" s="24">
        <f>$C$113*INDEX($C$95:$AL$95,1,5)</f>
        <v/>
      </c>
      <c r="H185" s="24">
        <f>$C$113*INDEX($C$95:$AL$95,1,6)</f>
        <v/>
      </c>
      <c r="I185" s="24">
        <f>$C$113*INDEX($C$95:$AL$95,1,7)</f>
        <v/>
      </c>
      <c r="J185" s="24">
        <f>$C$113*INDEX($C$95:$AL$95,1,8)</f>
        <v/>
      </c>
      <c r="K185" s="24">
        <f>$C$113*INDEX($C$95:$AL$95,1,9)</f>
        <v/>
      </c>
      <c r="L185" s="24">
        <f>$C$113*INDEX($C$95:$AL$95,1,10)</f>
        <v/>
      </c>
      <c r="M185" s="24">
        <f>$C$113*INDEX($C$95:$AL$95,1,11)</f>
        <v/>
      </c>
      <c r="N185" s="24">
        <f>$C$113*INDEX($C$95:$AL$95,1,12)</f>
        <v/>
      </c>
      <c r="O185" s="24">
        <f>$C$113*INDEX($C$95:$AL$95,1,13)</f>
        <v/>
      </c>
      <c r="P185" s="24">
        <f>$C$113*INDEX($C$95:$AL$95,1,14)</f>
        <v/>
      </c>
      <c r="Q185" s="24">
        <f>$C$113*INDEX($C$95:$AL$95,1,15)</f>
        <v/>
      </c>
      <c r="R185" s="24">
        <f>$C$113*INDEX($C$95:$AL$95,1,16)</f>
        <v/>
      </c>
      <c r="S185" s="24">
        <f>$C$113*INDEX($C$95:$AL$95,1,17)</f>
        <v/>
      </c>
      <c r="T185" s="24">
        <f>$C$113*INDEX($C$95:$AL$95,1,18)</f>
        <v/>
      </c>
      <c r="U185" s="24">
        <f>$C$113*INDEX($C$95:$AL$95,1,19)</f>
        <v/>
      </c>
      <c r="V185" s="24">
        <f>$C$113*INDEX($C$95:$AL$95,1,20)</f>
        <v/>
      </c>
      <c r="W185" s="24">
        <f>$C$113*INDEX($C$95:$AL$95,1,21)</f>
        <v/>
      </c>
      <c r="X185" s="24">
        <f>$C$113*INDEX($C$95:$AL$95,1,22)</f>
        <v/>
      </c>
      <c r="Y185" s="24">
        <f>$C$113*INDEX($C$95:$AL$95,1,23)</f>
        <v/>
      </c>
      <c r="Z185" s="24">
        <f>$C$113*INDEX($C$95:$AL$95,1,24)</f>
        <v/>
      </c>
      <c r="AA185" s="24">
        <f>$C$113*INDEX($C$95:$AL$95,1,25)</f>
        <v/>
      </c>
      <c r="AB185" s="24">
        <f>$C$113*INDEX($C$95:$AL$95,1,26)</f>
        <v/>
      </c>
      <c r="AC185" s="24">
        <f>$C$113*INDEX($C$95:$AL$95,1,27)</f>
        <v/>
      </c>
      <c r="AD185" s="24">
        <f>$C$113*INDEX($C$95:$AL$95,1,28)</f>
        <v/>
      </c>
      <c r="AE185" s="24">
        <f>$C$113*INDEX($C$95:$AL$95,1,29)</f>
        <v/>
      </c>
      <c r="AF185" s="24">
        <f>$C$113*INDEX($C$95:$AL$95,1,30)</f>
        <v/>
      </c>
    </row>
    <row r="186">
      <c r="A186" s="4" t="inlineStr">
        <is>
          <t>Coorte del mese 2</t>
        </is>
      </c>
      <c r="C186" s="24" t="n">
        <v>0</v>
      </c>
      <c r="D186" s="24">
        <f>$D$113*INDEX($C$95:$AL$95,1,1)</f>
        <v/>
      </c>
      <c r="E186" s="24">
        <f>$D$113*INDEX($C$95:$AL$95,1,2)</f>
        <v/>
      </c>
      <c r="F186" s="24">
        <f>$D$113*INDEX($C$95:$AL$95,1,3)</f>
        <v/>
      </c>
      <c r="G186" s="24">
        <f>$D$113*INDEX($C$95:$AL$95,1,4)</f>
        <v/>
      </c>
      <c r="H186" s="24">
        <f>$D$113*INDEX($C$95:$AL$95,1,5)</f>
        <v/>
      </c>
      <c r="I186" s="24">
        <f>$D$113*INDEX($C$95:$AL$95,1,6)</f>
        <v/>
      </c>
      <c r="J186" s="24">
        <f>$D$113*INDEX($C$95:$AL$95,1,7)</f>
        <v/>
      </c>
      <c r="K186" s="24">
        <f>$D$113*INDEX($C$95:$AL$95,1,8)</f>
        <v/>
      </c>
      <c r="L186" s="24">
        <f>$D$113*INDEX($C$95:$AL$95,1,9)</f>
        <v/>
      </c>
      <c r="M186" s="24">
        <f>$D$113*INDEX($C$95:$AL$95,1,10)</f>
        <v/>
      </c>
      <c r="N186" s="24">
        <f>$D$113*INDEX($C$95:$AL$95,1,11)</f>
        <v/>
      </c>
      <c r="O186" s="24">
        <f>$D$113*INDEX($C$95:$AL$95,1,12)</f>
        <v/>
      </c>
      <c r="P186" s="24">
        <f>$D$113*INDEX($C$95:$AL$95,1,13)</f>
        <v/>
      </c>
      <c r="Q186" s="24">
        <f>$D$113*INDEX($C$95:$AL$95,1,14)</f>
        <v/>
      </c>
      <c r="R186" s="24">
        <f>$D$113*INDEX($C$95:$AL$95,1,15)</f>
        <v/>
      </c>
      <c r="S186" s="24">
        <f>$D$113*INDEX($C$95:$AL$95,1,16)</f>
        <v/>
      </c>
      <c r="T186" s="24">
        <f>$D$113*INDEX($C$95:$AL$95,1,17)</f>
        <v/>
      </c>
      <c r="U186" s="24">
        <f>$D$113*INDEX($C$95:$AL$95,1,18)</f>
        <v/>
      </c>
      <c r="V186" s="24">
        <f>$D$113*INDEX($C$95:$AL$95,1,19)</f>
        <v/>
      </c>
      <c r="W186" s="24">
        <f>$D$113*INDEX($C$95:$AL$95,1,20)</f>
        <v/>
      </c>
      <c r="X186" s="24">
        <f>$D$113*INDEX($C$95:$AL$95,1,21)</f>
        <v/>
      </c>
      <c r="Y186" s="24">
        <f>$D$113*INDEX($C$95:$AL$95,1,22)</f>
        <v/>
      </c>
      <c r="Z186" s="24">
        <f>$D$113*INDEX($C$95:$AL$95,1,23)</f>
        <v/>
      </c>
      <c r="AA186" s="24">
        <f>$D$113*INDEX($C$95:$AL$95,1,24)</f>
        <v/>
      </c>
      <c r="AB186" s="24">
        <f>$D$113*INDEX($C$95:$AL$95,1,25)</f>
        <v/>
      </c>
      <c r="AC186" s="24">
        <f>$D$113*INDEX($C$95:$AL$95,1,26)</f>
        <v/>
      </c>
      <c r="AD186" s="24">
        <f>$D$113*INDEX($C$95:$AL$95,1,27)</f>
        <v/>
      </c>
      <c r="AE186" s="24">
        <f>$D$113*INDEX($C$95:$AL$95,1,28)</f>
        <v/>
      </c>
      <c r="AF186" s="24">
        <f>$D$113*INDEX($C$95:$AL$95,1,29)</f>
        <v/>
      </c>
    </row>
    <row r="187">
      <c r="A187" s="4" t="inlineStr">
        <is>
          <t>Coorte del mese 3</t>
        </is>
      </c>
      <c r="C187" s="24" t="n">
        <v>0</v>
      </c>
      <c r="D187" s="24" t="n">
        <v>0</v>
      </c>
      <c r="E187" s="24">
        <f>$E$113*INDEX($C$95:$AL$95,1,1)</f>
        <v/>
      </c>
      <c r="F187" s="24">
        <f>$E$113*INDEX($C$95:$AL$95,1,2)</f>
        <v/>
      </c>
      <c r="G187" s="24">
        <f>$E$113*INDEX($C$95:$AL$95,1,3)</f>
        <v/>
      </c>
      <c r="H187" s="24">
        <f>$E$113*INDEX($C$95:$AL$95,1,4)</f>
        <v/>
      </c>
      <c r="I187" s="24">
        <f>$E$113*INDEX($C$95:$AL$95,1,5)</f>
        <v/>
      </c>
      <c r="J187" s="24">
        <f>$E$113*INDEX($C$95:$AL$95,1,6)</f>
        <v/>
      </c>
      <c r="K187" s="24">
        <f>$E$113*INDEX($C$95:$AL$95,1,7)</f>
        <v/>
      </c>
      <c r="L187" s="24">
        <f>$E$113*INDEX($C$95:$AL$95,1,8)</f>
        <v/>
      </c>
      <c r="M187" s="24">
        <f>$E$113*INDEX($C$95:$AL$95,1,9)</f>
        <v/>
      </c>
      <c r="N187" s="24">
        <f>$E$113*INDEX($C$95:$AL$95,1,10)</f>
        <v/>
      </c>
      <c r="O187" s="24">
        <f>$E$113*INDEX($C$95:$AL$95,1,11)</f>
        <v/>
      </c>
      <c r="P187" s="24">
        <f>$E$113*INDEX($C$95:$AL$95,1,12)</f>
        <v/>
      </c>
      <c r="Q187" s="24">
        <f>$E$113*INDEX($C$95:$AL$95,1,13)</f>
        <v/>
      </c>
      <c r="R187" s="24">
        <f>$E$113*INDEX($C$95:$AL$95,1,14)</f>
        <v/>
      </c>
      <c r="S187" s="24">
        <f>$E$113*INDEX($C$95:$AL$95,1,15)</f>
        <v/>
      </c>
      <c r="T187" s="24">
        <f>$E$113*INDEX($C$95:$AL$95,1,16)</f>
        <v/>
      </c>
      <c r="U187" s="24">
        <f>$E$113*INDEX($C$95:$AL$95,1,17)</f>
        <v/>
      </c>
      <c r="V187" s="24">
        <f>$E$113*INDEX($C$95:$AL$95,1,18)</f>
        <v/>
      </c>
      <c r="W187" s="24">
        <f>$E$113*INDEX($C$95:$AL$95,1,19)</f>
        <v/>
      </c>
      <c r="X187" s="24">
        <f>$E$113*INDEX($C$95:$AL$95,1,20)</f>
        <v/>
      </c>
      <c r="Y187" s="24">
        <f>$E$113*INDEX($C$95:$AL$95,1,21)</f>
        <v/>
      </c>
      <c r="Z187" s="24">
        <f>$E$113*INDEX($C$95:$AL$95,1,22)</f>
        <v/>
      </c>
      <c r="AA187" s="24">
        <f>$E$113*INDEX($C$95:$AL$95,1,23)</f>
        <v/>
      </c>
      <c r="AB187" s="24">
        <f>$E$113*INDEX($C$95:$AL$95,1,24)</f>
        <v/>
      </c>
      <c r="AC187" s="24">
        <f>$E$113*INDEX($C$95:$AL$95,1,25)</f>
        <v/>
      </c>
      <c r="AD187" s="24">
        <f>$E$113*INDEX($C$95:$AL$95,1,26)</f>
        <v/>
      </c>
      <c r="AE187" s="24">
        <f>$E$113*INDEX($C$95:$AL$95,1,27)</f>
        <v/>
      </c>
      <c r="AF187" s="24">
        <f>$E$113*INDEX($C$95:$AL$95,1,28)</f>
        <v/>
      </c>
    </row>
    <row r="188">
      <c r="A188" s="4" t="inlineStr">
        <is>
          <t>Coorte del mese 4</t>
        </is>
      </c>
      <c r="C188" s="24" t="n">
        <v>0</v>
      </c>
      <c r="D188" s="24" t="n">
        <v>0</v>
      </c>
      <c r="E188" s="24" t="n">
        <v>0</v>
      </c>
      <c r="F188" s="24">
        <f>$F$113*INDEX($C$95:$AL$95,1,1)</f>
        <v/>
      </c>
      <c r="G188" s="24">
        <f>$F$113*INDEX($C$95:$AL$95,1,2)</f>
        <v/>
      </c>
      <c r="H188" s="24">
        <f>$F$113*INDEX($C$95:$AL$95,1,3)</f>
        <v/>
      </c>
      <c r="I188" s="24">
        <f>$F$113*INDEX($C$95:$AL$95,1,4)</f>
        <v/>
      </c>
      <c r="J188" s="24">
        <f>$F$113*INDEX($C$95:$AL$95,1,5)</f>
        <v/>
      </c>
      <c r="K188" s="24">
        <f>$F$113*INDEX($C$95:$AL$95,1,6)</f>
        <v/>
      </c>
      <c r="L188" s="24">
        <f>$F$113*INDEX($C$95:$AL$95,1,7)</f>
        <v/>
      </c>
      <c r="M188" s="24">
        <f>$F$113*INDEX($C$95:$AL$95,1,8)</f>
        <v/>
      </c>
      <c r="N188" s="24">
        <f>$F$113*INDEX($C$95:$AL$95,1,9)</f>
        <v/>
      </c>
      <c r="O188" s="24">
        <f>$F$113*INDEX($C$95:$AL$95,1,10)</f>
        <v/>
      </c>
      <c r="P188" s="24">
        <f>$F$113*INDEX($C$95:$AL$95,1,11)</f>
        <v/>
      </c>
      <c r="Q188" s="24">
        <f>$F$113*INDEX($C$95:$AL$95,1,12)</f>
        <v/>
      </c>
      <c r="R188" s="24">
        <f>$F$113*INDEX($C$95:$AL$95,1,13)</f>
        <v/>
      </c>
      <c r="S188" s="24">
        <f>$F$113*INDEX($C$95:$AL$95,1,14)</f>
        <v/>
      </c>
      <c r="T188" s="24">
        <f>$F$113*INDEX($C$95:$AL$95,1,15)</f>
        <v/>
      </c>
      <c r="U188" s="24">
        <f>$F$113*INDEX($C$95:$AL$95,1,16)</f>
        <v/>
      </c>
      <c r="V188" s="24">
        <f>$F$113*INDEX($C$95:$AL$95,1,17)</f>
        <v/>
      </c>
      <c r="W188" s="24">
        <f>$F$113*INDEX($C$95:$AL$95,1,18)</f>
        <v/>
      </c>
      <c r="X188" s="24">
        <f>$F$113*INDEX($C$95:$AL$95,1,19)</f>
        <v/>
      </c>
      <c r="Y188" s="24">
        <f>$F$113*INDEX($C$95:$AL$95,1,20)</f>
        <v/>
      </c>
      <c r="Z188" s="24">
        <f>$F$113*INDEX($C$95:$AL$95,1,21)</f>
        <v/>
      </c>
      <c r="AA188" s="24">
        <f>$F$113*INDEX($C$95:$AL$95,1,22)</f>
        <v/>
      </c>
      <c r="AB188" s="24">
        <f>$F$113*INDEX($C$95:$AL$95,1,23)</f>
        <v/>
      </c>
      <c r="AC188" s="24">
        <f>$F$113*INDEX($C$95:$AL$95,1,24)</f>
        <v/>
      </c>
      <c r="AD188" s="24">
        <f>$F$113*INDEX($C$95:$AL$95,1,25)</f>
        <v/>
      </c>
      <c r="AE188" s="24">
        <f>$F$113*INDEX($C$95:$AL$95,1,26)</f>
        <v/>
      </c>
      <c r="AF188" s="24">
        <f>$F$113*INDEX($C$95:$AL$95,1,27)</f>
        <v/>
      </c>
    </row>
    <row r="189">
      <c r="A189" s="4" t="inlineStr">
        <is>
          <t>Coorte del mese 5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>
        <f>$G$113*INDEX($C$95:$AL$95,1,1)</f>
        <v/>
      </c>
      <c r="H189" s="24">
        <f>$G$113*INDEX($C$95:$AL$95,1,2)</f>
        <v/>
      </c>
      <c r="I189" s="24">
        <f>$G$113*INDEX($C$95:$AL$95,1,3)</f>
        <v/>
      </c>
      <c r="J189" s="24">
        <f>$G$113*INDEX($C$95:$AL$95,1,4)</f>
        <v/>
      </c>
      <c r="K189" s="24">
        <f>$G$113*INDEX($C$95:$AL$95,1,5)</f>
        <v/>
      </c>
      <c r="L189" s="24">
        <f>$G$113*INDEX($C$95:$AL$95,1,6)</f>
        <v/>
      </c>
      <c r="M189" s="24">
        <f>$G$113*INDEX($C$95:$AL$95,1,7)</f>
        <v/>
      </c>
      <c r="N189" s="24">
        <f>$G$113*INDEX($C$95:$AL$95,1,8)</f>
        <v/>
      </c>
      <c r="O189" s="24">
        <f>$G$113*INDEX($C$95:$AL$95,1,9)</f>
        <v/>
      </c>
      <c r="P189" s="24">
        <f>$G$113*INDEX($C$95:$AL$95,1,10)</f>
        <v/>
      </c>
      <c r="Q189" s="24">
        <f>$G$113*INDEX($C$95:$AL$95,1,11)</f>
        <v/>
      </c>
      <c r="R189" s="24">
        <f>$G$113*INDEX($C$95:$AL$95,1,12)</f>
        <v/>
      </c>
      <c r="S189" s="24">
        <f>$G$113*INDEX($C$95:$AL$95,1,13)</f>
        <v/>
      </c>
      <c r="T189" s="24">
        <f>$G$113*INDEX($C$95:$AL$95,1,14)</f>
        <v/>
      </c>
      <c r="U189" s="24">
        <f>$G$113*INDEX($C$95:$AL$95,1,15)</f>
        <v/>
      </c>
      <c r="V189" s="24">
        <f>$G$113*INDEX($C$95:$AL$95,1,16)</f>
        <v/>
      </c>
      <c r="W189" s="24">
        <f>$G$113*INDEX($C$95:$AL$95,1,17)</f>
        <v/>
      </c>
      <c r="X189" s="24">
        <f>$G$113*INDEX($C$95:$AL$95,1,18)</f>
        <v/>
      </c>
      <c r="Y189" s="24">
        <f>$G$113*INDEX($C$95:$AL$95,1,19)</f>
        <v/>
      </c>
      <c r="Z189" s="24">
        <f>$G$113*INDEX($C$95:$AL$95,1,20)</f>
        <v/>
      </c>
      <c r="AA189" s="24">
        <f>$G$113*INDEX($C$95:$AL$95,1,21)</f>
        <v/>
      </c>
      <c r="AB189" s="24">
        <f>$G$113*INDEX($C$95:$AL$95,1,22)</f>
        <v/>
      </c>
      <c r="AC189" s="24">
        <f>$G$113*INDEX($C$95:$AL$95,1,23)</f>
        <v/>
      </c>
      <c r="AD189" s="24">
        <f>$G$113*INDEX($C$95:$AL$95,1,24)</f>
        <v/>
      </c>
      <c r="AE189" s="24">
        <f>$G$113*INDEX($C$95:$AL$95,1,25)</f>
        <v/>
      </c>
      <c r="AF189" s="24">
        <f>$G$113*INDEX($C$95:$AL$95,1,26)</f>
        <v/>
      </c>
    </row>
    <row r="190">
      <c r="A190" s="4" t="inlineStr">
        <is>
          <t>Coorte del mese 6</t>
        </is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>
        <f>$H$113*INDEX($C$95:$AL$95,1,1)</f>
        <v/>
      </c>
      <c r="I190" s="24">
        <f>$H$113*INDEX($C$95:$AL$95,1,2)</f>
        <v/>
      </c>
      <c r="J190" s="24">
        <f>$H$113*INDEX($C$95:$AL$95,1,3)</f>
        <v/>
      </c>
      <c r="K190" s="24">
        <f>$H$113*INDEX($C$95:$AL$95,1,4)</f>
        <v/>
      </c>
      <c r="L190" s="24">
        <f>$H$113*INDEX($C$95:$AL$95,1,5)</f>
        <v/>
      </c>
      <c r="M190" s="24">
        <f>$H$113*INDEX($C$95:$AL$95,1,6)</f>
        <v/>
      </c>
      <c r="N190" s="24">
        <f>$H$113*INDEX($C$95:$AL$95,1,7)</f>
        <v/>
      </c>
      <c r="O190" s="24">
        <f>$H$113*INDEX($C$95:$AL$95,1,8)</f>
        <v/>
      </c>
      <c r="P190" s="24">
        <f>$H$113*INDEX($C$95:$AL$95,1,9)</f>
        <v/>
      </c>
      <c r="Q190" s="24">
        <f>$H$113*INDEX($C$95:$AL$95,1,10)</f>
        <v/>
      </c>
      <c r="R190" s="24">
        <f>$H$113*INDEX($C$95:$AL$95,1,11)</f>
        <v/>
      </c>
      <c r="S190" s="24">
        <f>$H$113*INDEX($C$95:$AL$95,1,12)</f>
        <v/>
      </c>
      <c r="T190" s="24">
        <f>$H$113*INDEX($C$95:$AL$95,1,13)</f>
        <v/>
      </c>
      <c r="U190" s="24">
        <f>$H$113*INDEX($C$95:$AL$95,1,14)</f>
        <v/>
      </c>
      <c r="V190" s="24">
        <f>$H$113*INDEX($C$95:$AL$95,1,15)</f>
        <v/>
      </c>
      <c r="W190" s="24">
        <f>$H$113*INDEX($C$95:$AL$95,1,16)</f>
        <v/>
      </c>
      <c r="X190" s="24">
        <f>$H$113*INDEX($C$95:$AL$95,1,17)</f>
        <v/>
      </c>
      <c r="Y190" s="24">
        <f>$H$113*INDEX($C$95:$AL$95,1,18)</f>
        <v/>
      </c>
      <c r="Z190" s="24">
        <f>$H$113*INDEX($C$95:$AL$95,1,19)</f>
        <v/>
      </c>
      <c r="AA190" s="24">
        <f>$H$113*INDEX($C$95:$AL$95,1,20)</f>
        <v/>
      </c>
      <c r="AB190" s="24">
        <f>$H$113*INDEX($C$95:$AL$95,1,21)</f>
        <v/>
      </c>
      <c r="AC190" s="24">
        <f>$H$113*INDEX($C$95:$AL$95,1,22)</f>
        <v/>
      </c>
      <c r="AD190" s="24">
        <f>$H$113*INDEX($C$95:$AL$95,1,23)</f>
        <v/>
      </c>
      <c r="AE190" s="24">
        <f>$H$113*INDEX($C$95:$AL$95,1,24)</f>
        <v/>
      </c>
      <c r="AF190" s="24">
        <f>$H$113*INDEX($C$95:$AL$95,1,25)</f>
        <v/>
      </c>
    </row>
    <row r="191">
      <c r="A191" s="4" t="inlineStr">
        <is>
          <t>Coorte del mese 7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>
        <f>$I$113*INDEX($C$95:$AL$95,1,1)</f>
        <v/>
      </c>
      <c r="J191" s="24">
        <f>$I$113*INDEX($C$95:$AL$95,1,2)</f>
        <v/>
      </c>
      <c r="K191" s="24">
        <f>$I$113*INDEX($C$95:$AL$95,1,3)</f>
        <v/>
      </c>
      <c r="L191" s="24">
        <f>$I$113*INDEX($C$95:$AL$95,1,4)</f>
        <v/>
      </c>
      <c r="M191" s="24">
        <f>$I$113*INDEX($C$95:$AL$95,1,5)</f>
        <v/>
      </c>
      <c r="N191" s="24">
        <f>$I$113*INDEX($C$95:$AL$95,1,6)</f>
        <v/>
      </c>
      <c r="O191" s="24">
        <f>$I$113*INDEX($C$95:$AL$95,1,7)</f>
        <v/>
      </c>
      <c r="P191" s="24">
        <f>$I$113*INDEX($C$95:$AL$95,1,8)</f>
        <v/>
      </c>
      <c r="Q191" s="24">
        <f>$I$113*INDEX($C$95:$AL$95,1,9)</f>
        <v/>
      </c>
      <c r="R191" s="24">
        <f>$I$113*INDEX($C$95:$AL$95,1,10)</f>
        <v/>
      </c>
      <c r="S191" s="24">
        <f>$I$113*INDEX($C$95:$AL$95,1,11)</f>
        <v/>
      </c>
      <c r="T191" s="24">
        <f>$I$113*INDEX($C$95:$AL$95,1,12)</f>
        <v/>
      </c>
      <c r="U191" s="24">
        <f>$I$113*INDEX($C$95:$AL$95,1,13)</f>
        <v/>
      </c>
      <c r="V191" s="24">
        <f>$I$113*INDEX($C$95:$AL$95,1,14)</f>
        <v/>
      </c>
      <c r="W191" s="24">
        <f>$I$113*INDEX($C$95:$AL$95,1,15)</f>
        <v/>
      </c>
      <c r="X191" s="24">
        <f>$I$113*INDEX($C$95:$AL$95,1,16)</f>
        <v/>
      </c>
      <c r="Y191" s="24">
        <f>$I$113*INDEX($C$95:$AL$95,1,17)</f>
        <v/>
      </c>
      <c r="Z191" s="24">
        <f>$I$113*INDEX($C$95:$AL$95,1,18)</f>
        <v/>
      </c>
      <c r="AA191" s="24">
        <f>$I$113*INDEX($C$95:$AL$95,1,19)</f>
        <v/>
      </c>
      <c r="AB191" s="24">
        <f>$I$113*INDEX($C$95:$AL$95,1,20)</f>
        <v/>
      </c>
      <c r="AC191" s="24">
        <f>$I$113*INDEX($C$95:$AL$95,1,21)</f>
        <v/>
      </c>
      <c r="AD191" s="24">
        <f>$I$113*INDEX($C$95:$AL$95,1,22)</f>
        <v/>
      </c>
      <c r="AE191" s="24">
        <f>$I$113*INDEX($C$95:$AL$95,1,23)</f>
        <v/>
      </c>
      <c r="AF191" s="24">
        <f>$I$113*INDEX($C$95:$AL$95,1,24)</f>
        <v/>
      </c>
    </row>
    <row r="192">
      <c r="A192" s="4" t="inlineStr">
        <is>
          <t>Coorte del mese 8</t>
        </is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>
        <f>$J$113*INDEX($C$95:$AL$95,1,1)</f>
        <v/>
      </c>
      <c r="K192" s="24">
        <f>$J$113*INDEX($C$95:$AL$95,1,2)</f>
        <v/>
      </c>
      <c r="L192" s="24">
        <f>$J$113*INDEX($C$95:$AL$95,1,3)</f>
        <v/>
      </c>
      <c r="M192" s="24">
        <f>$J$113*INDEX($C$95:$AL$95,1,4)</f>
        <v/>
      </c>
      <c r="N192" s="24">
        <f>$J$113*INDEX($C$95:$AL$95,1,5)</f>
        <v/>
      </c>
      <c r="O192" s="24">
        <f>$J$113*INDEX($C$95:$AL$95,1,6)</f>
        <v/>
      </c>
      <c r="P192" s="24">
        <f>$J$113*INDEX($C$95:$AL$95,1,7)</f>
        <v/>
      </c>
      <c r="Q192" s="24">
        <f>$J$113*INDEX($C$95:$AL$95,1,8)</f>
        <v/>
      </c>
      <c r="R192" s="24">
        <f>$J$113*INDEX($C$95:$AL$95,1,9)</f>
        <v/>
      </c>
      <c r="S192" s="24">
        <f>$J$113*INDEX($C$95:$AL$95,1,10)</f>
        <v/>
      </c>
      <c r="T192" s="24">
        <f>$J$113*INDEX($C$95:$AL$95,1,11)</f>
        <v/>
      </c>
      <c r="U192" s="24">
        <f>$J$113*INDEX($C$95:$AL$95,1,12)</f>
        <v/>
      </c>
      <c r="V192" s="24">
        <f>$J$113*INDEX($C$95:$AL$95,1,13)</f>
        <v/>
      </c>
      <c r="W192" s="24">
        <f>$J$113*INDEX($C$95:$AL$95,1,14)</f>
        <v/>
      </c>
      <c r="X192" s="24">
        <f>$J$113*INDEX($C$95:$AL$95,1,15)</f>
        <v/>
      </c>
      <c r="Y192" s="24">
        <f>$J$113*INDEX($C$95:$AL$95,1,16)</f>
        <v/>
      </c>
      <c r="Z192" s="24">
        <f>$J$113*INDEX($C$95:$AL$95,1,17)</f>
        <v/>
      </c>
      <c r="AA192" s="24">
        <f>$J$113*INDEX($C$95:$AL$95,1,18)</f>
        <v/>
      </c>
      <c r="AB192" s="24">
        <f>$J$113*INDEX($C$95:$AL$95,1,19)</f>
        <v/>
      </c>
      <c r="AC192" s="24">
        <f>$J$113*INDEX($C$95:$AL$95,1,20)</f>
        <v/>
      </c>
      <c r="AD192" s="24">
        <f>$J$113*INDEX($C$95:$AL$95,1,21)</f>
        <v/>
      </c>
      <c r="AE192" s="24">
        <f>$J$113*INDEX($C$95:$AL$95,1,22)</f>
        <v/>
      </c>
      <c r="AF192" s="24">
        <f>$J$113*INDEX($C$95:$AL$95,1,23)</f>
        <v/>
      </c>
    </row>
    <row r="193">
      <c r="A193" s="4" t="inlineStr">
        <is>
          <t>Coorte del mese 9</t>
        </is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>
        <f>$K$113*INDEX($C$95:$AL$95,1,1)</f>
        <v/>
      </c>
      <c r="L193" s="24">
        <f>$K$113*INDEX($C$95:$AL$95,1,2)</f>
        <v/>
      </c>
      <c r="M193" s="24">
        <f>$K$113*INDEX($C$95:$AL$95,1,3)</f>
        <v/>
      </c>
      <c r="N193" s="24">
        <f>$K$113*INDEX($C$95:$AL$95,1,4)</f>
        <v/>
      </c>
      <c r="O193" s="24">
        <f>$K$113*INDEX($C$95:$AL$95,1,5)</f>
        <v/>
      </c>
      <c r="P193" s="24">
        <f>$K$113*INDEX($C$95:$AL$95,1,6)</f>
        <v/>
      </c>
      <c r="Q193" s="24">
        <f>$K$113*INDEX($C$95:$AL$95,1,7)</f>
        <v/>
      </c>
      <c r="R193" s="24">
        <f>$K$113*INDEX($C$95:$AL$95,1,8)</f>
        <v/>
      </c>
      <c r="S193" s="24">
        <f>$K$113*INDEX($C$95:$AL$95,1,9)</f>
        <v/>
      </c>
      <c r="T193" s="24">
        <f>$K$113*INDEX($C$95:$AL$95,1,10)</f>
        <v/>
      </c>
      <c r="U193" s="24">
        <f>$K$113*INDEX($C$95:$AL$95,1,11)</f>
        <v/>
      </c>
      <c r="V193" s="24">
        <f>$K$113*INDEX($C$95:$AL$95,1,12)</f>
        <v/>
      </c>
      <c r="W193" s="24">
        <f>$K$113*INDEX($C$95:$AL$95,1,13)</f>
        <v/>
      </c>
      <c r="X193" s="24">
        <f>$K$113*INDEX($C$95:$AL$95,1,14)</f>
        <v/>
      </c>
      <c r="Y193" s="24">
        <f>$K$113*INDEX($C$95:$AL$95,1,15)</f>
        <v/>
      </c>
      <c r="Z193" s="24">
        <f>$K$113*INDEX($C$95:$AL$95,1,16)</f>
        <v/>
      </c>
      <c r="AA193" s="24">
        <f>$K$113*INDEX($C$95:$AL$95,1,17)</f>
        <v/>
      </c>
      <c r="AB193" s="24">
        <f>$K$113*INDEX($C$95:$AL$95,1,18)</f>
        <v/>
      </c>
      <c r="AC193" s="24">
        <f>$K$113*INDEX($C$95:$AL$95,1,19)</f>
        <v/>
      </c>
      <c r="AD193" s="24">
        <f>$K$113*INDEX($C$95:$AL$95,1,20)</f>
        <v/>
      </c>
      <c r="AE193" s="24">
        <f>$K$113*INDEX($C$95:$AL$95,1,21)</f>
        <v/>
      </c>
      <c r="AF193" s="24">
        <f>$K$113*INDEX($C$95:$AL$95,1,22)</f>
        <v/>
      </c>
    </row>
    <row r="194">
      <c r="A194" s="4" t="inlineStr">
        <is>
          <t>Coorte del mese 10</t>
        </is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>
        <f>$L$113*INDEX($C$95:$AL$95,1,1)</f>
        <v/>
      </c>
      <c r="M194" s="24">
        <f>$L$113*INDEX($C$95:$AL$95,1,2)</f>
        <v/>
      </c>
      <c r="N194" s="24">
        <f>$L$113*INDEX($C$95:$AL$95,1,3)</f>
        <v/>
      </c>
      <c r="O194" s="24">
        <f>$L$113*INDEX($C$95:$AL$95,1,4)</f>
        <v/>
      </c>
      <c r="P194" s="24">
        <f>$L$113*INDEX($C$95:$AL$95,1,5)</f>
        <v/>
      </c>
      <c r="Q194" s="24">
        <f>$L$113*INDEX($C$95:$AL$95,1,6)</f>
        <v/>
      </c>
      <c r="R194" s="24">
        <f>$L$113*INDEX($C$95:$AL$95,1,7)</f>
        <v/>
      </c>
      <c r="S194" s="24">
        <f>$L$113*INDEX($C$95:$AL$95,1,8)</f>
        <v/>
      </c>
      <c r="T194" s="24">
        <f>$L$113*INDEX($C$95:$AL$95,1,9)</f>
        <v/>
      </c>
      <c r="U194" s="24">
        <f>$L$113*INDEX($C$95:$AL$95,1,10)</f>
        <v/>
      </c>
      <c r="V194" s="24">
        <f>$L$113*INDEX($C$95:$AL$95,1,11)</f>
        <v/>
      </c>
      <c r="W194" s="24">
        <f>$L$113*INDEX($C$95:$AL$95,1,12)</f>
        <v/>
      </c>
      <c r="X194" s="24">
        <f>$L$113*INDEX($C$95:$AL$95,1,13)</f>
        <v/>
      </c>
      <c r="Y194" s="24">
        <f>$L$113*INDEX($C$95:$AL$95,1,14)</f>
        <v/>
      </c>
      <c r="Z194" s="24">
        <f>$L$113*INDEX($C$95:$AL$95,1,15)</f>
        <v/>
      </c>
      <c r="AA194" s="24">
        <f>$L$113*INDEX($C$95:$AL$95,1,16)</f>
        <v/>
      </c>
      <c r="AB194" s="24">
        <f>$L$113*INDEX($C$95:$AL$95,1,17)</f>
        <v/>
      </c>
      <c r="AC194" s="24">
        <f>$L$113*INDEX($C$95:$AL$95,1,18)</f>
        <v/>
      </c>
      <c r="AD194" s="24">
        <f>$L$113*INDEX($C$95:$AL$95,1,19)</f>
        <v/>
      </c>
      <c r="AE194" s="24">
        <f>$L$113*INDEX($C$95:$AL$95,1,20)</f>
        <v/>
      </c>
      <c r="AF194" s="24">
        <f>$L$113*INDEX($C$95:$AL$95,1,21)</f>
        <v/>
      </c>
    </row>
    <row r="195">
      <c r="A195" s="4" t="inlineStr">
        <is>
          <t>Coorte del mese 11</t>
        </is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>
        <f>$M$113*INDEX($C$95:$AL$95,1,1)</f>
        <v/>
      </c>
      <c r="N195" s="24">
        <f>$M$113*INDEX($C$95:$AL$95,1,2)</f>
        <v/>
      </c>
      <c r="O195" s="24">
        <f>$M$113*INDEX($C$95:$AL$95,1,3)</f>
        <v/>
      </c>
      <c r="P195" s="24">
        <f>$M$113*INDEX($C$95:$AL$95,1,4)</f>
        <v/>
      </c>
      <c r="Q195" s="24">
        <f>$M$113*INDEX($C$95:$AL$95,1,5)</f>
        <v/>
      </c>
      <c r="R195" s="24">
        <f>$M$113*INDEX($C$95:$AL$95,1,6)</f>
        <v/>
      </c>
      <c r="S195" s="24">
        <f>$M$113*INDEX($C$95:$AL$95,1,7)</f>
        <v/>
      </c>
      <c r="T195" s="24">
        <f>$M$113*INDEX($C$95:$AL$95,1,8)</f>
        <v/>
      </c>
      <c r="U195" s="24">
        <f>$M$113*INDEX($C$95:$AL$95,1,9)</f>
        <v/>
      </c>
      <c r="V195" s="24">
        <f>$M$113*INDEX($C$95:$AL$95,1,10)</f>
        <v/>
      </c>
      <c r="W195" s="24">
        <f>$M$113*INDEX($C$95:$AL$95,1,11)</f>
        <v/>
      </c>
      <c r="X195" s="24">
        <f>$M$113*INDEX($C$95:$AL$95,1,12)</f>
        <v/>
      </c>
      <c r="Y195" s="24">
        <f>$M$113*INDEX($C$95:$AL$95,1,13)</f>
        <v/>
      </c>
      <c r="Z195" s="24">
        <f>$M$113*INDEX($C$95:$AL$95,1,14)</f>
        <v/>
      </c>
      <c r="AA195" s="24">
        <f>$M$113*INDEX($C$95:$AL$95,1,15)</f>
        <v/>
      </c>
      <c r="AB195" s="24">
        <f>$M$113*INDEX($C$95:$AL$95,1,16)</f>
        <v/>
      </c>
      <c r="AC195" s="24">
        <f>$M$113*INDEX($C$95:$AL$95,1,17)</f>
        <v/>
      </c>
      <c r="AD195" s="24">
        <f>$M$113*INDEX($C$95:$AL$95,1,18)</f>
        <v/>
      </c>
      <c r="AE195" s="24">
        <f>$M$113*INDEX($C$95:$AL$95,1,19)</f>
        <v/>
      </c>
      <c r="AF195" s="24">
        <f>$M$113*INDEX($C$95:$AL$95,1,20)</f>
        <v/>
      </c>
    </row>
    <row r="196">
      <c r="A196" s="4" t="inlineStr">
        <is>
          <t>Coorte del mese 12</t>
        </is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>
        <f>$N$113*INDEX($C$95:$AL$95,1,1)</f>
        <v/>
      </c>
      <c r="O196" s="24">
        <f>$N$113*INDEX($C$95:$AL$95,1,2)</f>
        <v/>
      </c>
      <c r="P196" s="24">
        <f>$N$113*INDEX($C$95:$AL$95,1,3)</f>
        <v/>
      </c>
      <c r="Q196" s="24">
        <f>$N$113*INDEX($C$95:$AL$95,1,4)</f>
        <v/>
      </c>
      <c r="R196" s="24">
        <f>$N$113*INDEX($C$95:$AL$95,1,5)</f>
        <v/>
      </c>
      <c r="S196" s="24">
        <f>$N$113*INDEX($C$95:$AL$95,1,6)</f>
        <v/>
      </c>
      <c r="T196" s="24">
        <f>$N$113*INDEX($C$95:$AL$95,1,7)</f>
        <v/>
      </c>
      <c r="U196" s="24">
        <f>$N$113*INDEX($C$95:$AL$95,1,8)</f>
        <v/>
      </c>
      <c r="V196" s="24">
        <f>$N$113*INDEX($C$95:$AL$95,1,9)</f>
        <v/>
      </c>
      <c r="W196" s="24">
        <f>$N$113*INDEX($C$95:$AL$95,1,10)</f>
        <v/>
      </c>
      <c r="X196" s="24">
        <f>$N$113*INDEX($C$95:$AL$95,1,11)</f>
        <v/>
      </c>
      <c r="Y196" s="24">
        <f>$N$113*INDEX($C$95:$AL$95,1,12)</f>
        <v/>
      </c>
      <c r="Z196" s="24">
        <f>$N$113*INDEX($C$95:$AL$95,1,13)</f>
        <v/>
      </c>
      <c r="AA196" s="24">
        <f>$N$113*INDEX($C$95:$AL$95,1,14)</f>
        <v/>
      </c>
      <c r="AB196" s="24">
        <f>$N$113*INDEX($C$95:$AL$95,1,15)</f>
        <v/>
      </c>
      <c r="AC196" s="24">
        <f>$N$113*INDEX($C$95:$AL$95,1,16)</f>
        <v/>
      </c>
      <c r="AD196" s="24">
        <f>$N$113*INDEX($C$95:$AL$95,1,17)</f>
        <v/>
      </c>
      <c r="AE196" s="24">
        <f>$N$113*INDEX($C$95:$AL$95,1,18)</f>
        <v/>
      </c>
      <c r="AF196" s="24">
        <f>$N$113*INDEX($C$95:$AL$95,1,19)</f>
        <v/>
      </c>
    </row>
    <row r="197">
      <c r="A197" s="4" t="inlineStr">
        <is>
          <t>Coorte del mese 13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>
        <f>$O$113*INDEX($C$95:$AL$95,1,1)</f>
        <v/>
      </c>
      <c r="P197" s="24">
        <f>$O$113*INDEX($C$95:$AL$95,1,2)</f>
        <v/>
      </c>
      <c r="Q197" s="24">
        <f>$O$113*INDEX($C$95:$AL$95,1,3)</f>
        <v/>
      </c>
      <c r="R197" s="24">
        <f>$O$113*INDEX($C$95:$AL$95,1,4)</f>
        <v/>
      </c>
      <c r="S197" s="24">
        <f>$O$113*INDEX($C$95:$AL$95,1,5)</f>
        <v/>
      </c>
      <c r="T197" s="24">
        <f>$O$113*INDEX($C$95:$AL$95,1,6)</f>
        <v/>
      </c>
      <c r="U197" s="24">
        <f>$O$113*INDEX($C$95:$AL$95,1,7)</f>
        <v/>
      </c>
      <c r="V197" s="24">
        <f>$O$113*INDEX($C$95:$AL$95,1,8)</f>
        <v/>
      </c>
      <c r="W197" s="24">
        <f>$O$113*INDEX($C$95:$AL$95,1,9)</f>
        <v/>
      </c>
      <c r="X197" s="24">
        <f>$O$113*INDEX($C$95:$AL$95,1,10)</f>
        <v/>
      </c>
      <c r="Y197" s="24">
        <f>$O$113*INDEX($C$95:$AL$95,1,11)</f>
        <v/>
      </c>
      <c r="Z197" s="24">
        <f>$O$113*INDEX($C$95:$AL$95,1,12)</f>
        <v/>
      </c>
      <c r="AA197" s="24">
        <f>$O$113*INDEX($C$95:$AL$95,1,13)</f>
        <v/>
      </c>
      <c r="AB197" s="24">
        <f>$O$113*INDEX($C$95:$AL$95,1,14)</f>
        <v/>
      </c>
      <c r="AC197" s="24">
        <f>$O$113*INDEX($C$95:$AL$95,1,15)</f>
        <v/>
      </c>
      <c r="AD197" s="24">
        <f>$O$113*INDEX($C$95:$AL$95,1,16)</f>
        <v/>
      </c>
      <c r="AE197" s="24">
        <f>$O$113*INDEX($C$95:$AL$95,1,17)</f>
        <v/>
      </c>
      <c r="AF197" s="24">
        <f>$O$113*INDEX($C$95:$AL$95,1,18)</f>
        <v/>
      </c>
    </row>
    <row r="198">
      <c r="A198" s="4" t="inlineStr">
        <is>
          <t>Coorte del mese 14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>
        <f>$P$113*INDEX($C$95:$AL$95,1,1)</f>
        <v/>
      </c>
      <c r="Q198" s="24">
        <f>$P$113*INDEX($C$95:$AL$95,1,2)</f>
        <v/>
      </c>
      <c r="R198" s="24">
        <f>$P$113*INDEX($C$95:$AL$95,1,3)</f>
        <v/>
      </c>
      <c r="S198" s="24">
        <f>$P$113*INDEX($C$95:$AL$95,1,4)</f>
        <v/>
      </c>
      <c r="T198" s="24">
        <f>$P$113*INDEX($C$95:$AL$95,1,5)</f>
        <v/>
      </c>
      <c r="U198" s="24">
        <f>$P$113*INDEX($C$95:$AL$95,1,6)</f>
        <v/>
      </c>
      <c r="V198" s="24">
        <f>$P$113*INDEX($C$95:$AL$95,1,7)</f>
        <v/>
      </c>
      <c r="W198" s="24">
        <f>$P$113*INDEX($C$95:$AL$95,1,8)</f>
        <v/>
      </c>
      <c r="X198" s="24">
        <f>$P$113*INDEX($C$95:$AL$95,1,9)</f>
        <v/>
      </c>
      <c r="Y198" s="24">
        <f>$P$113*INDEX($C$95:$AL$95,1,10)</f>
        <v/>
      </c>
      <c r="Z198" s="24">
        <f>$P$113*INDEX($C$95:$AL$95,1,11)</f>
        <v/>
      </c>
      <c r="AA198" s="24">
        <f>$P$113*INDEX($C$95:$AL$95,1,12)</f>
        <v/>
      </c>
      <c r="AB198" s="24">
        <f>$P$113*INDEX($C$95:$AL$95,1,13)</f>
        <v/>
      </c>
      <c r="AC198" s="24">
        <f>$P$113*INDEX($C$95:$AL$95,1,14)</f>
        <v/>
      </c>
      <c r="AD198" s="24">
        <f>$P$113*INDEX($C$95:$AL$95,1,15)</f>
        <v/>
      </c>
      <c r="AE198" s="24">
        <f>$P$113*INDEX($C$95:$AL$95,1,16)</f>
        <v/>
      </c>
      <c r="AF198" s="24">
        <f>$P$113*INDEX($C$95:$AL$95,1,17)</f>
        <v/>
      </c>
    </row>
    <row r="199">
      <c r="A199" s="4" t="inlineStr">
        <is>
          <t>Coorte del mese 15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>
        <f>$Q$113*INDEX($C$95:$AL$95,1,1)</f>
        <v/>
      </c>
      <c r="R199" s="24">
        <f>$Q$113*INDEX($C$95:$AL$95,1,2)</f>
        <v/>
      </c>
      <c r="S199" s="24">
        <f>$Q$113*INDEX($C$95:$AL$95,1,3)</f>
        <v/>
      </c>
      <c r="T199" s="24">
        <f>$Q$113*INDEX($C$95:$AL$95,1,4)</f>
        <v/>
      </c>
      <c r="U199" s="24">
        <f>$Q$113*INDEX($C$95:$AL$95,1,5)</f>
        <v/>
      </c>
      <c r="V199" s="24">
        <f>$Q$113*INDEX($C$95:$AL$95,1,6)</f>
        <v/>
      </c>
      <c r="W199" s="24">
        <f>$Q$113*INDEX($C$95:$AL$95,1,7)</f>
        <v/>
      </c>
      <c r="X199" s="24">
        <f>$Q$113*INDEX($C$95:$AL$95,1,8)</f>
        <v/>
      </c>
      <c r="Y199" s="24">
        <f>$Q$113*INDEX($C$95:$AL$95,1,9)</f>
        <v/>
      </c>
      <c r="Z199" s="24">
        <f>$Q$113*INDEX($C$95:$AL$95,1,10)</f>
        <v/>
      </c>
      <c r="AA199" s="24">
        <f>$Q$113*INDEX($C$95:$AL$95,1,11)</f>
        <v/>
      </c>
      <c r="AB199" s="24">
        <f>$Q$113*INDEX($C$95:$AL$95,1,12)</f>
        <v/>
      </c>
      <c r="AC199" s="24">
        <f>$Q$113*INDEX($C$95:$AL$95,1,13)</f>
        <v/>
      </c>
      <c r="AD199" s="24">
        <f>$Q$113*INDEX($C$95:$AL$95,1,14)</f>
        <v/>
      </c>
      <c r="AE199" s="24">
        <f>$Q$113*INDEX($C$95:$AL$95,1,15)</f>
        <v/>
      </c>
      <c r="AF199" s="24">
        <f>$Q$113*INDEX($C$95:$AL$95,1,16)</f>
        <v/>
      </c>
    </row>
    <row r="200">
      <c r="A200" s="4" t="inlineStr">
        <is>
          <t>Coorte del mese 16</t>
        </is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>
        <f>$R$113*INDEX($C$95:$AL$95,1,1)</f>
        <v/>
      </c>
      <c r="S200" s="24">
        <f>$R$113*INDEX($C$95:$AL$95,1,2)</f>
        <v/>
      </c>
      <c r="T200" s="24">
        <f>$R$113*INDEX($C$95:$AL$95,1,3)</f>
        <v/>
      </c>
      <c r="U200" s="24">
        <f>$R$113*INDEX($C$95:$AL$95,1,4)</f>
        <v/>
      </c>
      <c r="V200" s="24">
        <f>$R$113*INDEX($C$95:$AL$95,1,5)</f>
        <v/>
      </c>
      <c r="W200" s="24">
        <f>$R$113*INDEX($C$95:$AL$95,1,6)</f>
        <v/>
      </c>
      <c r="X200" s="24">
        <f>$R$113*INDEX($C$95:$AL$95,1,7)</f>
        <v/>
      </c>
      <c r="Y200" s="24">
        <f>$R$113*INDEX($C$95:$AL$95,1,8)</f>
        <v/>
      </c>
      <c r="Z200" s="24">
        <f>$R$113*INDEX($C$95:$AL$95,1,9)</f>
        <v/>
      </c>
      <c r="AA200" s="24">
        <f>$R$113*INDEX($C$95:$AL$95,1,10)</f>
        <v/>
      </c>
      <c r="AB200" s="24">
        <f>$R$113*INDEX($C$95:$AL$95,1,11)</f>
        <v/>
      </c>
      <c r="AC200" s="24">
        <f>$R$113*INDEX($C$95:$AL$95,1,12)</f>
        <v/>
      </c>
      <c r="AD200" s="24">
        <f>$R$113*INDEX($C$95:$AL$95,1,13)</f>
        <v/>
      </c>
      <c r="AE200" s="24">
        <f>$R$113*INDEX($C$95:$AL$95,1,14)</f>
        <v/>
      </c>
      <c r="AF200" s="24">
        <f>$R$113*INDEX($C$95:$AL$95,1,15)</f>
        <v/>
      </c>
    </row>
    <row r="201">
      <c r="A201" s="4" t="inlineStr">
        <is>
          <t>Coorte del mese 17</t>
        </is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>
        <f>$S$113*INDEX($C$95:$AL$95,1,1)</f>
        <v/>
      </c>
      <c r="T201" s="24">
        <f>$S$113*INDEX($C$95:$AL$95,1,2)</f>
        <v/>
      </c>
      <c r="U201" s="24">
        <f>$S$113*INDEX($C$95:$AL$95,1,3)</f>
        <v/>
      </c>
      <c r="V201" s="24">
        <f>$S$113*INDEX($C$95:$AL$95,1,4)</f>
        <v/>
      </c>
      <c r="W201" s="24">
        <f>$S$113*INDEX($C$95:$AL$95,1,5)</f>
        <v/>
      </c>
      <c r="X201" s="24">
        <f>$S$113*INDEX($C$95:$AL$95,1,6)</f>
        <v/>
      </c>
      <c r="Y201" s="24">
        <f>$S$113*INDEX($C$95:$AL$95,1,7)</f>
        <v/>
      </c>
      <c r="Z201" s="24">
        <f>$S$113*INDEX($C$95:$AL$95,1,8)</f>
        <v/>
      </c>
      <c r="AA201" s="24">
        <f>$S$113*INDEX($C$95:$AL$95,1,9)</f>
        <v/>
      </c>
      <c r="AB201" s="24">
        <f>$S$113*INDEX($C$95:$AL$95,1,10)</f>
        <v/>
      </c>
      <c r="AC201" s="24">
        <f>$S$113*INDEX($C$95:$AL$95,1,11)</f>
        <v/>
      </c>
      <c r="AD201" s="24">
        <f>$S$113*INDEX($C$95:$AL$95,1,12)</f>
        <v/>
      </c>
      <c r="AE201" s="24">
        <f>$S$113*INDEX($C$95:$AL$95,1,13)</f>
        <v/>
      </c>
      <c r="AF201" s="24">
        <f>$S$113*INDEX($C$95:$AL$95,1,14)</f>
        <v/>
      </c>
    </row>
    <row r="202">
      <c r="A202" s="4" t="inlineStr">
        <is>
          <t>Coorte del mese 18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>
        <f>$T$113*INDEX($C$95:$AL$95,1,1)</f>
        <v/>
      </c>
      <c r="U202" s="24">
        <f>$T$113*INDEX($C$95:$AL$95,1,2)</f>
        <v/>
      </c>
      <c r="V202" s="24">
        <f>$T$113*INDEX($C$95:$AL$95,1,3)</f>
        <v/>
      </c>
      <c r="W202" s="24">
        <f>$T$113*INDEX($C$95:$AL$95,1,4)</f>
        <v/>
      </c>
      <c r="X202" s="24">
        <f>$T$113*INDEX($C$95:$AL$95,1,5)</f>
        <v/>
      </c>
      <c r="Y202" s="24">
        <f>$T$113*INDEX($C$95:$AL$95,1,6)</f>
        <v/>
      </c>
      <c r="Z202" s="24">
        <f>$T$113*INDEX($C$95:$AL$95,1,7)</f>
        <v/>
      </c>
      <c r="AA202" s="24">
        <f>$T$113*INDEX($C$95:$AL$95,1,8)</f>
        <v/>
      </c>
      <c r="AB202" s="24">
        <f>$T$113*INDEX($C$95:$AL$95,1,9)</f>
        <v/>
      </c>
      <c r="AC202" s="24">
        <f>$T$113*INDEX($C$95:$AL$95,1,10)</f>
        <v/>
      </c>
      <c r="AD202" s="24">
        <f>$T$113*INDEX($C$95:$AL$95,1,11)</f>
        <v/>
      </c>
      <c r="AE202" s="24">
        <f>$T$113*INDEX($C$95:$AL$95,1,12)</f>
        <v/>
      </c>
      <c r="AF202" s="24">
        <f>$T$113*INDEX($C$95:$AL$95,1,13)</f>
        <v/>
      </c>
    </row>
    <row r="203">
      <c r="A203" s="4" t="inlineStr">
        <is>
          <t>Coorte del mese 19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>
        <f>$U$113*INDEX($C$95:$AL$95,1,1)</f>
        <v/>
      </c>
      <c r="V203" s="24">
        <f>$U$113*INDEX($C$95:$AL$95,1,2)</f>
        <v/>
      </c>
      <c r="W203" s="24">
        <f>$U$113*INDEX($C$95:$AL$95,1,3)</f>
        <v/>
      </c>
      <c r="X203" s="24">
        <f>$U$113*INDEX($C$95:$AL$95,1,4)</f>
        <v/>
      </c>
      <c r="Y203" s="24">
        <f>$U$113*INDEX($C$95:$AL$95,1,5)</f>
        <v/>
      </c>
      <c r="Z203" s="24">
        <f>$U$113*INDEX($C$95:$AL$95,1,6)</f>
        <v/>
      </c>
      <c r="AA203" s="24">
        <f>$U$113*INDEX($C$95:$AL$95,1,7)</f>
        <v/>
      </c>
      <c r="AB203" s="24">
        <f>$U$113*INDEX($C$95:$AL$95,1,8)</f>
        <v/>
      </c>
      <c r="AC203" s="24">
        <f>$U$113*INDEX($C$95:$AL$95,1,9)</f>
        <v/>
      </c>
      <c r="AD203" s="24">
        <f>$U$113*INDEX($C$95:$AL$95,1,10)</f>
        <v/>
      </c>
      <c r="AE203" s="24">
        <f>$U$113*INDEX($C$95:$AL$95,1,11)</f>
        <v/>
      </c>
      <c r="AF203" s="24">
        <f>$U$113*INDEX($C$95:$AL$95,1,12)</f>
        <v/>
      </c>
    </row>
    <row r="204">
      <c r="A204" s="4" t="inlineStr">
        <is>
          <t>Coorte del mese 20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>
        <f>$V$113*INDEX($C$95:$AL$95,1,1)</f>
        <v/>
      </c>
      <c r="W204" s="24">
        <f>$V$113*INDEX($C$95:$AL$95,1,2)</f>
        <v/>
      </c>
      <c r="X204" s="24">
        <f>$V$113*INDEX($C$95:$AL$95,1,3)</f>
        <v/>
      </c>
      <c r="Y204" s="24">
        <f>$V$113*INDEX($C$95:$AL$95,1,4)</f>
        <v/>
      </c>
      <c r="Z204" s="24">
        <f>$V$113*INDEX($C$95:$AL$95,1,5)</f>
        <v/>
      </c>
      <c r="AA204" s="24">
        <f>$V$113*INDEX($C$95:$AL$95,1,6)</f>
        <v/>
      </c>
      <c r="AB204" s="24">
        <f>$V$113*INDEX($C$95:$AL$95,1,7)</f>
        <v/>
      </c>
      <c r="AC204" s="24">
        <f>$V$113*INDEX($C$95:$AL$95,1,8)</f>
        <v/>
      </c>
      <c r="AD204" s="24">
        <f>$V$113*INDEX($C$95:$AL$95,1,9)</f>
        <v/>
      </c>
      <c r="AE204" s="24">
        <f>$V$113*INDEX($C$95:$AL$95,1,10)</f>
        <v/>
      </c>
      <c r="AF204" s="24">
        <f>$V$113*INDEX($C$95:$AL$95,1,11)</f>
        <v/>
      </c>
    </row>
    <row r="205">
      <c r="A205" s="4" t="inlineStr">
        <is>
          <t>Coorte del mese 21</t>
        </is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>
        <f>$W$113*INDEX($C$95:$AL$95,1,1)</f>
        <v/>
      </c>
      <c r="X205" s="24">
        <f>$W$113*INDEX($C$95:$AL$95,1,2)</f>
        <v/>
      </c>
      <c r="Y205" s="24">
        <f>$W$113*INDEX($C$95:$AL$95,1,3)</f>
        <v/>
      </c>
      <c r="Z205" s="24">
        <f>$W$113*INDEX($C$95:$AL$95,1,4)</f>
        <v/>
      </c>
      <c r="AA205" s="24">
        <f>$W$113*INDEX($C$95:$AL$95,1,5)</f>
        <v/>
      </c>
      <c r="AB205" s="24">
        <f>$W$113*INDEX($C$95:$AL$95,1,6)</f>
        <v/>
      </c>
      <c r="AC205" s="24">
        <f>$W$113*INDEX($C$95:$AL$95,1,7)</f>
        <v/>
      </c>
      <c r="AD205" s="24">
        <f>$W$113*INDEX($C$95:$AL$95,1,8)</f>
        <v/>
      </c>
      <c r="AE205" s="24">
        <f>$W$113*INDEX($C$95:$AL$95,1,9)</f>
        <v/>
      </c>
      <c r="AF205" s="24">
        <f>$W$113*INDEX($C$95:$AL$95,1,10)</f>
        <v/>
      </c>
    </row>
    <row r="206">
      <c r="A206" s="4" t="inlineStr">
        <is>
          <t>Coorte del mese 22</t>
        </is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>
        <f>$X$113*INDEX($C$95:$AL$95,1,1)</f>
        <v/>
      </c>
      <c r="Y206" s="24">
        <f>$X$113*INDEX($C$95:$AL$95,1,2)</f>
        <v/>
      </c>
      <c r="Z206" s="24">
        <f>$X$113*INDEX($C$95:$AL$95,1,3)</f>
        <v/>
      </c>
      <c r="AA206" s="24">
        <f>$X$113*INDEX($C$95:$AL$95,1,4)</f>
        <v/>
      </c>
      <c r="AB206" s="24">
        <f>$X$113*INDEX($C$95:$AL$95,1,5)</f>
        <v/>
      </c>
      <c r="AC206" s="24">
        <f>$X$113*INDEX($C$95:$AL$95,1,6)</f>
        <v/>
      </c>
      <c r="AD206" s="24">
        <f>$X$113*INDEX($C$95:$AL$95,1,7)</f>
        <v/>
      </c>
      <c r="AE206" s="24">
        <f>$X$113*INDEX($C$95:$AL$95,1,8)</f>
        <v/>
      </c>
      <c r="AF206" s="24">
        <f>$X$113*INDEX($C$95:$AL$95,1,9)</f>
        <v/>
      </c>
    </row>
    <row r="207">
      <c r="A207" s="4" t="inlineStr">
        <is>
          <t>Coorte del mese 23</t>
        </is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>
        <f>$Y$113*INDEX($C$95:$AL$95,1,1)</f>
        <v/>
      </c>
      <c r="Z207" s="24">
        <f>$Y$113*INDEX($C$95:$AL$95,1,2)</f>
        <v/>
      </c>
      <c r="AA207" s="24">
        <f>$Y$113*INDEX($C$95:$AL$95,1,3)</f>
        <v/>
      </c>
      <c r="AB207" s="24">
        <f>$Y$113*INDEX($C$95:$AL$95,1,4)</f>
        <v/>
      </c>
      <c r="AC207" s="24">
        <f>$Y$113*INDEX($C$95:$AL$95,1,5)</f>
        <v/>
      </c>
      <c r="AD207" s="24">
        <f>$Y$113*INDEX($C$95:$AL$95,1,6)</f>
        <v/>
      </c>
      <c r="AE207" s="24">
        <f>$Y$113*INDEX($C$95:$AL$95,1,7)</f>
        <v/>
      </c>
      <c r="AF207" s="24">
        <f>$Y$113*INDEX($C$95:$AL$95,1,8)</f>
        <v/>
      </c>
    </row>
    <row r="208">
      <c r="A208" s="4" t="inlineStr">
        <is>
          <t>Coorte del mese 24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>
        <f>$Z$113*INDEX($C$95:$AL$95,1,1)</f>
        <v/>
      </c>
      <c r="AA208" s="24">
        <f>$Z$113*INDEX($C$95:$AL$95,1,2)</f>
        <v/>
      </c>
      <c r="AB208" s="24">
        <f>$Z$113*INDEX($C$95:$AL$95,1,3)</f>
        <v/>
      </c>
      <c r="AC208" s="24">
        <f>$Z$113*INDEX($C$95:$AL$95,1,4)</f>
        <v/>
      </c>
      <c r="AD208" s="24">
        <f>$Z$113*INDEX($C$95:$AL$95,1,5)</f>
        <v/>
      </c>
      <c r="AE208" s="24">
        <f>$Z$113*INDEX($C$95:$AL$95,1,6)</f>
        <v/>
      </c>
      <c r="AF208" s="24">
        <f>$Z$113*INDEX($C$95:$AL$95,1,7)</f>
        <v/>
      </c>
    </row>
    <row r="209">
      <c r="A209" s="4" t="inlineStr">
        <is>
          <t>Coorte del mese 25</t>
        </is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>
        <f>$AA$113*INDEX($C$95:$AL$95,1,1)</f>
        <v/>
      </c>
      <c r="AB209" s="24">
        <f>$AA$113*INDEX($C$95:$AL$95,1,2)</f>
        <v/>
      </c>
      <c r="AC209" s="24">
        <f>$AA$113*INDEX($C$95:$AL$95,1,3)</f>
        <v/>
      </c>
      <c r="AD209" s="24">
        <f>$AA$113*INDEX($C$95:$AL$95,1,4)</f>
        <v/>
      </c>
      <c r="AE209" s="24">
        <f>$AA$113*INDEX($C$95:$AL$95,1,5)</f>
        <v/>
      </c>
      <c r="AF209" s="24">
        <f>$AA$113*INDEX($C$95:$AL$95,1,6)</f>
        <v/>
      </c>
    </row>
    <row r="210">
      <c r="A210" s="4" t="inlineStr">
        <is>
          <t>Coorte del mese 26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24" t="n">
        <v>0</v>
      </c>
      <c r="AA210" s="24" t="n">
        <v>0</v>
      </c>
      <c r="AB210" s="24">
        <f>$AB$113*INDEX($C$95:$AL$95,1,1)</f>
        <v/>
      </c>
      <c r="AC210" s="24">
        <f>$AB$113*INDEX($C$95:$AL$95,1,2)</f>
        <v/>
      </c>
      <c r="AD210" s="24">
        <f>$AB$113*INDEX($C$95:$AL$95,1,3)</f>
        <v/>
      </c>
      <c r="AE210" s="24">
        <f>$AB$113*INDEX($C$95:$AL$95,1,4)</f>
        <v/>
      </c>
      <c r="AF210" s="24">
        <f>$AB$113*INDEX($C$95:$AL$95,1,5)</f>
        <v/>
      </c>
    </row>
    <row r="211">
      <c r="A211" s="4" t="inlineStr">
        <is>
          <t>Coorte del mese 27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>
        <f>$AC$113*INDEX($C$95:$AL$95,1,1)</f>
        <v/>
      </c>
      <c r="AD211" s="24">
        <f>$AC$113*INDEX($C$95:$AL$95,1,2)</f>
        <v/>
      </c>
      <c r="AE211" s="24">
        <f>$AC$113*INDEX($C$95:$AL$95,1,3)</f>
        <v/>
      </c>
      <c r="AF211" s="24">
        <f>$AC$113*INDEX($C$95:$AL$95,1,4)</f>
        <v/>
      </c>
    </row>
    <row r="212">
      <c r="A212" s="4" t="inlineStr">
        <is>
          <t>Coorte del mese 28</t>
        </is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>
        <f>$AD$113*INDEX($C$95:$AL$95,1,1)</f>
        <v/>
      </c>
      <c r="AE212" s="24">
        <f>$AD$113*INDEX($C$95:$AL$95,1,2)</f>
        <v/>
      </c>
      <c r="AF212" s="24">
        <f>$AD$113*INDEX($C$95:$AL$95,1,3)</f>
        <v/>
      </c>
    </row>
    <row r="213">
      <c r="A213" s="4" t="inlineStr">
        <is>
          <t>Coorte del mese 29</t>
        </is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>
        <f>$AE$113*INDEX($C$95:$AL$95,1,1)</f>
        <v/>
      </c>
      <c r="AF213" s="24">
        <f>$AE$113*INDEX($C$95:$AL$95,1,2)</f>
        <v/>
      </c>
    </row>
    <row r="214">
      <c r="A214" s="4" t="inlineStr">
        <is>
          <t>Coorte del mese 30</t>
        </is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4" t="n">
        <v>0</v>
      </c>
      <c r="AD214" s="24" t="n">
        <v>0</v>
      </c>
      <c r="AE214" s="24" t="n">
        <v>0</v>
      </c>
      <c r="AF214" s="24">
        <f>$AF$113*INDEX($C$95:$AL$95,1,1)</f>
        <v/>
      </c>
    </row>
    <row r="215">
      <c r="A215" s="3" t="inlineStr">
        <is>
          <t>Totale percorso 3: ordini</t>
        </is>
      </c>
      <c r="C215" s="25">
        <f>SUM(C185:C214)</f>
        <v/>
      </c>
      <c r="D215" s="25">
        <f>SUM(D185:D214)</f>
        <v/>
      </c>
      <c r="E215" s="25">
        <f>SUM(E185:E214)</f>
        <v/>
      </c>
      <c r="F215" s="25">
        <f>SUM(F185:F214)</f>
        <v/>
      </c>
      <c r="G215" s="25">
        <f>SUM(G185:G214)</f>
        <v/>
      </c>
      <c r="H215" s="25">
        <f>SUM(H185:H214)</f>
        <v/>
      </c>
      <c r="I215" s="25">
        <f>SUM(I185:I214)</f>
        <v/>
      </c>
      <c r="J215" s="25">
        <f>SUM(J185:J214)</f>
        <v/>
      </c>
      <c r="K215" s="25">
        <f>SUM(K185:K214)</f>
        <v/>
      </c>
      <c r="L215" s="25">
        <f>SUM(L185:L214)</f>
        <v/>
      </c>
      <c r="M215" s="25">
        <f>SUM(M185:M214)</f>
        <v/>
      </c>
      <c r="N215" s="25">
        <f>SUM(N185:N214)</f>
        <v/>
      </c>
      <c r="O215" s="25">
        <f>SUM(O185:O214)</f>
        <v/>
      </c>
      <c r="P215" s="25">
        <f>SUM(P185:P214)</f>
        <v/>
      </c>
      <c r="Q215" s="25">
        <f>SUM(Q185:Q214)</f>
        <v/>
      </c>
      <c r="R215" s="25">
        <f>SUM(R185:R214)</f>
        <v/>
      </c>
      <c r="S215" s="25">
        <f>SUM(S185:S214)</f>
        <v/>
      </c>
      <c r="T215" s="25">
        <f>SUM(T185:T214)</f>
        <v/>
      </c>
      <c r="U215" s="25">
        <f>SUM(U185:U214)</f>
        <v/>
      </c>
      <c r="V215" s="25">
        <f>SUM(V185:V214)</f>
        <v/>
      </c>
      <c r="W215" s="25">
        <f>SUM(W185:W214)</f>
        <v/>
      </c>
      <c r="X215" s="25">
        <f>SUM(X185:X214)</f>
        <v/>
      </c>
      <c r="Y215" s="25">
        <f>SUM(Y185:Y214)</f>
        <v/>
      </c>
      <c r="Z215" s="25">
        <f>SUM(Z185:Z214)</f>
        <v/>
      </c>
      <c r="AA215" s="25">
        <f>SUM(AA185:AA214)</f>
        <v/>
      </c>
      <c r="AB215" s="25">
        <f>SUM(AB185:AB214)</f>
        <v/>
      </c>
      <c r="AC215" s="25">
        <f>SUM(AC185:AC214)</f>
        <v/>
      </c>
      <c r="AD215" s="25">
        <f>SUM(AD185:AD214)</f>
        <v/>
      </c>
      <c r="AE215" s="25">
        <f>SUM(AE185:AE214)</f>
        <v/>
      </c>
      <c r="AF215" s="25">
        <f>SUM(AF185:AF214)</f>
        <v/>
      </c>
    </row>
    <row r="217">
      <c r="A217" s="10" t="inlineStr">
        <is>
          <t>Abbonamento: ordini per coorte (righe = mese di acquisizione, colonne = mese di calendario)</t>
        </is>
      </c>
    </row>
    <row r="218">
      <c r="A218" s="4" t="inlineStr">
        <is>
          <t>Coorte del mese 1</t>
        </is>
      </c>
      <c r="C218" s="24">
        <f>$C$114*INDEX($C$96:$AL$96,1,1)</f>
        <v/>
      </c>
      <c r="D218" s="24">
        <f>$C$114*INDEX($C$96:$AL$96,1,2)</f>
        <v/>
      </c>
      <c r="E218" s="24">
        <f>$C$114*INDEX($C$96:$AL$96,1,3)</f>
        <v/>
      </c>
      <c r="F218" s="24">
        <f>$C$114*INDEX($C$96:$AL$96,1,4)</f>
        <v/>
      </c>
      <c r="G218" s="24">
        <f>$C$114*INDEX($C$96:$AL$96,1,5)</f>
        <v/>
      </c>
      <c r="H218" s="24">
        <f>$C$114*INDEX($C$96:$AL$96,1,6)</f>
        <v/>
      </c>
      <c r="I218" s="24">
        <f>$C$114*INDEX($C$96:$AL$96,1,7)</f>
        <v/>
      </c>
      <c r="J218" s="24">
        <f>$C$114*INDEX($C$96:$AL$96,1,8)</f>
        <v/>
      </c>
      <c r="K218" s="24">
        <f>$C$114*INDEX($C$96:$AL$96,1,9)</f>
        <v/>
      </c>
      <c r="L218" s="24">
        <f>$C$114*INDEX($C$96:$AL$96,1,10)</f>
        <v/>
      </c>
      <c r="M218" s="24">
        <f>$C$114*INDEX($C$96:$AL$96,1,11)</f>
        <v/>
      </c>
      <c r="N218" s="24">
        <f>$C$114*INDEX($C$96:$AL$96,1,12)</f>
        <v/>
      </c>
      <c r="O218" s="24">
        <f>$C$114*INDEX($C$96:$AL$96,1,13)</f>
        <v/>
      </c>
      <c r="P218" s="24">
        <f>$C$114*INDEX($C$96:$AL$96,1,14)</f>
        <v/>
      </c>
      <c r="Q218" s="24">
        <f>$C$114*INDEX($C$96:$AL$96,1,15)</f>
        <v/>
      </c>
      <c r="R218" s="24">
        <f>$C$114*INDEX($C$96:$AL$96,1,16)</f>
        <v/>
      </c>
      <c r="S218" s="24">
        <f>$C$114*INDEX($C$96:$AL$96,1,17)</f>
        <v/>
      </c>
      <c r="T218" s="24">
        <f>$C$114*INDEX($C$96:$AL$96,1,18)</f>
        <v/>
      </c>
      <c r="U218" s="24">
        <f>$C$114*INDEX($C$96:$AL$96,1,19)</f>
        <v/>
      </c>
      <c r="V218" s="24">
        <f>$C$114*INDEX($C$96:$AL$96,1,20)</f>
        <v/>
      </c>
      <c r="W218" s="24">
        <f>$C$114*INDEX($C$96:$AL$96,1,21)</f>
        <v/>
      </c>
      <c r="X218" s="24">
        <f>$C$114*INDEX($C$96:$AL$96,1,22)</f>
        <v/>
      </c>
      <c r="Y218" s="24">
        <f>$C$114*INDEX($C$96:$AL$96,1,23)</f>
        <v/>
      </c>
      <c r="Z218" s="24">
        <f>$C$114*INDEX($C$96:$AL$96,1,24)</f>
        <v/>
      </c>
      <c r="AA218" s="24">
        <f>$C$114*INDEX($C$96:$AL$96,1,25)</f>
        <v/>
      </c>
      <c r="AB218" s="24">
        <f>$C$114*INDEX($C$96:$AL$96,1,26)</f>
        <v/>
      </c>
      <c r="AC218" s="24">
        <f>$C$114*INDEX($C$96:$AL$96,1,27)</f>
        <v/>
      </c>
      <c r="AD218" s="24">
        <f>$C$114*INDEX($C$96:$AL$96,1,28)</f>
        <v/>
      </c>
      <c r="AE218" s="24">
        <f>$C$114*INDEX($C$96:$AL$96,1,29)</f>
        <v/>
      </c>
      <c r="AF218" s="24">
        <f>$C$114*INDEX($C$96:$AL$96,1,30)</f>
        <v/>
      </c>
    </row>
    <row r="219">
      <c r="A219" s="4" t="inlineStr">
        <is>
          <t>Coorte del mese 2</t>
        </is>
      </c>
      <c r="C219" s="24" t="n">
        <v>0</v>
      </c>
      <c r="D219" s="24">
        <f>$D$114*INDEX($C$96:$AL$96,1,1)</f>
        <v/>
      </c>
      <c r="E219" s="24">
        <f>$D$114*INDEX($C$96:$AL$96,1,2)</f>
        <v/>
      </c>
      <c r="F219" s="24">
        <f>$D$114*INDEX($C$96:$AL$96,1,3)</f>
        <v/>
      </c>
      <c r="G219" s="24">
        <f>$D$114*INDEX($C$96:$AL$96,1,4)</f>
        <v/>
      </c>
      <c r="H219" s="24">
        <f>$D$114*INDEX($C$96:$AL$96,1,5)</f>
        <v/>
      </c>
      <c r="I219" s="24">
        <f>$D$114*INDEX($C$96:$AL$96,1,6)</f>
        <v/>
      </c>
      <c r="J219" s="24">
        <f>$D$114*INDEX($C$96:$AL$96,1,7)</f>
        <v/>
      </c>
      <c r="K219" s="24">
        <f>$D$114*INDEX($C$96:$AL$96,1,8)</f>
        <v/>
      </c>
      <c r="L219" s="24">
        <f>$D$114*INDEX($C$96:$AL$96,1,9)</f>
        <v/>
      </c>
      <c r="M219" s="24">
        <f>$D$114*INDEX($C$96:$AL$96,1,10)</f>
        <v/>
      </c>
      <c r="N219" s="24">
        <f>$D$114*INDEX($C$96:$AL$96,1,11)</f>
        <v/>
      </c>
      <c r="O219" s="24">
        <f>$D$114*INDEX($C$96:$AL$96,1,12)</f>
        <v/>
      </c>
      <c r="P219" s="24">
        <f>$D$114*INDEX($C$96:$AL$96,1,13)</f>
        <v/>
      </c>
      <c r="Q219" s="24">
        <f>$D$114*INDEX($C$96:$AL$96,1,14)</f>
        <v/>
      </c>
      <c r="R219" s="24">
        <f>$D$114*INDEX($C$96:$AL$96,1,15)</f>
        <v/>
      </c>
      <c r="S219" s="24">
        <f>$D$114*INDEX($C$96:$AL$96,1,16)</f>
        <v/>
      </c>
      <c r="T219" s="24">
        <f>$D$114*INDEX($C$96:$AL$96,1,17)</f>
        <v/>
      </c>
      <c r="U219" s="24">
        <f>$D$114*INDEX($C$96:$AL$96,1,18)</f>
        <v/>
      </c>
      <c r="V219" s="24">
        <f>$D$114*INDEX($C$96:$AL$96,1,19)</f>
        <v/>
      </c>
      <c r="W219" s="24">
        <f>$D$114*INDEX($C$96:$AL$96,1,20)</f>
        <v/>
      </c>
      <c r="X219" s="24">
        <f>$D$114*INDEX($C$96:$AL$96,1,21)</f>
        <v/>
      </c>
      <c r="Y219" s="24">
        <f>$D$114*INDEX($C$96:$AL$96,1,22)</f>
        <v/>
      </c>
      <c r="Z219" s="24">
        <f>$D$114*INDEX($C$96:$AL$96,1,23)</f>
        <v/>
      </c>
      <c r="AA219" s="24">
        <f>$D$114*INDEX($C$96:$AL$96,1,24)</f>
        <v/>
      </c>
      <c r="AB219" s="24">
        <f>$D$114*INDEX($C$96:$AL$96,1,25)</f>
        <v/>
      </c>
      <c r="AC219" s="24">
        <f>$D$114*INDEX($C$96:$AL$96,1,26)</f>
        <v/>
      </c>
      <c r="AD219" s="24">
        <f>$D$114*INDEX($C$96:$AL$96,1,27)</f>
        <v/>
      </c>
      <c r="AE219" s="24">
        <f>$D$114*INDEX($C$96:$AL$96,1,28)</f>
        <v/>
      </c>
      <c r="AF219" s="24">
        <f>$D$114*INDEX($C$96:$AL$96,1,29)</f>
        <v/>
      </c>
    </row>
    <row r="220">
      <c r="A220" s="4" t="inlineStr">
        <is>
          <t>Coorte del mese 3</t>
        </is>
      </c>
      <c r="C220" s="24" t="n">
        <v>0</v>
      </c>
      <c r="D220" s="24" t="n">
        <v>0</v>
      </c>
      <c r="E220" s="24">
        <f>$E$114*INDEX($C$96:$AL$96,1,1)</f>
        <v/>
      </c>
      <c r="F220" s="24">
        <f>$E$114*INDEX($C$96:$AL$96,1,2)</f>
        <v/>
      </c>
      <c r="G220" s="24">
        <f>$E$114*INDEX($C$96:$AL$96,1,3)</f>
        <v/>
      </c>
      <c r="H220" s="24">
        <f>$E$114*INDEX($C$96:$AL$96,1,4)</f>
        <v/>
      </c>
      <c r="I220" s="24">
        <f>$E$114*INDEX($C$96:$AL$96,1,5)</f>
        <v/>
      </c>
      <c r="J220" s="24">
        <f>$E$114*INDEX($C$96:$AL$96,1,6)</f>
        <v/>
      </c>
      <c r="K220" s="24">
        <f>$E$114*INDEX($C$96:$AL$96,1,7)</f>
        <v/>
      </c>
      <c r="L220" s="24">
        <f>$E$114*INDEX($C$96:$AL$96,1,8)</f>
        <v/>
      </c>
      <c r="M220" s="24">
        <f>$E$114*INDEX($C$96:$AL$96,1,9)</f>
        <v/>
      </c>
      <c r="N220" s="24">
        <f>$E$114*INDEX($C$96:$AL$96,1,10)</f>
        <v/>
      </c>
      <c r="O220" s="24">
        <f>$E$114*INDEX($C$96:$AL$96,1,11)</f>
        <v/>
      </c>
      <c r="P220" s="24">
        <f>$E$114*INDEX($C$96:$AL$96,1,12)</f>
        <v/>
      </c>
      <c r="Q220" s="24">
        <f>$E$114*INDEX($C$96:$AL$96,1,13)</f>
        <v/>
      </c>
      <c r="R220" s="24">
        <f>$E$114*INDEX($C$96:$AL$96,1,14)</f>
        <v/>
      </c>
      <c r="S220" s="24">
        <f>$E$114*INDEX($C$96:$AL$96,1,15)</f>
        <v/>
      </c>
      <c r="T220" s="24">
        <f>$E$114*INDEX($C$96:$AL$96,1,16)</f>
        <v/>
      </c>
      <c r="U220" s="24">
        <f>$E$114*INDEX($C$96:$AL$96,1,17)</f>
        <v/>
      </c>
      <c r="V220" s="24">
        <f>$E$114*INDEX($C$96:$AL$96,1,18)</f>
        <v/>
      </c>
      <c r="W220" s="24">
        <f>$E$114*INDEX($C$96:$AL$96,1,19)</f>
        <v/>
      </c>
      <c r="X220" s="24">
        <f>$E$114*INDEX($C$96:$AL$96,1,20)</f>
        <v/>
      </c>
      <c r="Y220" s="24">
        <f>$E$114*INDEX($C$96:$AL$96,1,21)</f>
        <v/>
      </c>
      <c r="Z220" s="24">
        <f>$E$114*INDEX($C$96:$AL$96,1,22)</f>
        <v/>
      </c>
      <c r="AA220" s="24">
        <f>$E$114*INDEX($C$96:$AL$96,1,23)</f>
        <v/>
      </c>
      <c r="AB220" s="24">
        <f>$E$114*INDEX($C$96:$AL$96,1,24)</f>
        <v/>
      </c>
      <c r="AC220" s="24">
        <f>$E$114*INDEX($C$96:$AL$96,1,25)</f>
        <v/>
      </c>
      <c r="AD220" s="24">
        <f>$E$114*INDEX($C$96:$AL$96,1,26)</f>
        <v/>
      </c>
      <c r="AE220" s="24">
        <f>$E$114*INDEX($C$96:$AL$96,1,27)</f>
        <v/>
      </c>
      <c r="AF220" s="24">
        <f>$E$114*INDEX($C$96:$AL$96,1,28)</f>
        <v/>
      </c>
    </row>
    <row r="221">
      <c r="A221" s="4" t="inlineStr">
        <is>
          <t>Coorte del mese 4</t>
        </is>
      </c>
      <c r="C221" s="24" t="n">
        <v>0</v>
      </c>
      <c r="D221" s="24" t="n">
        <v>0</v>
      </c>
      <c r="E221" s="24" t="n">
        <v>0</v>
      </c>
      <c r="F221" s="24">
        <f>$F$114*INDEX($C$96:$AL$96,1,1)</f>
        <v/>
      </c>
      <c r="G221" s="24">
        <f>$F$114*INDEX($C$96:$AL$96,1,2)</f>
        <v/>
      </c>
      <c r="H221" s="24">
        <f>$F$114*INDEX($C$96:$AL$96,1,3)</f>
        <v/>
      </c>
      <c r="I221" s="24">
        <f>$F$114*INDEX($C$96:$AL$96,1,4)</f>
        <v/>
      </c>
      <c r="J221" s="24">
        <f>$F$114*INDEX($C$96:$AL$96,1,5)</f>
        <v/>
      </c>
      <c r="K221" s="24">
        <f>$F$114*INDEX($C$96:$AL$96,1,6)</f>
        <v/>
      </c>
      <c r="L221" s="24">
        <f>$F$114*INDEX($C$96:$AL$96,1,7)</f>
        <v/>
      </c>
      <c r="M221" s="24">
        <f>$F$114*INDEX($C$96:$AL$96,1,8)</f>
        <v/>
      </c>
      <c r="N221" s="24">
        <f>$F$114*INDEX($C$96:$AL$96,1,9)</f>
        <v/>
      </c>
      <c r="O221" s="24">
        <f>$F$114*INDEX($C$96:$AL$96,1,10)</f>
        <v/>
      </c>
      <c r="P221" s="24">
        <f>$F$114*INDEX($C$96:$AL$96,1,11)</f>
        <v/>
      </c>
      <c r="Q221" s="24">
        <f>$F$114*INDEX($C$96:$AL$96,1,12)</f>
        <v/>
      </c>
      <c r="R221" s="24">
        <f>$F$114*INDEX($C$96:$AL$96,1,13)</f>
        <v/>
      </c>
      <c r="S221" s="24">
        <f>$F$114*INDEX($C$96:$AL$96,1,14)</f>
        <v/>
      </c>
      <c r="T221" s="24">
        <f>$F$114*INDEX($C$96:$AL$96,1,15)</f>
        <v/>
      </c>
      <c r="U221" s="24">
        <f>$F$114*INDEX($C$96:$AL$96,1,16)</f>
        <v/>
      </c>
      <c r="V221" s="24">
        <f>$F$114*INDEX($C$96:$AL$96,1,17)</f>
        <v/>
      </c>
      <c r="W221" s="24">
        <f>$F$114*INDEX($C$96:$AL$96,1,18)</f>
        <v/>
      </c>
      <c r="X221" s="24">
        <f>$F$114*INDEX($C$96:$AL$96,1,19)</f>
        <v/>
      </c>
      <c r="Y221" s="24">
        <f>$F$114*INDEX($C$96:$AL$96,1,20)</f>
        <v/>
      </c>
      <c r="Z221" s="24">
        <f>$F$114*INDEX($C$96:$AL$96,1,21)</f>
        <v/>
      </c>
      <c r="AA221" s="24">
        <f>$F$114*INDEX($C$96:$AL$96,1,22)</f>
        <v/>
      </c>
      <c r="AB221" s="24">
        <f>$F$114*INDEX($C$96:$AL$96,1,23)</f>
        <v/>
      </c>
      <c r="AC221" s="24">
        <f>$F$114*INDEX($C$96:$AL$96,1,24)</f>
        <v/>
      </c>
      <c r="AD221" s="24">
        <f>$F$114*INDEX($C$96:$AL$96,1,25)</f>
        <v/>
      </c>
      <c r="AE221" s="24">
        <f>$F$114*INDEX($C$96:$AL$96,1,26)</f>
        <v/>
      </c>
      <c r="AF221" s="24">
        <f>$F$114*INDEX($C$96:$AL$96,1,27)</f>
        <v/>
      </c>
    </row>
    <row r="222">
      <c r="A222" s="4" t="inlineStr">
        <is>
          <t>Coorte del mese 5</t>
        </is>
      </c>
      <c r="C222" s="24" t="n">
        <v>0</v>
      </c>
      <c r="D222" s="24" t="n">
        <v>0</v>
      </c>
      <c r="E222" s="24" t="n">
        <v>0</v>
      </c>
      <c r="F222" s="24" t="n">
        <v>0</v>
      </c>
      <c r="G222" s="24">
        <f>$G$114*INDEX($C$96:$AL$96,1,1)</f>
        <v/>
      </c>
      <c r="H222" s="24">
        <f>$G$114*INDEX($C$96:$AL$96,1,2)</f>
        <v/>
      </c>
      <c r="I222" s="24">
        <f>$G$114*INDEX($C$96:$AL$96,1,3)</f>
        <v/>
      </c>
      <c r="J222" s="24">
        <f>$G$114*INDEX($C$96:$AL$96,1,4)</f>
        <v/>
      </c>
      <c r="K222" s="24">
        <f>$G$114*INDEX($C$96:$AL$96,1,5)</f>
        <v/>
      </c>
      <c r="L222" s="24">
        <f>$G$114*INDEX($C$96:$AL$96,1,6)</f>
        <v/>
      </c>
      <c r="M222" s="24">
        <f>$G$114*INDEX($C$96:$AL$96,1,7)</f>
        <v/>
      </c>
      <c r="N222" s="24">
        <f>$G$114*INDEX($C$96:$AL$96,1,8)</f>
        <v/>
      </c>
      <c r="O222" s="24">
        <f>$G$114*INDEX($C$96:$AL$96,1,9)</f>
        <v/>
      </c>
      <c r="P222" s="24">
        <f>$G$114*INDEX($C$96:$AL$96,1,10)</f>
        <v/>
      </c>
      <c r="Q222" s="24">
        <f>$G$114*INDEX($C$96:$AL$96,1,11)</f>
        <v/>
      </c>
      <c r="R222" s="24">
        <f>$G$114*INDEX($C$96:$AL$96,1,12)</f>
        <v/>
      </c>
      <c r="S222" s="24">
        <f>$G$114*INDEX($C$96:$AL$96,1,13)</f>
        <v/>
      </c>
      <c r="T222" s="24">
        <f>$G$114*INDEX($C$96:$AL$96,1,14)</f>
        <v/>
      </c>
      <c r="U222" s="24">
        <f>$G$114*INDEX($C$96:$AL$96,1,15)</f>
        <v/>
      </c>
      <c r="V222" s="24">
        <f>$G$114*INDEX($C$96:$AL$96,1,16)</f>
        <v/>
      </c>
      <c r="W222" s="24">
        <f>$G$114*INDEX($C$96:$AL$96,1,17)</f>
        <v/>
      </c>
      <c r="X222" s="24">
        <f>$G$114*INDEX($C$96:$AL$96,1,18)</f>
        <v/>
      </c>
      <c r="Y222" s="24">
        <f>$G$114*INDEX($C$96:$AL$96,1,19)</f>
        <v/>
      </c>
      <c r="Z222" s="24">
        <f>$G$114*INDEX($C$96:$AL$96,1,20)</f>
        <v/>
      </c>
      <c r="AA222" s="24">
        <f>$G$114*INDEX($C$96:$AL$96,1,21)</f>
        <v/>
      </c>
      <c r="AB222" s="24">
        <f>$G$114*INDEX($C$96:$AL$96,1,22)</f>
        <v/>
      </c>
      <c r="AC222" s="24">
        <f>$G$114*INDEX($C$96:$AL$96,1,23)</f>
        <v/>
      </c>
      <c r="AD222" s="24">
        <f>$G$114*INDEX($C$96:$AL$96,1,24)</f>
        <v/>
      </c>
      <c r="AE222" s="24">
        <f>$G$114*INDEX($C$96:$AL$96,1,25)</f>
        <v/>
      </c>
      <c r="AF222" s="24">
        <f>$G$114*INDEX($C$96:$AL$96,1,26)</f>
        <v/>
      </c>
    </row>
    <row r="223">
      <c r="A223" s="4" t="inlineStr">
        <is>
          <t>Coorte del mese 6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>
        <f>$H$114*INDEX($C$96:$AL$96,1,1)</f>
        <v/>
      </c>
      <c r="I223" s="24">
        <f>$H$114*INDEX($C$96:$AL$96,1,2)</f>
        <v/>
      </c>
      <c r="J223" s="24">
        <f>$H$114*INDEX($C$96:$AL$96,1,3)</f>
        <v/>
      </c>
      <c r="K223" s="24">
        <f>$H$114*INDEX($C$96:$AL$96,1,4)</f>
        <v/>
      </c>
      <c r="L223" s="24">
        <f>$H$114*INDEX($C$96:$AL$96,1,5)</f>
        <v/>
      </c>
      <c r="M223" s="24">
        <f>$H$114*INDEX($C$96:$AL$96,1,6)</f>
        <v/>
      </c>
      <c r="N223" s="24">
        <f>$H$114*INDEX($C$96:$AL$96,1,7)</f>
        <v/>
      </c>
      <c r="O223" s="24">
        <f>$H$114*INDEX($C$96:$AL$96,1,8)</f>
        <v/>
      </c>
      <c r="P223" s="24">
        <f>$H$114*INDEX($C$96:$AL$96,1,9)</f>
        <v/>
      </c>
      <c r="Q223" s="24">
        <f>$H$114*INDEX($C$96:$AL$96,1,10)</f>
        <v/>
      </c>
      <c r="R223" s="24">
        <f>$H$114*INDEX($C$96:$AL$96,1,11)</f>
        <v/>
      </c>
      <c r="S223" s="24">
        <f>$H$114*INDEX($C$96:$AL$96,1,12)</f>
        <v/>
      </c>
      <c r="T223" s="24">
        <f>$H$114*INDEX($C$96:$AL$96,1,13)</f>
        <v/>
      </c>
      <c r="U223" s="24">
        <f>$H$114*INDEX($C$96:$AL$96,1,14)</f>
        <v/>
      </c>
      <c r="V223" s="24">
        <f>$H$114*INDEX($C$96:$AL$96,1,15)</f>
        <v/>
      </c>
      <c r="W223" s="24">
        <f>$H$114*INDEX($C$96:$AL$96,1,16)</f>
        <v/>
      </c>
      <c r="X223" s="24">
        <f>$H$114*INDEX($C$96:$AL$96,1,17)</f>
        <v/>
      </c>
      <c r="Y223" s="24">
        <f>$H$114*INDEX($C$96:$AL$96,1,18)</f>
        <v/>
      </c>
      <c r="Z223" s="24">
        <f>$H$114*INDEX($C$96:$AL$96,1,19)</f>
        <v/>
      </c>
      <c r="AA223" s="24">
        <f>$H$114*INDEX($C$96:$AL$96,1,20)</f>
        <v/>
      </c>
      <c r="AB223" s="24">
        <f>$H$114*INDEX($C$96:$AL$96,1,21)</f>
        <v/>
      </c>
      <c r="AC223" s="24">
        <f>$H$114*INDEX($C$96:$AL$96,1,22)</f>
        <v/>
      </c>
      <c r="AD223" s="24">
        <f>$H$114*INDEX($C$96:$AL$96,1,23)</f>
        <v/>
      </c>
      <c r="AE223" s="24">
        <f>$H$114*INDEX($C$96:$AL$96,1,24)</f>
        <v/>
      </c>
      <c r="AF223" s="24">
        <f>$H$114*INDEX($C$96:$AL$96,1,25)</f>
        <v/>
      </c>
    </row>
    <row r="224">
      <c r="A224" s="4" t="inlineStr">
        <is>
          <t>Coorte del mese 7</t>
        </is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>
        <f>$I$114*INDEX($C$96:$AL$96,1,1)</f>
        <v/>
      </c>
      <c r="J224" s="24">
        <f>$I$114*INDEX($C$96:$AL$96,1,2)</f>
        <v/>
      </c>
      <c r="K224" s="24">
        <f>$I$114*INDEX($C$96:$AL$96,1,3)</f>
        <v/>
      </c>
      <c r="L224" s="24">
        <f>$I$114*INDEX($C$96:$AL$96,1,4)</f>
        <v/>
      </c>
      <c r="M224" s="24">
        <f>$I$114*INDEX($C$96:$AL$96,1,5)</f>
        <v/>
      </c>
      <c r="N224" s="24">
        <f>$I$114*INDEX($C$96:$AL$96,1,6)</f>
        <v/>
      </c>
      <c r="O224" s="24">
        <f>$I$114*INDEX($C$96:$AL$96,1,7)</f>
        <v/>
      </c>
      <c r="P224" s="24">
        <f>$I$114*INDEX($C$96:$AL$96,1,8)</f>
        <v/>
      </c>
      <c r="Q224" s="24">
        <f>$I$114*INDEX($C$96:$AL$96,1,9)</f>
        <v/>
      </c>
      <c r="R224" s="24">
        <f>$I$114*INDEX($C$96:$AL$96,1,10)</f>
        <v/>
      </c>
      <c r="S224" s="24">
        <f>$I$114*INDEX($C$96:$AL$96,1,11)</f>
        <v/>
      </c>
      <c r="T224" s="24">
        <f>$I$114*INDEX($C$96:$AL$96,1,12)</f>
        <v/>
      </c>
      <c r="U224" s="24">
        <f>$I$114*INDEX($C$96:$AL$96,1,13)</f>
        <v/>
      </c>
      <c r="V224" s="24">
        <f>$I$114*INDEX($C$96:$AL$96,1,14)</f>
        <v/>
      </c>
      <c r="W224" s="24">
        <f>$I$114*INDEX($C$96:$AL$96,1,15)</f>
        <v/>
      </c>
      <c r="X224" s="24">
        <f>$I$114*INDEX($C$96:$AL$96,1,16)</f>
        <v/>
      </c>
      <c r="Y224" s="24">
        <f>$I$114*INDEX($C$96:$AL$96,1,17)</f>
        <v/>
      </c>
      <c r="Z224" s="24">
        <f>$I$114*INDEX($C$96:$AL$96,1,18)</f>
        <v/>
      </c>
      <c r="AA224" s="24">
        <f>$I$114*INDEX($C$96:$AL$96,1,19)</f>
        <v/>
      </c>
      <c r="AB224" s="24">
        <f>$I$114*INDEX($C$96:$AL$96,1,20)</f>
        <v/>
      </c>
      <c r="AC224" s="24">
        <f>$I$114*INDEX($C$96:$AL$96,1,21)</f>
        <v/>
      </c>
      <c r="AD224" s="24">
        <f>$I$114*INDEX($C$96:$AL$96,1,22)</f>
        <v/>
      </c>
      <c r="AE224" s="24">
        <f>$I$114*INDEX($C$96:$AL$96,1,23)</f>
        <v/>
      </c>
      <c r="AF224" s="24">
        <f>$I$114*INDEX($C$96:$AL$96,1,24)</f>
        <v/>
      </c>
    </row>
    <row r="225">
      <c r="A225" s="4" t="inlineStr">
        <is>
          <t>Coorte del mese 8</t>
        </is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>
        <f>$J$114*INDEX($C$96:$AL$96,1,1)</f>
        <v/>
      </c>
      <c r="K225" s="24">
        <f>$J$114*INDEX($C$96:$AL$96,1,2)</f>
        <v/>
      </c>
      <c r="L225" s="24">
        <f>$J$114*INDEX($C$96:$AL$96,1,3)</f>
        <v/>
      </c>
      <c r="M225" s="24">
        <f>$J$114*INDEX($C$96:$AL$96,1,4)</f>
        <v/>
      </c>
      <c r="N225" s="24">
        <f>$J$114*INDEX($C$96:$AL$96,1,5)</f>
        <v/>
      </c>
      <c r="O225" s="24">
        <f>$J$114*INDEX($C$96:$AL$96,1,6)</f>
        <v/>
      </c>
      <c r="P225" s="24">
        <f>$J$114*INDEX($C$96:$AL$96,1,7)</f>
        <v/>
      </c>
      <c r="Q225" s="24">
        <f>$J$114*INDEX($C$96:$AL$96,1,8)</f>
        <v/>
      </c>
      <c r="R225" s="24">
        <f>$J$114*INDEX($C$96:$AL$96,1,9)</f>
        <v/>
      </c>
      <c r="S225" s="24">
        <f>$J$114*INDEX($C$96:$AL$96,1,10)</f>
        <v/>
      </c>
      <c r="T225" s="24">
        <f>$J$114*INDEX($C$96:$AL$96,1,11)</f>
        <v/>
      </c>
      <c r="U225" s="24">
        <f>$J$114*INDEX($C$96:$AL$96,1,12)</f>
        <v/>
      </c>
      <c r="V225" s="24">
        <f>$J$114*INDEX($C$96:$AL$96,1,13)</f>
        <v/>
      </c>
      <c r="W225" s="24">
        <f>$J$114*INDEX($C$96:$AL$96,1,14)</f>
        <v/>
      </c>
      <c r="X225" s="24">
        <f>$J$114*INDEX($C$96:$AL$96,1,15)</f>
        <v/>
      </c>
      <c r="Y225" s="24">
        <f>$J$114*INDEX($C$96:$AL$96,1,16)</f>
        <v/>
      </c>
      <c r="Z225" s="24">
        <f>$J$114*INDEX($C$96:$AL$96,1,17)</f>
        <v/>
      </c>
      <c r="AA225" s="24">
        <f>$J$114*INDEX($C$96:$AL$96,1,18)</f>
        <v/>
      </c>
      <c r="AB225" s="24">
        <f>$J$114*INDEX($C$96:$AL$96,1,19)</f>
        <v/>
      </c>
      <c r="AC225" s="24">
        <f>$J$114*INDEX($C$96:$AL$96,1,20)</f>
        <v/>
      </c>
      <c r="AD225" s="24">
        <f>$J$114*INDEX($C$96:$AL$96,1,21)</f>
        <v/>
      </c>
      <c r="AE225" s="24">
        <f>$J$114*INDEX($C$96:$AL$96,1,22)</f>
        <v/>
      </c>
      <c r="AF225" s="24">
        <f>$J$114*INDEX($C$96:$AL$96,1,23)</f>
        <v/>
      </c>
    </row>
    <row r="226">
      <c r="A226" s="4" t="inlineStr">
        <is>
          <t>Coorte del mese 9</t>
        </is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>
        <f>$K$114*INDEX($C$96:$AL$96,1,1)</f>
        <v/>
      </c>
      <c r="L226" s="24">
        <f>$K$114*INDEX($C$96:$AL$96,1,2)</f>
        <v/>
      </c>
      <c r="M226" s="24">
        <f>$K$114*INDEX($C$96:$AL$96,1,3)</f>
        <v/>
      </c>
      <c r="N226" s="24">
        <f>$K$114*INDEX($C$96:$AL$96,1,4)</f>
        <v/>
      </c>
      <c r="O226" s="24">
        <f>$K$114*INDEX($C$96:$AL$96,1,5)</f>
        <v/>
      </c>
      <c r="P226" s="24">
        <f>$K$114*INDEX($C$96:$AL$96,1,6)</f>
        <v/>
      </c>
      <c r="Q226" s="24">
        <f>$K$114*INDEX($C$96:$AL$96,1,7)</f>
        <v/>
      </c>
      <c r="R226" s="24">
        <f>$K$114*INDEX($C$96:$AL$96,1,8)</f>
        <v/>
      </c>
      <c r="S226" s="24">
        <f>$K$114*INDEX($C$96:$AL$96,1,9)</f>
        <v/>
      </c>
      <c r="T226" s="24">
        <f>$K$114*INDEX($C$96:$AL$96,1,10)</f>
        <v/>
      </c>
      <c r="U226" s="24">
        <f>$K$114*INDEX($C$96:$AL$96,1,11)</f>
        <v/>
      </c>
      <c r="V226" s="24">
        <f>$K$114*INDEX($C$96:$AL$96,1,12)</f>
        <v/>
      </c>
      <c r="W226" s="24">
        <f>$K$114*INDEX($C$96:$AL$96,1,13)</f>
        <v/>
      </c>
      <c r="X226" s="24">
        <f>$K$114*INDEX($C$96:$AL$96,1,14)</f>
        <v/>
      </c>
      <c r="Y226" s="24">
        <f>$K$114*INDEX($C$96:$AL$96,1,15)</f>
        <v/>
      </c>
      <c r="Z226" s="24">
        <f>$K$114*INDEX($C$96:$AL$96,1,16)</f>
        <v/>
      </c>
      <c r="AA226" s="24">
        <f>$K$114*INDEX($C$96:$AL$96,1,17)</f>
        <v/>
      </c>
      <c r="AB226" s="24">
        <f>$K$114*INDEX($C$96:$AL$96,1,18)</f>
        <v/>
      </c>
      <c r="AC226" s="24">
        <f>$K$114*INDEX($C$96:$AL$96,1,19)</f>
        <v/>
      </c>
      <c r="AD226" s="24">
        <f>$K$114*INDEX($C$96:$AL$96,1,20)</f>
        <v/>
      </c>
      <c r="AE226" s="24">
        <f>$K$114*INDEX($C$96:$AL$96,1,21)</f>
        <v/>
      </c>
      <c r="AF226" s="24">
        <f>$K$114*INDEX($C$96:$AL$96,1,22)</f>
        <v/>
      </c>
    </row>
    <row r="227">
      <c r="A227" s="4" t="inlineStr">
        <is>
          <t>Coorte del mese 10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>
        <f>$L$114*INDEX($C$96:$AL$96,1,1)</f>
        <v/>
      </c>
      <c r="M227" s="24">
        <f>$L$114*INDEX($C$96:$AL$96,1,2)</f>
        <v/>
      </c>
      <c r="N227" s="24">
        <f>$L$114*INDEX($C$96:$AL$96,1,3)</f>
        <v/>
      </c>
      <c r="O227" s="24">
        <f>$L$114*INDEX($C$96:$AL$96,1,4)</f>
        <v/>
      </c>
      <c r="P227" s="24">
        <f>$L$114*INDEX($C$96:$AL$96,1,5)</f>
        <v/>
      </c>
      <c r="Q227" s="24">
        <f>$L$114*INDEX($C$96:$AL$96,1,6)</f>
        <v/>
      </c>
      <c r="R227" s="24">
        <f>$L$114*INDEX($C$96:$AL$96,1,7)</f>
        <v/>
      </c>
      <c r="S227" s="24">
        <f>$L$114*INDEX($C$96:$AL$96,1,8)</f>
        <v/>
      </c>
      <c r="T227" s="24">
        <f>$L$114*INDEX($C$96:$AL$96,1,9)</f>
        <v/>
      </c>
      <c r="U227" s="24">
        <f>$L$114*INDEX($C$96:$AL$96,1,10)</f>
        <v/>
      </c>
      <c r="V227" s="24">
        <f>$L$114*INDEX($C$96:$AL$96,1,11)</f>
        <v/>
      </c>
      <c r="W227" s="24">
        <f>$L$114*INDEX($C$96:$AL$96,1,12)</f>
        <v/>
      </c>
      <c r="X227" s="24">
        <f>$L$114*INDEX($C$96:$AL$96,1,13)</f>
        <v/>
      </c>
      <c r="Y227" s="24">
        <f>$L$114*INDEX($C$96:$AL$96,1,14)</f>
        <v/>
      </c>
      <c r="Z227" s="24">
        <f>$L$114*INDEX($C$96:$AL$96,1,15)</f>
        <v/>
      </c>
      <c r="AA227" s="24">
        <f>$L$114*INDEX($C$96:$AL$96,1,16)</f>
        <v/>
      </c>
      <c r="AB227" s="24">
        <f>$L$114*INDEX($C$96:$AL$96,1,17)</f>
        <v/>
      </c>
      <c r="AC227" s="24">
        <f>$L$114*INDEX($C$96:$AL$96,1,18)</f>
        <v/>
      </c>
      <c r="AD227" s="24">
        <f>$L$114*INDEX($C$96:$AL$96,1,19)</f>
        <v/>
      </c>
      <c r="AE227" s="24">
        <f>$L$114*INDEX($C$96:$AL$96,1,20)</f>
        <v/>
      </c>
      <c r="AF227" s="24">
        <f>$L$114*INDEX($C$96:$AL$96,1,21)</f>
        <v/>
      </c>
    </row>
    <row r="228">
      <c r="A228" s="4" t="inlineStr">
        <is>
          <t>Coorte del mese 11</t>
        </is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>
        <f>$M$114*INDEX($C$96:$AL$96,1,1)</f>
        <v/>
      </c>
      <c r="N228" s="24">
        <f>$M$114*INDEX($C$96:$AL$96,1,2)</f>
        <v/>
      </c>
      <c r="O228" s="24">
        <f>$M$114*INDEX($C$96:$AL$96,1,3)</f>
        <v/>
      </c>
      <c r="P228" s="24">
        <f>$M$114*INDEX($C$96:$AL$96,1,4)</f>
        <v/>
      </c>
      <c r="Q228" s="24">
        <f>$M$114*INDEX($C$96:$AL$96,1,5)</f>
        <v/>
      </c>
      <c r="R228" s="24">
        <f>$M$114*INDEX($C$96:$AL$96,1,6)</f>
        <v/>
      </c>
      <c r="S228" s="24">
        <f>$M$114*INDEX($C$96:$AL$96,1,7)</f>
        <v/>
      </c>
      <c r="T228" s="24">
        <f>$M$114*INDEX($C$96:$AL$96,1,8)</f>
        <v/>
      </c>
      <c r="U228" s="24">
        <f>$M$114*INDEX($C$96:$AL$96,1,9)</f>
        <v/>
      </c>
      <c r="V228" s="24">
        <f>$M$114*INDEX($C$96:$AL$96,1,10)</f>
        <v/>
      </c>
      <c r="W228" s="24">
        <f>$M$114*INDEX($C$96:$AL$96,1,11)</f>
        <v/>
      </c>
      <c r="X228" s="24">
        <f>$M$114*INDEX($C$96:$AL$96,1,12)</f>
        <v/>
      </c>
      <c r="Y228" s="24">
        <f>$M$114*INDEX($C$96:$AL$96,1,13)</f>
        <v/>
      </c>
      <c r="Z228" s="24">
        <f>$M$114*INDEX($C$96:$AL$96,1,14)</f>
        <v/>
      </c>
      <c r="AA228" s="24">
        <f>$M$114*INDEX($C$96:$AL$96,1,15)</f>
        <v/>
      </c>
      <c r="AB228" s="24">
        <f>$M$114*INDEX($C$96:$AL$96,1,16)</f>
        <v/>
      </c>
      <c r="AC228" s="24">
        <f>$M$114*INDEX($C$96:$AL$96,1,17)</f>
        <v/>
      </c>
      <c r="AD228" s="24">
        <f>$M$114*INDEX($C$96:$AL$96,1,18)</f>
        <v/>
      </c>
      <c r="AE228" s="24">
        <f>$M$114*INDEX($C$96:$AL$96,1,19)</f>
        <v/>
      </c>
      <c r="AF228" s="24">
        <f>$M$114*INDEX($C$96:$AL$96,1,20)</f>
        <v/>
      </c>
    </row>
    <row r="229">
      <c r="A229" s="4" t="inlineStr">
        <is>
          <t>Coorte del mese 12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>
        <f>$N$114*INDEX($C$96:$AL$96,1,1)</f>
        <v/>
      </c>
      <c r="O229" s="24">
        <f>$N$114*INDEX($C$96:$AL$96,1,2)</f>
        <v/>
      </c>
      <c r="P229" s="24">
        <f>$N$114*INDEX($C$96:$AL$96,1,3)</f>
        <v/>
      </c>
      <c r="Q229" s="24">
        <f>$N$114*INDEX($C$96:$AL$96,1,4)</f>
        <v/>
      </c>
      <c r="R229" s="24">
        <f>$N$114*INDEX($C$96:$AL$96,1,5)</f>
        <v/>
      </c>
      <c r="S229" s="24">
        <f>$N$114*INDEX($C$96:$AL$96,1,6)</f>
        <v/>
      </c>
      <c r="T229" s="24">
        <f>$N$114*INDEX($C$96:$AL$96,1,7)</f>
        <v/>
      </c>
      <c r="U229" s="24">
        <f>$N$114*INDEX($C$96:$AL$96,1,8)</f>
        <v/>
      </c>
      <c r="V229" s="24">
        <f>$N$114*INDEX($C$96:$AL$96,1,9)</f>
        <v/>
      </c>
      <c r="W229" s="24">
        <f>$N$114*INDEX($C$96:$AL$96,1,10)</f>
        <v/>
      </c>
      <c r="X229" s="24">
        <f>$N$114*INDEX($C$96:$AL$96,1,11)</f>
        <v/>
      </c>
      <c r="Y229" s="24">
        <f>$N$114*INDEX($C$96:$AL$96,1,12)</f>
        <v/>
      </c>
      <c r="Z229" s="24">
        <f>$N$114*INDEX($C$96:$AL$96,1,13)</f>
        <v/>
      </c>
      <c r="AA229" s="24">
        <f>$N$114*INDEX($C$96:$AL$96,1,14)</f>
        <v/>
      </c>
      <c r="AB229" s="24">
        <f>$N$114*INDEX($C$96:$AL$96,1,15)</f>
        <v/>
      </c>
      <c r="AC229" s="24">
        <f>$N$114*INDEX($C$96:$AL$96,1,16)</f>
        <v/>
      </c>
      <c r="AD229" s="24">
        <f>$N$114*INDEX($C$96:$AL$96,1,17)</f>
        <v/>
      </c>
      <c r="AE229" s="24">
        <f>$N$114*INDEX($C$96:$AL$96,1,18)</f>
        <v/>
      </c>
      <c r="AF229" s="24">
        <f>$N$114*INDEX($C$96:$AL$96,1,19)</f>
        <v/>
      </c>
    </row>
    <row r="230">
      <c r="A230" s="4" t="inlineStr">
        <is>
          <t>Coorte del mese 13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>
        <f>$O$114*INDEX($C$96:$AL$96,1,1)</f>
        <v/>
      </c>
      <c r="P230" s="24">
        <f>$O$114*INDEX($C$96:$AL$96,1,2)</f>
        <v/>
      </c>
      <c r="Q230" s="24">
        <f>$O$114*INDEX($C$96:$AL$96,1,3)</f>
        <v/>
      </c>
      <c r="R230" s="24">
        <f>$O$114*INDEX($C$96:$AL$96,1,4)</f>
        <v/>
      </c>
      <c r="S230" s="24">
        <f>$O$114*INDEX($C$96:$AL$96,1,5)</f>
        <v/>
      </c>
      <c r="T230" s="24">
        <f>$O$114*INDEX($C$96:$AL$96,1,6)</f>
        <v/>
      </c>
      <c r="U230" s="24">
        <f>$O$114*INDEX($C$96:$AL$96,1,7)</f>
        <v/>
      </c>
      <c r="V230" s="24">
        <f>$O$114*INDEX($C$96:$AL$96,1,8)</f>
        <v/>
      </c>
      <c r="W230" s="24">
        <f>$O$114*INDEX($C$96:$AL$96,1,9)</f>
        <v/>
      </c>
      <c r="X230" s="24">
        <f>$O$114*INDEX($C$96:$AL$96,1,10)</f>
        <v/>
      </c>
      <c r="Y230" s="24">
        <f>$O$114*INDEX($C$96:$AL$96,1,11)</f>
        <v/>
      </c>
      <c r="Z230" s="24">
        <f>$O$114*INDEX($C$96:$AL$96,1,12)</f>
        <v/>
      </c>
      <c r="AA230" s="24">
        <f>$O$114*INDEX($C$96:$AL$96,1,13)</f>
        <v/>
      </c>
      <c r="AB230" s="24">
        <f>$O$114*INDEX($C$96:$AL$96,1,14)</f>
        <v/>
      </c>
      <c r="AC230" s="24">
        <f>$O$114*INDEX($C$96:$AL$96,1,15)</f>
        <v/>
      </c>
      <c r="AD230" s="24">
        <f>$O$114*INDEX($C$96:$AL$96,1,16)</f>
        <v/>
      </c>
      <c r="AE230" s="24">
        <f>$O$114*INDEX($C$96:$AL$96,1,17)</f>
        <v/>
      </c>
      <c r="AF230" s="24">
        <f>$O$114*INDEX($C$96:$AL$96,1,18)</f>
        <v/>
      </c>
    </row>
    <row r="231">
      <c r="A231" s="4" t="inlineStr">
        <is>
          <t>Coorte del mese 14</t>
        </is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>
        <f>$P$114*INDEX($C$96:$AL$96,1,1)</f>
        <v/>
      </c>
      <c r="Q231" s="24">
        <f>$P$114*INDEX($C$96:$AL$96,1,2)</f>
        <v/>
      </c>
      <c r="R231" s="24">
        <f>$P$114*INDEX($C$96:$AL$96,1,3)</f>
        <v/>
      </c>
      <c r="S231" s="24">
        <f>$P$114*INDEX($C$96:$AL$96,1,4)</f>
        <v/>
      </c>
      <c r="T231" s="24">
        <f>$P$114*INDEX($C$96:$AL$96,1,5)</f>
        <v/>
      </c>
      <c r="U231" s="24">
        <f>$P$114*INDEX($C$96:$AL$96,1,6)</f>
        <v/>
      </c>
      <c r="V231" s="24">
        <f>$P$114*INDEX($C$96:$AL$96,1,7)</f>
        <v/>
      </c>
      <c r="W231" s="24">
        <f>$P$114*INDEX($C$96:$AL$96,1,8)</f>
        <v/>
      </c>
      <c r="X231" s="24">
        <f>$P$114*INDEX($C$96:$AL$96,1,9)</f>
        <v/>
      </c>
      <c r="Y231" s="24">
        <f>$P$114*INDEX($C$96:$AL$96,1,10)</f>
        <v/>
      </c>
      <c r="Z231" s="24">
        <f>$P$114*INDEX($C$96:$AL$96,1,11)</f>
        <v/>
      </c>
      <c r="AA231" s="24">
        <f>$P$114*INDEX($C$96:$AL$96,1,12)</f>
        <v/>
      </c>
      <c r="AB231" s="24">
        <f>$P$114*INDEX($C$96:$AL$96,1,13)</f>
        <v/>
      </c>
      <c r="AC231" s="24">
        <f>$P$114*INDEX($C$96:$AL$96,1,14)</f>
        <v/>
      </c>
      <c r="AD231" s="24">
        <f>$P$114*INDEX($C$96:$AL$96,1,15)</f>
        <v/>
      </c>
      <c r="AE231" s="24">
        <f>$P$114*INDEX($C$96:$AL$96,1,16)</f>
        <v/>
      </c>
      <c r="AF231" s="24">
        <f>$P$114*INDEX($C$96:$AL$96,1,17)</f>
        <v/>
      </c>
    </row>
    <row r="232">
      <c r="A232" s="4" t="inlineStr">
        <is>
          <t>Coorte del mese 15</t>
        </is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>
        <f>$Q$114*INDEX($C$96:$AL$96,1,1)</f>
        <v/>
      </c>
      <c r="R232" s="24">
        <f>$Q$114*INDEX($C$96:$AL$96,1,2)</f>
        <v/>
      </c>
      <c r="S232" s="24">
        <f>$Q$114*INDEX($C$96:$AL$96,1,3)</f>
        <v/>
      </c>
      <c r="T232" s="24">
        <f>$Q$114*INDEX($C$96:$AL$96,1,4)</f>
        <v/>
      </c>
      <c r="U232" s="24">
        <f>$Q$114*INDEX($C$96:$AL$96,1,5)</f>
        <v/>
      </c>
      <c r="V232" s="24">
        <f>$Q$114*INDEX($C$96:$AL$96,1,6)</f>
        <v/>
      </c>
      <c r="W232" s="24">
        <f>$Q$114*INDEX($C$96:$AL$96,1,7)</f>
        <v/>
      </c>
      <c r="X232" s="24">
        <f>$Q$114*INDEX($C$96:$AL$96,1,8)</f>
        <v/>
      </c>
      <c r="Y232" s="24">
        <f>$Q$114*INDEX($C$96:$AL$96,1,9)</f>
        <v/>
      </c>
      <c r="Z232" s="24">
        <f>$Q$114*INDEX($C$96:$AL$96,1,10)</f>
        <v/>
      </c>
      <c r="AA232" s="24">
        <f>$Q$114*INDEX($C$96:$AL$96,1,11)</f>
        <v/>
      </c>
      <c r="AB232" s="24">
        <f>$Q$114*INDEX($C$96:$AL$96,1,12)</f>
        <v/>
      </c>
      <c r="AC232" s="24">
        <f>$Q$114*INDEX($C$96:$AL$96,1,13)</f>
        <v/>
      </c>
      <c r="AD232" s="24">
        <f>$Q$114*INDEX($C$96:$AL$96,1,14)</f>
        <v/>
      </c>
      <c r="AE232" s="24">
        <f>$Q$114*INDEX($C$96:$AL$96,1,15)</f>
        <v/>
      </c>
      <c r="AF232" s="24">
        <f>$Q$114*INDEX($C$96:$AL$96,1,16)</f>
        <v/>
      </c>
    </row>
    <row r="233">
      <c r="A233" s="4" t="inlineStr">
        <is>
          <t>Coorte del mese 16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>
        <f>$R$114*INDEX($C$96:$AL$96,1,1)</f>
        <v/>
      </c>
      <c r="S233" s="24">
        <f>$R$114*INDEX($C$96:$AL$96,1,2)</f>
        <v/>
      </c>
      <c r="T233" s="24">
        <f>$R$114*INDEX($C$96:$AL$96,1,3)</f>
        <v/>
      </c>
      <c r="U233" s="24">
        <f>$R$114*INDEX($C$96:$AL$96,1,4)</f>
        <v/>
      </c>
      <c r="V233" s="24">
        <f>$R$114*INDEX($C$96:$AL$96,1,5)</f>
        <v/>
      </c>
      <c r="W233" s="24">
        <f>$R$114*INDEX($C$96:$AL$96,1,6)</f>
        <v/>
      </c>
      <c r="X233" s="24">
        <f>$R$114*INDEX($C$96:$AL$96,1,7)</f>
        <v/>
      </c>
      <c r="Y233" s="24">
        <f>$R$114*INDEX($C$96:$AL$96,1,8)</f>
        <v/>
      </c>
      <c r="Z233" s="24">
        <f>$R$114*INDEX($C$96:$AL$96,1,9)</f>
        <v/>
      </c>
      <c r="AA233" s="24">
        <f>$R$114*INDEX($C$96:$AL$96,1,10)</f>
        <v/>
      </c>
      <c r="AB233" s="24">
        <f>$R$114*INDEX($C$96:$AL$96,1,11)</f>
        <v/>
      </c>
      <c r="AC233" s="24">
        <f>$R$114*INDEX($C$96:$AL$96,1,12)</f>
        <v/>
      </c>
      <c r="AD233" s="24">
        <f>$R$114*INDEX($C$96:$AL$96,1,13)</f>
        <v/>
      </c>
      <c r="AE233" s="24">
        <f>$R$114*INDEX($C$96:$AL$96,1,14)</f>
        <v/>
      </c>
      <c r="AF233" s="24">
        <f>$R$114*INDEX($C$96:$AL$96,1,15)</f>
        <v/>
      </c>
    </row>
    <row r="234">
      <c r="A234" s="4" t="inlineStr">
        <is>
          <t>Coorte del mese 17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>
        <f>$S$114*INDEX($C$96:$AL$96,1,1)</f>
        <v/>
      </c>
      <c r="T234" s="24">
        <f>$S$114*INDEX($C$96:$AL$96,1,2)</f>
        <v/>
      </c>
      <c r="U234" s="24">
        <f>$S$114*INDEX($C$96:$AL$96,1,3)</f>
        <v/>
      </c>
      <c r="V234" s="24">
        <f>$S$114*INDEX($C$96:$AL$96,1,4)</f>
        <v/>
      </c>
      <c r="W234" s="24">
        <f>$S$114*INDEX($C$96:$AL$96,1,5)</f>
        <v/>
      </c>
      <c r="X234" s="24">
        <f>$S$114*INDEX($C$96:$AL$96,1,6)</f>
        <v/>
      </c>
      <c r="Y234" s="24">
        <f>$S$114*INDEX($C$96:$AL$96,1,7)</f>
        <v/>
      </c>
      <c r="Z234" s="24">
        <f>$S$114*INDEX($C$96:$AL$96,1,8)</f>
        <v/>
      </c>
      <c r="AA234" s="24">
        <f>$S$114*INDEX($C$96:$AL$96,1,9)</f>
        <v/>
      </c>
      <c r="AB234" s="24">
        <f>$S$114*INDEX($C$96:$AL$96,1,10)</f>
        <v/>
      </c>
      <c r="AC234" s="24">
        <f>$S$114*INDEX($C$96:$AL$96,1,11)</f>
        <v/>
      </c>
      <c r="AD234" s="24">
        <f>$S$114*INDEX($C$96:$AL$96,1,12)</f>
        <v/>
      </c>
      <c r="AE234" s="24">
        <f>$S$114*INDEX($C$96:$AL$96,1,13)</f>
        <v/>
      </c>
      <c r="AF234" s="24">
        <f>$S$114*INDEX($C$96:$AL$96,1,14)</f>
        <v/>
      </c>
    </row>
    <row r="235">
      <c r="A235" s="4" t="inlineStr">
        <is>
          <t>Coorte del mese 18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>
        <f>$T$114*INDEX($C$96:$AL$96,1,1)</f>
        <v/>
      </c>
      <c r="U235" s="24">
        <f>$T$114*INDEX($C$96:$AL$96,1,2)</f>
        <v/>
      </c>
      <c r="V235" s="24">
        <f>$T$114*INDEX($C$96:$AL$96,1,3)</f>
        <v/>
      </c>
      <c r="W235" s="24">
        <f>$T$114*INDEX($C$96:$AL$96,1,4)</f>
        <v/>
      </c>
      <c r="X235" s="24">
        <f>$T$114*INDEX($C$96:$AL$96,1,5)</f>
        <v/>
      </c>
      <c r="Y235" s="24">
        <f>$T$114*INDEX($C$96:$AL$96,1,6)</f>
        <v/>
      </c>
      <c r="Z235" s="24">
        <f>$T$114*INDEX($C$96:$AL$96,1,7)</f>
        <v/>
      </c>
      <c r="AA235" s="24">
        <f>$T$114*INDEX($C$96:$AL$96,1,8)</f>
        <v/>
      </c>
      <c r="AB235" s="24">
        <f>$T$114*INDEX($C$96:$AL$96,1,9)</f>
        <v/>
      </c>
      <c r="AC235" s="24">
        <f>$T$114*INDEX($C$96:$AL$96,1,10)</f>
        <v/>
      </c>
      <c r="AD235" s="24">
        <f>$T$114*INDEX($C$96:$AL$96,1,11)</f>
        <v/>
      </c>
      <c r="AE235" s="24">
        <f>$T$114*INDEX($C$96:$AL$96,1,12)</f>
        <v/>
      </c>
      <c r="AF235" s="24">
        <f>$T$114*INDEX($C$96:$AL$96,1,13)</f>
        <v/>
      </c>
    </row>
    <row r="236">
      <c r="A236" s="4" t="inlineStr">
        <is>
          <t>Coorte del mese 19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>
        <f>$U$114*INDEX($C$96:$AL$96,1,1)</f>
        <v/>
      </c>
      <c r="V236" s="24">
        <f>$U$114*INDEX($C$96:$AL$96,1,2)</f>
        <v/>
      </c>
      <c r="W236" s="24">
        <f>$U$114*INDEX($C$96:$AL$96,1,3)</f>
        <v/>
      </c>
      <c r="X236" s="24">
        <f>$U$114*INDEX($C$96:$AL$96,1,4)</f>
        <v/>
      </c>
      <c r="Y236" s="24">
        <f>$U$114*INDEX($C$96:$AL$96,1,5)</f>
        <v/>
      </c>
      <c r="Z236" s="24">
        <f>$U$114*INDEX($C$96:$AL$96,1,6)</f>
        <v/>
      </c>
      <c r="AA236" s="24">
        <f>$U$114*INDEX($C$96:$AL$96,1,7)</f>
        <v/>
      </c>
      <c r="AB236" s="24">
        <f>$U$114*INDEX($C$96:$AL$96,1,8)</f>
        <v/>
      </c>
      <c r="AC236" s="24">
        <f>$U$114*INDEX($C$96:$AL$96,1,9)</f>
        <v/>
      </c>
      <c r="AD236" s="24">
        <f>$U$114*INDEX($C$96:$AL$96,1,10)</f>
        <v/>
      </c>
      <c r="AE236" s="24">
        <f>$U$114*INDEX($C$96:$AL$96,1,11)</f>
        <v/>
      </c>
      <c r="AF236" s="24">
        <f>$U$114*INDEX($C$96:$AL$96,1,12)</f>
        <v/>
      </c>
    </row>
    <row r="237">
      <c r="A237" s="4" t="inlineStr">
        <is>
          <t>Coorte del mese 20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>
        <f>$V$114*INDEX($C$96:$AL$96,1,1)</f>
        <v/>
      </c>
      <c r="W237" s="24">
        <f>$V$114*INDEX($C$96:$AL$96,1,2)</f>
        <v/>
      </c>
      <c r="X237" s="24">
        <f>$V$114*INDEX($C$96:$AL$96,1,3)</f>
        <v/>
      </c>
      <c r="Y237" s="24">
        <f>$V$114*INDEX($C$96:$AL$96,1,4)</f>
        <v/>
      </c>
      <c r="Z237" s="24">
        <f>$V$114*INDEX($C$96:$AL$96,1,5)</f>
        <v/>
      </c>
      <c r="AA237" s="24">
        <f>$V$114*INDEX($C$96:$AL$96,1,6)</f>
        <v/>
      </c>
      <c r="AB237" s="24">
        <f>$V$114*INDEX($C$96:$AL$96,1,7)</f>
        <v/>
      </c>
      <c r="AC237" s="24">
        <f>$V$114*INDEX($C$96:$AL$96,1,8)</f>
        <v/>
      </c>
      <c r="AD237" s="24">
        <f>$V$114*INDEX($C$96:$AL$96,1,9)</f>
        <v/>
      </c>
      <c r="AE237" s="24">
        <f>$V$114*INDEX($C$96:$AL$96,1,10)</f>
        <v/>
      </c>
      <c r="AF237" s="24">
        <f>$V$114*INDEX($C$96:$AL$96,1,11)</f>
        <v/>
      </c>
    </row>
    <row r="238">
      <c r="A238" s="4" t="inlineStr">
        <is>
          <t>Coorte del mese 21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>
        <f>$W$114*INDEX($C$96:$AL$96,1,1)</f>
        <v/>
      </c>
      <c r="X238" s="24">
        <f>$W$114*INDEX($C$96:$AL$96,1,2)</f>
        <v/>
      </c>
      <c r="Y238" s="24">
        <f>$W$114*INDEX($C$96:$AL$96,1,3)</f>
        <v/>
      </c>
      <c r="Z238" s="24">
        <f>$W$114*INDEX($C$96:$AL$96,1,4)</f>
        <v/>
      </c>
      <c r="AA238" s="24">
        <f>$W$114*INDEX($C$96:$AL$96,1,5)</f>
        <v/>
      </c>
      <c r="AB238" s="24">
        <f>$W$114*INDEX($C$96:$AL$96,1,6)</f>
        <v/>
      </c>
      <c r="AC238" s="24">
        <f>$W$114*INDEX($C$96:$AL$96,1,7)</f>
        <v/>
      </c>
      <c r="AD238" s="24">
        <f>$W$114*INDEX($C$96:$AL$96,1,8)</f>
        <v/>
      </c>
      <c r="AE238" s="24">
        <f>$W$114*INDEX($C$96:$AL$96,1,9)</f>
        <v/>
      </c>
      <c r="AF238" s="24">
        <f>$W$114*INDEX($C$96:$AL$96,1,10)</f>
        <v/>
      </c>
    </row>
    <row r="239">
      <c r="A239" s="4" t="inlineStr">
        <is>
          <t>Coorte del mese 22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>
        <f>$X$114*INDEX($C$96:$AL$96,1,1)</f>
        <v/>
      </c>
      <c r="Y239" s="24">
        <f>$X$114*INDEX($C$96:$AL$96,1,2)</f>
        <v/>
      </c>
      <c r="Z239" s="24">
        <f>$X$114*INDEX($C$96:$AL$96,1,3)</f>
        <v/>
      </c>
      <c r="AA239" s="24">
        <f>$X$114*INDEX($C$96:$AL$96,1,4)</f>
        <v/>
      </c>
      <c r="AB239" s="24">
        <f>$X$114*INDEX($C$96:$AL$96,1,5)</f>
        <v/>
      </c>
      <c r="AC239" s="24">
        <f>$X$114*INDEX($C$96:$AL$96,1,6)</f>
        <v/>
      </c>
      <c r="AD239" s="24">
        <f>$X$114*INDEX($C$96:$AL$96,1,7)</f>
        <v/>
      </c>
      <c r="AE239" s="24">
        <f>$X$114*INDEX($C$96:$AL$96,1,8)</f>
        <v/>
      </c>
      <c r="AF239" s="24">
        <f>$X$114*INDEX($C$96:$AL$96,1,9)</f>
        <v/>
      </c>
    </row>
    <row r="240">
      <c r="A240" s="4" t="inlineStr">
        <is>
          <t>Coorte del mese 23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>
        <f>$Y$114*INDEX($C$96:$AL$96,1,1)</f>
        <v/>
      </c>
      <c r="Z240" s="24">
        <f>$Y$114*INDEX($C$96:$AL$96,1,2)</f>
        <v/>
      </c>
      <c r="AA240" s="24">
        <f>$Y$114*INDEX($C$96:$AL$96,1,3)</f>
        <v/>
      </c>
      <c r="AB240" s="24">
        <f>$Y$114*INDEX($C$96:$AL$96,1,4)</f>
        <v/>
      </c>
      <c r="AC240" s="24">
        <f>$Y$114*INDEX($C$96:$AL$96,1,5)</f>
        <v/>
      </c>
      <c r="AD240" s="24">
        <f>$Y$114*INDEX($C$96:$AL$96,1,6)</f>
        <v/>
      </c>
      <c r="AE240" s="24">
        <f>$Y$114*INDEX($C$96:$AL$96,1,7)</f>
        <v/>
      </c>
      <c r="AF240" s="24">
        <f>$Y$114*INDEX($C$96:$AL$96,1,8)</f>
        <v/>
      </c>
    </row>
    <row r="241">
      <c r="A241" s="4" t="inlineStr">
        <is>
          <t>Coorte del mese 24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>
        <f>$Z$114*INDEX($C$96:$AL$96,1,1)</f>
        <v/>
      </c>
      <c r="AA241" s="24">
        <f>$Z$114*INDEX($C$96:$AL$96,1,2)</f>
        <v/>
      </c>
      <c r="AB241" s="24">
        <f>$Z$114*INDEX($C$96:$AL$96,1,3)</f>
        <v/>
      </c>
      <c r="AC241" s="24">
        <f>$Z$114*INDEX($C$96:$AL$96,1,4)</f>
        <v/>
      </c>
      <c r="AD241" s="24">
        <f>$Z$114*INDEX($C$96:$AL$96,1,5)</f>
        <v/>
      </c>
      <c r="AE241" s="24">
        <f>$Z$114*INDEX($C$96:$AL$96,1,6)</f>
        <v/>
      </c>
      <c r="AF241" s="24">
        <f>$Z$114*INDEX($C$96:$AL$96,1,7)</f>
        <v/>
      </c>
    </row>
    <row r="242">
      <c r="A242" s="4" t="inlineStr">
        <is>
          <t>Coorte del mese 25</t>
        </is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>
        <f>$AA$114*INDEX($C$96:$AL$96,1,1)</f>
        <v/>
      </c>
      <c r="AB242" s="24">
        <f>$AA$114*INDEX($C$96:$AL$96,1,2)</f>
        <v/>
      </c>
      <c r="AC242" s="24">
        <f>$AA$114*INDEX($C$96:$AL$96,1,3)</f>
        <v/>
      </c>
      <c r="AD242" s="24">
        <f>$AA$114*INDEX($C$96:$AL$96,1,4)</f>
        <v/>
      </c>
      <c r="AE242" s="24">
        <f>$AA$114*INDEX($C$96:$AL$96,1,5)</f>
        <v/>
      </c>
      <c r="AF242" s="24">
        <f>$AA$114*INDEX($C$96:$AL$96,1,6)</f>
        <v/>
      </c>
    </row>
    <row r="243">
      <c r="A243" s="4" t="inlineStr">
        <is>
          <t>Coorte del mese 26</t>
        </is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>
        <f>$AB$114*INDEX($C$96:$AL$96,1,1)</f>
        <v/>
      </c>
      <c r="AC243" s="24">
        <f>$AB$114*INDEX($C$96:$AL$96,1,2)</f>
        <v/>
      </c>
      <c r="AD243" s="24">
        <f>$AB$114*INDEX($C$96:$AL$96,1,3)</f>
        <v/>
      </c>
      <c r="AE243" s="24">
        <f>$AB$114*INDEX($C$96:$AL$96,1,4)</f>
        <v/>
      </c>
      <c r="AF243" s="24">
        <f>$AB$114*INDEX($C$96:$AL$96,1,5)</f>
        <v/>
      </c>
    </row>
    <row r="244">
      <c r="A244" s="4" t="inlineStr">
        <is>
          <t>Coorte del mese 27</t>
        </is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>
        <f>$AC$114*INDEX($C$96:$AL$96,1,1)</f>
        <v/>
      </c>
      <c r="AD244" s="24">
        <f>$AC$114*INDEX($C$96:$AL$96,1,2)</f>
        <v/>
      </c>
      <c r="AE244" s="24">
        <f>$AC$114*INDEX($C$96:$AL$96,1,3)</f>
        <v/>
      </c>
      <c r="AF244" s="24">
        <f>$AC$114*INDEX($C$96:$AL$96,1,4)</f>
        <v/>
      </c>
    </row>
    <row r="245">
      <c r="A245" s="4" t="inlineStr">
        <is>
          <t>Coorte del mese 28</t>
        </is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0</v>
      </c>
      <c r="AC245" s="24" t="n">
        <v>0</v>
      </c>
      <c r="AD245" s="24">
        <f>$AD$114*INDEX($C$96:$AL$96,1,1)</f>
        <v/>
      </c>
      <c r="AE245" s="24">
        <f>$AD$114*INDEX($C$96:$AL$96,1,2)</f>
        <v/>
      </c>
      <c r="AF245" s="24">
        <f>$AD$114*INDEX($C$96:$AL$96,1,3)</f>
        <v/>
      </c>
    </row>
    <row r="246">
      <c r="A246" s="4" t="inlineStr">
        <is>
          <t>Coorte del mese 29</t>
        </is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4" t="n">
        <v>0</v>
      </c>
      <c r="AD246" s="24" t="n">
        <v>0</v>
      </c>
      <c r="AE246" s="24">
        <f>$AE$114*INDEX($C$96:$AL$96,1,1)</f>
        <v/>
      </c>
      <c r="AF246" s="24">
        <f>$AE$114*INDEX($C$96:$AL$96,1,2)</f>
        <v/>
      </c>
    </row>
    <row r="247">
      <c r="A247" s="4" t="inlineStr">
        <is>
          <t>Coorte del mese 30</t>
        </is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>
        <f>$AF$114*INDEX($C$96:$AL$96,1,1)</f>
        <v/>
      </c>
    </row>
    <row r="248">
      <c r="A248" s="3" t="inlineStr">
        <is>
          <t>Totale abbonamento: ordini</t>
        </is>
      </c>
      <c r="C248" s="25">
        <f>SUM(C218:C247)</f>
        <v/>
      </c>
      <c r="D248" s="25">
        <f>SUM(D218:D247)</f>
        <v/>
      </c>
      <c r="E248" s="25">
        <f>SUM(E218:E247)</f>
        <v/>
      </c>
      <c r="F248" s="25">
        <f>SUM(F218:F247)</f>
        <v/>
      </c>
      <c r="G248" s="25">
        <f>SUM(G218:G247)</f>
        <v/>
      </c>
      <c r="H248" s="25">
        <f>SUM(H218:H247)</f>
        <v/>
      </c>
      <c r="I248" s="25">
        <f>SUM(I218:I247)</f>
        <v/>
      </c>
      <c r="J248" s="25">
        <f>SUM(J218:J247)</f>
        <v/>
      </c>
      <c r="K248" s="25">
        <f>SUM(K218:K247)</f>
        <v/>
      </c>
      <c r="L248" s="25">
        <f>SUM(L218:L247)</f>
        <v/>
      </c>
      <c r="M248" s="25">
        <f>SUM(M218:M247)</f>
        <v/>
      </c>
      <c r="N248" s="25">
        <f>SUM(N218:N247)</f>
        <v/>
      </c>
      <c r="O248" s="25">
        <f>SUM(O218:O247)</f>
        <v/>
      </c>
      <c r="P248" s="25">
        <f>SUM(P218:P247)</f>
        <v/>
      </c>
      <c r="Q248" s="25">
        <f>SUM(Q218:Q247)</f>
        <v/>
      </c>
      <c r="R248" s="25">
        <f>SUM(R218:R247)</f>
        <v/>
      </c>
      <c r="S248" s="25">
        <f>SUM(S218:S247)</f>
        <v/>
      </c>
      <c r="T248" s="25">
        <f>SUM(T218:T247)</f>
        <v/>
      </c>
      <c r="U248" s="25">
        <f>SUM(U218:U247)</f>
        <v/>
      </c>
      <c r="V248" s="25">
        <f>SUM(V218:V247)</f>
        <v/>
      </c>
      <c r="W248" s="25">
        <f>SUM(W218:W247)</f>
        <v/>
      </c>
      <c r="X248" s="25">
        <f>SUM(X218:X247)</f>
        <v/>
      </c>
      <c r="Y248" s="25">
        <f>SUM(Y218:Y247)</f>
        <v/>
      </c>
      <c r="Z248" s="25">
        <f>SUM(Z218:Z247)</f>
        <v/>
      </c>
      <c r="AA248" s="25">
        <f>SUM(AA218:AA247)</f>
        <v/>
      </c>
      <c r="AB248" s="25">
        <f>SUM(AB218:AB247)</f>
        <v/>
      </c>
      <c r="AC248" s="25">
        <f>SUM(AC218:AC247)</f>
        <v/>
      </c>
      <c r="AD248" s="25">
        <f>SUM(AD218:AD247)</f>
        <v/>
      </c>
      <c r="AE248" s="25">
        <f>SUM(AE218:AE247)</f>
        <v/>
      </c>
      <c r="AF248" s="25">
        <f>SUM(AF218:AF247)</f>
        <v/>
      </c>
    </row>
    <row r="250">
      <c r="A250" s="10" t="inlineStr">
        <is>
          <t>Singolo: ordini per coorte (righe = mese di acquisizione, colonne = mese di calendario)</t>
        </is>
      </c>
    </row>
    <row r="251">
      <c r="A251" s="4" t="inlineStr">
        <is>
          <t>Coorte del mese 1</t>
        </is>
      </c>
      <c r="C251" s="24">
        <f>$C$115*INDEX($C$97:$AL$97,1,1)</f>
        <v/>
      </c>
      <c r="D251" s="24">
        <f>$C$115*INDEX($C$97:$AL$97,1,2)</f>
        <v/>
      </c>
      <c r="E251" s="24">
        <f>$C$115*INDEX($C$97:$AL$97,1,3)</f>
        <v/>
      </c>
      <c r="F251" s="24">
        <f>$C$115*INDEX($C$97:$AL$97,1,4)</f>
        <v/>
      </c>
      <c r="G251" s="24">
        <f>$C$115*INDEX($C$97:$AL$97,1,5)</f>
        <v/>
      </c>
      <c r="H251" s="24">
        <f>$C$115*INDEX($C$97:$AL$97,1,6)</f>
        <v/>
      </c>
      <c r="I251" s="24">
        <f>$C$115*INDEX($C$97:$AL$97,1,7)</f>
        <v/>
      </c>
      <c r="J251" s="24">
        <f>$C$115*INDEX($C$97:$AL$97,1,8)</f>
        <v/>
      </c>
      <c r="K251" s="24">
        <f>$C$115*INDEX($C$97:$AL$97,1,9)</f>
        <v/>
      </c>
      <c r="L251" s="24">
        <f>$C$115*INDEX($C$97:$AL$97,1,10)</f>
        <v/>
      </c>
      <c r="M251" s="24">
        <f>$C$115*INDEX($C$97:$AL$97,1,11)</f>
        <v/>
      </c>
      <c r="N251" s="24">
        <f>$C$115*INDEX($C$97:$AL$97,1,12)</f>
        <v/>
      </c>
      <c r="O251" s="24">
        <f>$C$115*INDEX($C$97:$AL$97,1,13)</f>
        <v/>
      </c>
      <c r="P251" s="24">
        <f>$C$115*INDEX($C$97:$AL$97,1,14)</f>
        <v/>
      </c>
      <c r="Q251" s="24">
        <f>$C$115*INDEX($C$97:$AL$97,1,15)</f>
        <v/>
      </c>
      <c r="R251" s="24">
        <f>$C$115*INDEX($C$97:$AL$97,1,16)</f>
        <v/>
      </c>
      <c r="S251" s="24">
        <f>$C$115*INDEX($C$97:$AL$97,1,17)</f>
        <v/>
      </c>
      <c r="T251" s="24">
        <f>$C$115*INDEX($C$97:$AL$97,1,18)</f>
        <v/>
      </c>
      <c r="U251" s="24">
        <f>$C$115*INDEX($C$97:$AL$97,1,19)</f>
        <v/>
      </c>
      <c r="V251" s="24">
        <f>$C$115*INDEX($C$97:$AL$97,1,20)</f>
        <v/>
      </c>
      <c r="W251" s="24">
        <f>$C$115*INDEX($C$97:$AL$97,1,21)</f>
        <v/>
      </c>
      <c r="X251" s="24">
        <f>$C$115*INDEX($C$97:$AL$97,1,22)</f>
        <v/>
      </c>
      <c r="Y251" s="24">
        <f>$C$115*INDEX($C$97:$AL$97,1,23)</f>
        <v/>
      </c>
      <c r="Z251" s="24">
        <f>$C$115*INDEX($C$97:$AL$97,1,24)</f>
        <v/>
      </c>
      <c r="AA251" s="24">
        <f>$C$115*INDEX($C$97:$AL$97,1,25)</f>
        <v/>
      </c>
      <c r="AB251" s="24">
        <f>$C$115*INDEX($C$97:$AL$97,1,26)</f>
        <v/>
      </c>
      <c r="AC251" s="24">
        <f>$C$115*INDEX($C$97:$AL$97,1,27)</f>
        <v/>
      </c>
      <c r="AD251" s="24">
        <f>$C$115*INDEX($C$97:$AL$97,1,28)</f>
        <v/>
      </c>
      <c r="AE251" s="24">
        <f>$C$115*INDEX($C$97:$AL$97,1,29)</f>
        <v/>
      </c>
      <c r="AF251" s="24">
        <f>$C$115*INDEX($C$97:$AL$97,1,30)</f>
        <v/>
      </c>
    </row>
    <row r="252">
      <c r="A252" s="4" t="inlineStr">
        <is>
          <t>Coorte del mese 2</t>
        </is>
      </c>
      <c r="C252" s="24" t="n">
        <v>0</v>
      </c>
      <c r="D252" s="24">
        <f>$D$115*INDEX($C$97:$AL$97,1,1)</f>
        <v/>
      </c>
      <c r="E252" s="24">
        <f>$D$115*INDEX($C$97:$AL$97,1,2)</f>
        <v/>
      </c>
      <c r="F252" s="24">
        <f>$D$115*INDEX($C$97:$AL$97,1,3)</f>
        <v/>
      </c>
      <c r="G252" s="24">
        <f>$D$115*INDEX($C$97:$AL$97,1,4)</f>
        <v/>
      </c>
      <c r="H252" s="24">
        <f>$D$115*INDEX($C$97:$AL$97,1,5)</f>
        <v/>
      </c>
      <c r="I252" s="24">
        <f>$D$115*INDEX($C$97:$AL$97,1,6)</f>
        <v/>
      </c>
      <c r="J252" s="24">
        <f>$D$115*INDEX($C$97:$AL$97,1,7)</f>
        <v/>
      </c>
      <c r="K252" s="24">
        <f>$D$115*INDEX($C$97:$AL$97,1,8)</f>
        <v/>
      </c>
      <c r="L252" s="24">
        <f>$D$115*INDEX($C$97:$AL$97,1,9)</f>
        <v/>
      </c>
      <c r="M252" s="24">
        <f>$D$115*INDEX($C$97:$AL$97,1,10)</f>
        <v/>
      </c>
      <c r="N252" s="24">
        <f>$D$115*INDEX($C$97:$AL$97,1,11)</f>
        <v/>
      </c>
      <c r="O252" s="24">
        <f>$D$115*INDEX($C$97:$AL$97,1,12)</f>
        <v/>
      </c>
      <c r="P252" s="24">
        <f>$D$115*INDEX($C$97:$AL$97,1,13)</f>
        <v/>
      </c>
      <c r="Q252" s="24">
        <f>$D$115*INDEX($C$97:$AL$97,1,14)</f>
        <v/>
      </c>
      <c r="R252" s="24">
        <f>$D$115*INDEX($C$97:$AL$97,1,15)</f>
        <v/>
      </c>
      <c r="S252" s="24">
        <f>$D$115*INDEX($C$97:$AL$97,1,16)</f>
        <v/>
      </c>
      <c r="T252" s="24">
        <f>$D$115*INDEX($C$97:$AL$97,1,17)</f>
        <v/>
      </c>
      <c r="U252" s="24">
        <f>$D$115*INDEX($C$97:$AL$97,1,18)</f>
        <v/>
      </c>
      <c r="V252" s="24">
        <f>$D$115*INDEX($C$97:$AL$97,1,19)</f>
        <v/>
      </c>
      <c r="W252" s="24">
        <f>$D$115*INDEX($C$97:$AL$97,1,20)</f>
        <v/>
      </c>
      <c r="X252" s="24">
        <f>$D$115*INDEX($C$97:$AL$97,1,21)</f>
        <v/>
      </c>
      <c r="Y252" s="24">
        <f>$D$115*INDEX($C$97:$AL$97,1,22)</f>
        <v/>
      </c>
      <c r="Z252" s="24">
        <f>$D$115*INDEX($C$97:$AL$97,1,23)</f>
        <v/>
      </c>
      <c r="AA252" s="24">
        <f>$D$115*INDEX($C$97:$AL$97,1,24)</f>
        <v/>
      </c>
      <c r="AB252" s="24">
        <f>$D$115*INDEX($C$97:$AL$97,1,25)</f>
        <v/>
      </c>
      <c r="AC252" s="24">
        <f>$D$115*INDEX($C$97:$AL$97,1,26)</f>
        <v/>
      </c>
      <c r="AD252" s="24">
        <f>$D$115*INDEX($C$97:$AL$97,1,27)</f>
        <v/>
      </c>
      <c r="AE252" s="24">
        <f>$D$115*INDEX($C$97:$AL$97,1,28)</f>
        <v/>
      </c>
      <c r="AF252" s="24">
        <f>$D$115*INDEX($C$97:$AL$97,1,29)</f>
        <v/>
      </c>
    </row>
    <row r="253">
      <c r="A253" s="4" t="inlineStr">
        <is>
          <t>Coorte del mese 3</t>
        </is>
      </c>
      <c r="C253" s="24" t="n">
        <v>0</v>
      </c>
      <c r="D253" s="24" t="n">
        <v>0</v>
      </c>
      <c r="E253" s="24">
        <f>$E$115*INDEX($C$97:$AL$97,1,1)</f>
        <v/>
      </c>
      <c r="F253" s="24">
        <f>$E$115*INDEX($C$97:$AL$97,1,2)</f>
        <v/>
      </c>
      <c r="G253" s="24">
        <f>$E$115*INDEX($C$97:$AL$97,1,3)</f>
        <v/>
      </c>
      <c r="H253" s="24">
        <f>$E$115*INDEX($C$97:$AL$97,1,4)</f>
        <v/>
      </c>
      <c r="I253" s="24">
        <f>$E$115*INDEX($C$97:$AL$97,1,5)</f>
        <v/>
      </c>
      <c r="J253" s="24">
        <f>$E$115*INDEX($C$97:$AL$97,1,6)</f>
        <v/>
      </c>
      <c r="K253" s="24">
        <f>$E$115*INDEX($C$97:$AL$97,1,7)</f>
        <v/>
      </c>
      <c r="L253" s="24">
        <f>$E$115*INDEX($C$97:$AL$97,1,8)</f>
        <v/>
      </c>
      <c r="M253" s="24">
        <f>$E$115*INDEX($C$97:$AL$97,1,9)</f>
        <v/>
      </c>
      <c r="N253" s="24">
        <f>$E$115*INDEX($C$97:$AL$97,1,10)</f>
        <v/>
      </c>
      <c r="O253" s="24">
        <f>$E$115*INDEX($C$97:$AL$97,1,11)</f>
        <v/>
      </c>
      <c r="P253" s="24">
        <f>$E$115*INDEX($C$97:$AL$97,1,12)</f>
        <v/>
      </c>
      <c r="Q253" s="24">
        <f>$E$115*INDEX($C$97:$AL$97,1,13)</f>
        <v/>
      </c>
      <c r="R253" s="24">
        <f>$E$115*INDEX($C$97:$AL$97,1,14)</f>
        <v/>
      </c>
      <c r="S253" s="24">
        <f>$E$115*INDEX($C$97:$AL$97,1,15)</f>
        <v/>
      </c>
      <c r="T253" s="24">
        <f>$E$115*INDEX($C$97:$AL$97,1,16)</f>
        <v/>
      </c>
      <c r="U253" s="24">
        <f>$E$115*INDEX($C$97:$AL$97,1,17)</f>
        <v/>
      </c>
      <c r="V253" s="24">
        <f>$E$115*INDEX($C$97:$AL$97,1,18)</f>
        <v/>
      </c>
      <c r="W253" s="24">
        <f>$E$115*INDEX($C$97:$AL$97,1,19)</f>
        <v/>
      </c>
      <c r="X253" s="24">
        <f>$E$115*INDEX($C$97:$AL$97,1,20)</f>
        <v/>
      </c>
      <c r="Y253" s="24">
        <f>$E$115*INDEX($C$97:$AL$97,1,21)</f>
        <v/>
      </c>
      <c r="Z253" s="24">
        <f>$E$115*INDEX($C$97:$AL$97,1,22)</f>
        <v/>
      </c>
      <c r="AA253" s="24">
        <f>$E$115*INDEX($C$97:$AL$97,1,23)</f>
        <v/>
      </c>
      <c r="AB253" s="24">
        <f>$E$115*INDEX($C$97:$AL$97,1,24)</f>
        <v/>
      </c>
      <c r="AC253" s="24">
        <f>$E$115*INDEX($C$97:$AL$97,1,25)</f>
        <v/>
      </c>
      <c r="AD253" s="24">
        <f>$E$115*INDEX($C$97:$AL$97,1,26)</f>
        <v/>
      </c>
      <c r="AE253" s="24">
        <f>$E$115*INDEX($C$97:$AL$97,1,27)</f>
        <v/>
      </c>
      <c r="AF253" s="24">
        <f>$E$115*INDEX($C$97:$AL$97,1,28)</f>
        <v/>
      </c>
    </row>
    <row r="254">
      <c r="A254" s="4" t="inlineStr">
        <is>
          <t>Coorte del mese 4</t>
        </is>
      </c>
      <c r="C254" s="24" t="n">
        <v>0</v>
      </c>
      <c r="D254" s="24" t="n">
        <v>0</v>
      </c>
      <c r="E254" s="24" t="n">
        <v>0</v>
      </c>
      <c r="F254" s="24">
        <f>$F$115*INDEX($C$97:$AL$97,1,1)</f>
        <v/>
      </c>
      <c r="G254" s="24">
        <f>$F$115*INDEX($C$97:$AL$97,1,2)</f>
        <v/>
      </c>
      <c r="H254" s="24">
        <f>$F$115*INDEX($C$97:$AL$97,1,3)</f>
        <v/>
      </c>
      <c r="I254" s="24">
        <f>$F$115*INDEX($C$97:$AL$97,1,4)</f>
        <v/>
      </c>
      <c r="J254" s="24">
        <f>$F$115*INDEX($C$97:$AL$97,1,5)</f>
        <v/>
      </c>
      <c r="K254" s="24">
        <f>$F$115*INDEX($C$97:$AL$97,1,6)</f>
        <v/>
      </c>
      <c r="L254" s="24">
        <f>$F$115*INDEX($C$97:$AL$97,1,7)</f>
        <v/>
      </c>
      <c r="M254" s="24">
        <f>$F$115*INDEX($C$97:$AL$97,1,8)</f>
        <v/>
      </c>
      <c r="N254" s="24">
        <f>$F$115*INDEX($C$97:$AL$97,1,9)</f>
        <v/>
      </c>
      <c r="O254" s="24">
        <f>$F$115*INDEX($C$97:$AL$97,1,10)</f>
        <v/>
      </c>
      <c r="P254" s="24">
        <f>$F$115*INDEX($C$97:$AL$97,1,11)</f>
        <v/>
      </c>
      <c r="Q254" s="24">
        <f>$F$115*INDEX($C$97:$AL$97,1,12)</f>
        <v/>
      </c>
      <c r="R254" s="24">
        <f>$F$115*INDEX($C$97:$AL$97,1,13)</f>
        <v/>
      </c>
      <c r="S254" s="24">
        <f>$F$115*INDEX($C$97:$AL$97,1,14)</f>
        <v/>
      </c>
      <c r="T254" s="24">
        <f>$F$115*INDEX($C$97:$AL$97,1,15)</f>
        <v/>
      </c>
      <c r="U254" s="24">
        <f>$F$115*INDEX($C$97:$AL$97,1,16)</f>
        <v/>
      </c>
      <c r="V254" s="24">
        <f>$F$115*INDEX($C$97:$AL$97,1,17)</f>
        <v/>
      </c>
      <c r="W254" s="24">
        <f>$F$115*INDEX($C$97:$AL$97,1,18)</f>
        <v/>
      </c>
      <c r="X254" s="24">
        <f>$F$115*INDEX($C$97:$AL$97,1,19)</f>
        <v/>
      </c>
      <c r="Y254" s="24">
        <f>$F$115*INDEX($C$97:$AL$97,1,20)</f>
        <v/>
      </c>
      <c r="Z254" s="24">
        <f>$F$115*INDEX($C$97:$AL$97,1,21)</f>
        <v/>
      </c>
      <c r="AA254" s="24">
        <f>$F$115*INDEX($C$97:$AL$97,1,22)</f>
        <v/>
      </c>
      <c r="AB254" s="24">
        <f>$F$115*INDEX($C$97:$AL$97,1,23)</f>
        <v/>
      </c>
      <c r="AC254" s="24">
        <f>$F$115*INDEX($C$97:$AL$97,1,24)</f>
        <v/>
      </c>
      <c r="AD254" s="24">
        <f>$F$115*INDEX($C$97:$AL$97,1,25)</f>
        <v/>
      </c>
      <c r="AE254" s="24">
        <f>$F$115*INDEX($C$97:$AL$97,1,26)</f>
        <v/>
      </c>
      <c r="AF254" s="24">
        <f>$F$115*INDEX($C$97:$AL$97,1,27)</f>
        <v/>
      </c>
    </row>
    <row r="255">
      <c r="A255" s="4" t="inlineStr">
        <is>
          <t>Coorte del mese 5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>
        <f>$G$115*INDEX($C$97:$AL$97,1,1)</f>
        <v/>
      </c>
      <c r="H255" s="24">
        <f>$G$115*INDEX($C$97:$AL$97,1,2)</f>
        <v/>
      </c>
      <c r="I255" s="24">
        <f>$G$115*INDEX($C$97:$AL$97,1,3)</f>
        <v/>
      </c>
      <c r="J255" s="24">
        <f>$G$115*INDEX($C$97:$AL$97,1,4)</f>
        <v/>
      </c>
      <c r="K255" s="24">
        <f>$G$115*INDEX($C$97:$AL$97,1,5)</f>
        <v/>
      </c>
      <c r="L255" s="24">
        <f>$G$115*INDEX($C$97:$AL$97,1,6)</f>
        <v/>
      </c>
      <c r="M255" s="24">
        <f>$G$115*INDEX($C$97:$AL$97,1,7)</f>
        <v/>
      </c>
      <c r="N255" s="24">
        <f>$G$115*INDEX($C$97:$AL$97,1,8)</f>
        <v/>
      </c>
      <c r="O255" s="24">
        <f>$G$115*INDEX($C$97:$AL$97,1,9)</f>
        <v/>
      </c>
      <c r="P255" s="24">
        <f>$G$115*INDEX($C$97:$AL$97,1,10)</f>
        <v/>
      </c>
      <c r="Q255" s="24">
        <f>$G$115*INDEX($C$97:$AL$97,1,11)</f>
        <v/>
      </c>
      <c r="R255" s="24">
        <f>$G$115*INDEX($C$97:$AL$97,1,12)</f>
        <v/>
      </c>
      <c r="S255" s="24">
        <f>$G$115*INDEX($C$97:$AL$97,1,13)</f>
        <v/>
      </c>
      <c r="T255" s="24">
        <f>$G$115*INDEX($C$97:$AL$97,1,14)</f>
        <v/>
      </c>
      <c r="U255" s="24">
        <f>$G$115*INDEX($C$97:$AL$97,1,15)</f>
        <v/>
      </c>
      <c r="V255" s="24">
        <f>$G$115*INDEX($C$97:$AL$97,1,16)</f>
        <v/>
      </c>
      <c r="W255" s="24">
        <f>$G$115*INDEX($C$97:$AL$97,1,17)</f>
        <v/>
      </c>
      <c r="X255" s="24">
        <f>$G$115*INDEX($C$97:$AL$97,1,18)</f>
        <v/>
      </c>
      <c r="Y255" s="24">
        <f>$G$115*INDEX($C$97:$AL$97,1,19)</f>
        <v/>
      </c>
      <c r="Z255" s="24">
        <f>$G$115*INDEX($C$97:$AL$97,1,20)</f>
        <v/>
      </c>
      <c r="AA255" s="24">
        <f>$G$115*INDEX($C$97:$AL$97,1,21)</f>
        <v/>
      </c>
      <c r="AB255" s="24">
        <f>$G$115*INDEX($C$97:$AL$97,1,22)</f>
        <v/>
      </c>
      <c r="AC255" s="24">
        <f>$G$115*INDEX($C$97:$AL$97,1,23)</f>
        <v/>
      </c>
      <c r="AD255" s="24">
        <f>$G$115*INDEX($C$97:$AL$97,1,24)</f>
        <v/>
      </c>
      <c r="AE255" s="24">
        <f>$G$115*INDEX($C$97:$AL$97,1,25)</f>
        <v/>
      </c>
      <c r="AF255" s="24">
        <f>$G$115*INDEX($C$97:$AL$97,1,26)</f>
        <v/>
      </c>
    </row>
    <row r="256">
      <c r="A256" s="4" t="inlineStr">
        <is>
          <t>Coorte del mese 6</t>
        </is>
      </c>
      <c r="C256" s="24" t="n">
        <v>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$H$115*INDEX($C$97:$AL$97,1,1)</f>
        <v/>
      </c>
      <c r="I256" s="24">
        <f>$H$115*INDEX($C$97:$AL$97,1,2)</f>
        <v/>
      </c>
      <c r="J256" s="24">
        <f>$H$115*INDEX($C$97:$AL$97,1,3)</f>
        <v/>
      </c>
      <c r="K256" s="24">
        <f>$H$115*INDEX($C$97:$AL$97,1,4)</f>
        <v/>
      </c>
      <c r="L256" s="24">
        <f>$H$115*INDEX($C$97:$AL$97,1,5)</f>
        <v/>
      </c>
      <c r="M256" s="24">
        <f>$H$115*INDEX($C$97:$AL$97,1,6)</f>
        <v/>
      </c>
      <c r="N256" s="24">
        <f>$H$115*INDEX($C$97:$AL$97,1,7)</f>
        <v/>
      </c>
      <c r="O256" s="24">
        <f>$H$115*INDEX($C$97:$AL$97,1,8)</f>
        <v/>
      </c>
      <c r="P256" s="24">
        <f>$H$115*INDEX($C$97:$AL$97,1,9)</f>
        <v/>
      </c>
      <c r="Q256" s="24">
        <f>$H$115*INDEX($C$97:$AL$97,1,10)</f>
        <v/>
      </c>
      <c r="R256" s="24">
        <f>$H$115*INDEX($C$97:$AL$97,1,11)</f>
        <v/>
      </c>
      <c r="S256" s="24">
        <f>$H$115*INDEX($C$97:$AL$97,1,12)</f>
        <v/>
      </c>
      <c r="T256" s="24">
        <f>$H$115*INDEX($C$97:$AL$97,1,13)</f>
        <v/>
      </c>
      <c r="U256" s="24">
        <f>$H$115*INDEX($C$97:$AL$97,1,14)</f>
        <v/>
      </c>
      <c r="V256" s="24">
        <f>$H$115*INDEX($C$97:$AL$97,1,15)</f>
        <v/>
      </c>
      <c r="W256" s="24">
        <f>$H$115*INDEX($C$97:$AL$97,1,16)</f>
        <v/>
      </c>
      <c r="X256" s="24">
        <f>$H$115*INDEX($C$97:$AL$97,1,17)</f>
        <v/>
      </c>
      <c r="Y256" s="24">
        <f>$H$115*INDEX($C$97:$AL$97,1,18)</f>
        <v/>
      </c>
      <c r="Z256" s="24">
        <f>$H$115*INDEX($C$97:$AL$97,1,19)</f>
        <v/>
      </c>
      <c r="AA256" s="24">
        <f>$H$115*INDEX($C$97:$AL$97,1,20)</f>
        <v/>
      </c>
      <c r="AB256" s="24">
        <f>$H$115*INDEX($C$97:$AL$97,1,21)</f>
        <v/>
      </c>
      <c r="AC256" s="24">
        <f>$H$115*INDEX($C$97:$AL$97,1,22)</f>
        <v/>
      </c>
      <c r="AD256" s="24">
        <f>$H$115*INDEX($C$97:$AL$97,1,23)</f>
        <v/>
      </c>
      <c r="AE256" s="24">
        <f>$H$115*INDEX($C$97:$AL$97,1,24)</f>
        <v/>
      </c>
      <c r="AF256" s="24">
        <f>$H$115*INDEX($C$97:$AL$97,1,25)</f>
        <v/>
      </c>
    </row>
    <row r="257">
      <c r="A257" s="4" t="inlineStr">
        <is>
          <t>Coorte del mese 7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>
        <f>$I$115*INDEX($C$97:$AL$97,1,1)</f>
        <v/>
      </c>
      <c r="J257" s="24">
        <f>$I$115*INDEX($C$97:$AL$97,1,2)</f>
        <v/>
      </c>
      <c r="K257" s="24">
        <f>$I$115*INDEX($C$97:$AL$97,1,3)</f>
        <v/>
      </c>
      <c r="L257" s="24">
        <f>$I$115*INDEX($C$97:$AL$97,1,4)</f>
        <v/>
      </c>
      <c r="M257" s="24">
        <f>$I$115*INDEX($C$97:$AL$97,1,5)</f>
        <v/>
      </c>
      <c r="N257" s="24">
        <f>$I$115*INDEX($C$97:$AL$97,1,6)</f>
        <v/>
      </c>
      <c r="O257" s="24">
        <f>$I$115*INDEX($C$97:$AL$97,1,7)</f>
        <v/>
      </c>
      <c r="P257" s="24">
        <f>$I$115*INDEX($C$97:$AL$97,1,8)</f>
        <v/>
      </c>
      <c r="Q257" s="24">
        <f>$I$115*INDEX($C$97:$AL$97,1,9)</f>
        <v/>
      </c>
      <c r="R257" s="24">
        <f>$I$115*INDEX($C$97:$AL$97,1,10)</f>
        <v/>
      </c>
      <c r="S257" s="24">
        <f>$I$115*INDEX($C$97:$AL$97,1,11)</f>
        <v/>
      </c>
      <c r="T257" s="24">
        <f>$I$115*INDEX($C$97:$AL$97,1,12)</f>
        <v/>
      </c>
      <c r="U257" s="24">
        <f>$I$115*INDEX($C$97:$AL$97,1,13)</f>
        <v/>
      </c>
      <c r="V257" s="24">
        <f>$I$115*INDEX($C$97:$AL$97,1,14)</f>
        <v/>
      </c>
      <c r="W257" s="24">
        <f>$I$115*INDEX($C$97:$AL$97,1,15)</f>
        <v/>
      </c>
      <c r="X257" s="24">
        <f>$I$115*INDEX($C$97:$AL$97,1,16)</f>
        <v/>
      </c>
      <c r="Y257" s="24">
        <f>$I$115*INDEX($C$97:$AL$97,1,17)</f>
        <v/>
      </c>
      <c r="Z257" s="24">
        <f>$I$115*INDEX($C$97:$AL$97,1,18)</f>
        <v/>
      </c>
      <c r="AA257" s="24">
        <f>$I$115*INDEX($C$97:$AL$97,1,19)</f>
        <v/>
      </c>
      <c r="AB257" s="24">
        <f>$I$115*INDEX($C$97:$AL$97,1,20)</f>
        <v/>
      </c>
      <c r="AC257" s="24">
        <f>$I$115*INDEX($C$97:$AL$97,1,21)</f>
        <v/>
      </c>
      <c r="AD257" s="24">
        <f>$I$115*INDEX($C$97:$AL$97,1,22)</f>
        <v/>
      </c>
      <c r="AE257" s="24">
        <f>$I$115*INDEX($C$97:$AL$97,1,23)</f>
        <v/>
      </c>
      <c r="AF257" s="24">
        <f>$I$115*INDEX($C$97:$AL$97,1,24)</f>
        <v/>
      </c>
    </row>
    <row r="258">
      <c r="A258" s="4" t="inlineStr">
        <is>
          <t>Coorte del mese 8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>
        <f>$J$115*INDEX($C$97:$AL$97,1,1)</f>
        <v/>
      </c>
      <c r="K258" s="24">
        <f>$J$115*INDEX($C$97:$AL$97,1,2)</f>
        <v/>
      </c>
      <c r="L258" s="24">
        <f>$J$115*INDEX($C$97:$AL$97,1,3)</f>
        <v/>
      </c>
      <c r="M258" s="24">
        <f>$J$115*INDEX($C$97:$AL$97,1,4)</f>
        <v/>
      </c>
      <c r="N258" s="24">
        <f>$J$115*INDEX($C$97:$AL$97,1,5)</f>
        <v/>
      </c>
      <c r="O258" s="24">
        <f>$J$115*INDEX($C$97:$AL$97,1,6)</f>
        <v/>
      </c>
      <c r="P258" s="24">
        <f>$J$115*INDEX($C$97:$AL$97,1,7)</f>
        <v/>
      </c>
      <c r="Q258" s="24">
        <f>$J$115*INDEX($C$97:$AL$97,1,8)</f>
        <v/>
      </c>
      <c r="R258" s="24">
        <f>$J$115*INDEX($C$97:$AL$97,1,9)</f>
        <v/>
      </c>
      <c r="S258" s="24">
        <f>$J$115*INDEX($C$97:$AL$97,1,10)</f>
        <v/>
      </c>
      <c r="T258" s="24">
        <f>$J$115*INDEX($C$97:$AL$97,1,11)</f>
        <v/>
      </c>
      <c r="U258" s="24">
        <f>$J$115*INDEX($C$97:$AL$97,1,12)</f>
        <v/>
      </c>
      <c r="V258" s="24">
        <f>$J$115*INDEX($C$97:$AL$97,1,13)</f>
        <v/>
      </c>
      <c r="W258" s="24">
        <f>$J$115*INDEX($C$97:$AL$97,1,14)</f>
        <v/>
      </c>
      <c r="X258" s="24">
        <f>$J$115*INDEX($C$97:$AL$97,1,15)</f>
        <v/>
      </c>
      <c r="Y258" s="24">
        <f>$J$115*INDEX($C$97:$AL$97,1,16)</f>
        <v/>
      </c>
      <c r="Z258" s="24">
        <f>$J$115*INDEX($C$97:$AL$97,1,17)</f>
        <v/>
      </c>
      <c r="AA258" s="24">
        <f>$J$115*INDEX($C$97:$AL$97,1,18)</f>
        <v/>
      </c>
      <c r="AB258" s="24">
        <f>$J$115*INDEX($C$97:$AL$97,1,19)</f>
        <v/>
      </c>
      <c r="AC258" s="24">
        <f>$J$115*INDEX($C$97:$AL$97,1,20)</f>
        <v/>
      </c>
      <c r="AD258" s="24">
        <f>$J$115*INDEX($C$97:$AL$97,1,21)</f>
        <v/>
      </c>
      <c r="AE258" s="24">
        <f>$J$115*INDEX($C$97:$AL$97,1,22)</f>
        <v/>
      </c>
      <c r="AF258" s="24">
        <f>$J$115*INDEX($C$97:$AL$97,1,23)</f>
        <v/>
      </c>
    </row>
    <row r="259">
      <c r="A259" s="4" t="inlineStr">
        <is>
          <t>Coorte del mese 9</t>
        </is>
      </c>
      <c r="C259" s="24" t="n">
        <v>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>
        <f>$K$115*INDEX($C$97:$AL$97,1,1)</f>
        <v/>
      </c>
      <c r="L259" s="24">
        <f>$K$115*INDEX($C$97:$AL$97,1,2)</f>
        <v/>
      </c>
      <c r="M259" s="24">
        <f>$K$115*INDEX($C$97:$AL$97,1,3)</f>
        <v/>
      </c>
      <c r="N259" s="24">
        <f>$K$115*INDEX($C$97:$AL$97,1,4)</f>
        <v/>
      </c>
      <c r="O259" s="24">
        <f>$K$115*INDEX($C$97:$AL$97,1,5)</f>
        <v/>
      </c>
      <c r="P259" s="24">
        <f>$K$115*INDEX($C$97:$AL$97,1,6)</f>
        <v/>
      </c>
      <c r="Q259" s="24">
        <f>$K$115*INDEX($C$97:$AL$97,1,7)</f>
        <v/>
      </c>
      <c r="R259" s="24">
        <f>$K$115*INDEX($C$97:$AL$97,1,8)</f>
        <v/>
      </c>
      <c r="S259" s="24">
        <f>$K$115*INDEX($C$97:$AL$97,1,9)</f>
        <v/>
      </c>
      <c r="T259" s="24">
        <f>$K$115*INDEX($C$97:$AL$97,1,10)</f>
        <v/>
      </c>
      <c r="U259" s="24">
        <f>$K$115*INDEX($C$97:$AL$97,1,11)</f>
        <v/>
      </c>
      <c r="V259" s="24">
        <f>$K$115*INDEX($C$97:$AL$97,1,12)</f>
        <v/>
      </c>
      <c r="W259" s="24">
        <f>$K$115*INDEX($C$97:$AL$97,1,13)</f>
        <v/>
      </c>
      <c r="X259" s="24">
        <f>$K$115*INDEX($C$97:$AL$97,1,14)</f>
        <v/>
      </c>
      <c r="Y259" s="24">
        <f>$K$115*INDEX($C$97:$AL$97,1,15)</f>
        <v/>
      </c>
      <c r="Z259" s="24">
        <f>$K$115*INDEX($C$97:$AL$97,1,16)</f>
        <v/>
      </c>
      <c r="AA259" s="24">
        <f>$K$115*INDEX($C$97:$AL$97,1,17)</f>
        <v/>
      </c>
      <c r="AB259" s="24">
        <f>$K$115*INDEX($C$97:$AL$97,1,18)</f>
        <v/>
      </c>
      <c r="AC259" s="24">
        <f>$K$115*INDEX($C$97:$AL$97,1,19)</f>
        <v/>
      </c>
      <c r="AD259" s="24">
        <f>$K$115*INDEX($C$97:$AL$97,1,20)</f>
        <v/>
      </c>
      <c r="AE259" s="24">
        <f>$K$115*INDEX($C$97:$AL$97,1,21)</f>
        <v/>
      </c>
      <c r="AF259" s="24">
        <f>$K$115*INDEX($C$97:$AL$97,1,22)</f>
        <v/>
      </c>
    </row>
    <row r="260">
      <c r="A260" s="4" t="inlineStr">
        <is>
          <t>Coorte del mese 10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>
        <f>$L$115*INDEX($C$97:$AL$97,1,1)</f>
        <v/>
      </c>
      <c r="M260" s="24">
        <f>$L$115*INDEX($C$97:$AL$97,1,2)</f>
        <v/>
      </c>
      <c r="N260" s="24">
        <f>$L$115*INDEX($C$97:$AL$97,1,3)</f>
        <v/>
      </c>
      <c r="O260" s="24">
        <f>$L$115*INDEX($C$97:$AL$97,1,4)</f>
        <v/>
      </c>
      <c r="P260" s="24">
        <f>$L$115*INDEX($C$97:$AL$97,1,5)</f>
        <v/>
      </c>
      <c r="Q260" s="24">
        <f>$L$115*INDEX($C$97:$AL$97,1,6)</f>
        <v/>
      </c>
      <c r="R260" s="24">
        <f>$L$115*INDEX($C$97:$AL$97,1,7)</f>
        <v/>
      </c>
      <c r="S260" s="24">
        <f>$L$115*INDEX($C$97:$AL$97,1,8)</f>
        <v/>
      </c>
      <c r="T260" s="24">
        <f>$L$115*INDEX($C$97:$AL$97,1,9)</f>
        <v/>
      </c>
      <c r="U260" s="24">
        <f>$L$115*INDEX($C$97:$AL$97,1,10)</f>
        <v/>
      </c>
      <c r="V260" s="24">
        <f>$L$115*INDEX($C$97:$AL$97,1,11)</f>
        <v/>
      </c>
      <c r="W260" s="24">
        <f>$L$115*INDEX($C$97:$AL$97,1,12)</f>
        <v/>
      </c>
      <c r="X260" s="24">
        <f>$L$115*INDEX($C$97:$AL$97,1,13)</f>
        <v/>
      </c>
      <c r="Y260" s="24">
        <f>$L$115*INDEX($C$97:$AL$97,1,14)</f>
        <v/>
      </c>
      <c r="Z260" s="24">
        <f>$L$115*INDEX($C$97:$AL$97,1,15)</f>
        <v/>
      </c>
      <c r="AA260" s="24">
        <f>$L$115*INDEX($C$97:$AL$97,1,16)</f>
        <v/>
      </c>
      <c r="AB260" s="24">
        <f>$L$115*INDEX($C$97:$AL$97,1,17)</f>
        <v/>
      </c>
      <c r="AC260" s="24">
        <f>$L$115*INDEX($C$97:$AL$97,1,18)</f>
        <v/>
      </c>
      <c r="AD260" s="24">
        <f>$L$115*INDEX($C$97:$AL$97,1,19)</f>
        <v/>
      </c>
      <c r="AE260" s="24">
        <f>$L$115*INDEX($C$97:$AL$97,1,20)</f>
        <v/>
      </c>
      <c r="AF260" s="24">
        <f>$L$115*INDEX($C$97:$AL$97,1,21)</f>
        <v/>
      </c>
    </row>
    <row r="261">
      <c r="A261" s="4" t="inlineStr">
        <is>
          <t>Coorte del mese 11</t>
        </is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4">
        <f>$M$115*INDEX($C$97:$AL$97,1,1)</f>
        <v/>
      </c>
      <c r="N261" s="24">
        <f>$M$115*INDEX($C$97:$AL$97,1,2)</f>
        <v/>
      </c>
      <c r="O261" s="24">
        <f>$M$115*INDEX($C$97:$AL$97,1,3)</f>
        <v/>
      </c>
      <c r="P261" s="24">
        <f>$M$115*INDEX($C$97:$AL$97,1,4)</f>
        <v/>
      </c>
      <c r="Q261" s="24">
        <f>$M$115*INDEX($C$97:$AL$97,1,5)</f>
        <v/>
      </c>
      <c r="R261" s="24">
        <f>$M$115*INDEX($C$97:$AL$97,1,6)</f>
        <v/>
      </c>
      <c r="S261" s="24">
        <f>$M$115*INDEX($C$97:$AL$97,1,7)</f>
        <v/>
      </c>
      <c r="T261" s="24">
        <f>$M$115*INDEX($C$97:$AL$97,1,8)</f>
        <v/>
      </c>
      <c r="U261" s="24">
        <f>$M$115*INDEX($C$97:$AL$97,1,9)</f>
        <v/>
      </c>
      <c r="V261" s="24">
        <f>$M$115*INDEX($C$97:$AL$97,1,10)</f>
        <v/>
      </c>
      <c r="W261" s="24">
        <f>$M$115*INDEX($C$97:$AL$97,1,11)</f>
        <v/>
      </c>
      <c r="X261" s="24">
        <f>$M$115*INDEX($C$97:$AL$97,1,12)</f>
        <v/>
      </c>
      <c r="Y261" s="24">
        <f>$M$115*INDEX($C$97:$AL$97,1,13)</f>
        <v/>
      </c>
      <c r="Z261" s="24">
        <f>$M$115*INDEX($C$97:$AL$97,1,14)</f>
        <v/>
      </c>
      <c r="AA261" s="24">
        <f>$M$115*INDEX($C$97:$AL$97,1,15)</f>
        <v/>
      </c>
      <c r="AB261" s="24">
        <f>$M$115*INDEX($C$97:$AL$97,1,16)</f>
        <v/>
      </c>
      <c r="AC261" s="24">
        <f>$M$115*INDEX($C$97:$AL$97,1,17)</f>
        <v/>
      </c>
      <c r="AD261" s="24">
        <f>$M$115*INDEX($C$97:$AL$97,1,18)</f>
        <v/>
      </c>
      <c r="AE261" s="24">
        <f>$M$115*INDEX($C$97:$AL$97,1,19)</f>
        <v/>
      </c>
      <c r="AF261" s="24">
        <f>$M$115*INDEX($C$97:$AL$97,1,20)</f>
        <v/>
      </c>
    </row>
    <row r="262">
      <c r="A262" s="4" t="inlineStr">
        <is>
          <t>Coorte del mese 12</t>
        </is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>
        <f>$N$115*INDEX($C$97:$AL$97,1,1)</f>
        <v/>
      </c>
      <c r="O262" s="24">
        <f>$N$115*INDEX($C$97:$AL$97,1,2)</f>
        <v/>
      </c>
      <c r="P262" s="24">
        <f>$N$115*INDEX($C$97:$AL$97,1,3)</f>
        <v/>
      </c>
      <c r="Q262" s="24">
        <f>$N$115*INDEX($C$97:$AL$97,1,4)</f>
        <v/>
      </c>
      <c r="R262" s="24">
        <f>$N$115*INDEX($C$97:$AL$97,1,5)</f>
        <v/>
      </c>
      <c r="S262" s="24">
        <f>$N$115*INDEX($C$97:$AL$97,1,6)</f>
        <v/>
      </c>
      <c r="T262" s="24">
        <f>$N$115*INDEX($C$97:$AL$97,1,7)</f>
        <v/>
      </c>
      <c r="U262" s="24">
        <f>$N$115*INDEX($C$97:$AL$97,1,8)</f>
        <v/>
      </c>
      <c r="V262" s="24">
        <f>$N$115*INDEX($C$97:$AL$97,1,9)</f>
        <v/>
      </c>
      <c r="W262" s="24">
        <f>$N$115*INDEX($C$97:$AL$97,1,10)</f>
        <v/>
      </c>
      <c r="X262" s="24">
        <f>$N$115*INDEX($C$97:$AL$97,1,11)</f>
        <v/>
      </c>
      <c r="Y262" s="24">
        <f>$N$115*INDEX($C$97:$AL$97,1,12)</f>
        <v/>
      </c>
      <c r="Z262" s="24">
        <f>$N$115*INDEX($C$97:$AL$97,1,13)</f>
        <v/>
      </c>
      <c r="AA262" s="24">
        <f>$N$115*INDEX($C$97:$AL$97,1,14)</f>
        <v/>
      </c>
      <c r="AB262" s="24">
        <f>$N$115*INDEX($C$97:$AL$97,1,15)</f>
        <v/>
      </c>
      <c r="AC262" s="24">
        <f>$N$115*INDEX($C$97:$AL$97,1,16)</f>
        <v/>
      </c>
      <c r="AD262" s="24">
        <f>$N$115*INDEX($C$97:$AL$97,1,17)</f>
        <v/>
      </c>
      <c r="AE262" s="24">
        <f>$N$115*INDEX($C$97:$AL$97,1,18)</f>
        <v/>
      </c>
      <c r="AF262" s="24">
        <f>$N$115*INDEX($C$97:$AL$97,1,19)</f>
        <v/>
      </c>
    </row>
    <row r="263">
      <c r="A263" s="4" t="inlineStr">
        <is>
          <t>Coorte del mese 13</t>
        </is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>
        <f>$O$115*INDEX($C$97:$AL$97,1,1)</f>
        <v/>
      </c>
      <c r="P263" s="24">
        <f>$O$115*INDEX($C$97:$AL$97,1,2)</f>
        <v/>
      </c>
      <c r="Q263" s="24">
        <f>$O$115*INDEX($C$97:$AL$97,1,3)</f>
        <v/>
      </c>
      <c r="R263" s="24">
        <f>$O$115*INDEX($C$97:$AL$97,1,4)</f>
        <v/>
      </c>
      <c r="S263" s="24">
        <f>$O$115*INDEX($C$97:$AL$97,1,5)</f>
        <v/>
      </c>
      <c r="T263" s="24">
        <f>$O$115*INDEX($C$97:$AL$97,1,6)</f>
        <v/>
      </c>
      <c r="U263" s="24">
        <f>$O$115*INDEX($C$97:$AL$97,1,7)</f>
        <v/>
      </c>
      <c r="V263" s="24">
        <f>$O$115*INDEX($C$97:$AL$97,1,8)</f>
        <v/>
      </c>
      <c r="W263" s="24">
        <f>$O$115*INDEX($C$97:$AL$97,1,9)</f>
        <v/>
      </c>
      <c r="X263" s="24">
        <f>$O$115*INDEX($C$97:$AL$97,1,10)</f>
        <v/>
      </c>
      <c r="Y263" s="24">
        <f>$O$115*INDEX($C$97:$AL$97,1,11)</f>
        <v/>
      </c>
      <c r="Z263" s="24">
        <f>$O$115*INDEX($C$97:$AL$97,1,12)</f>
        <v/>
      </c>
      <c r="AA263" s="24">
        <f>$O$115*INDEX($C$97:$AL$97,1,13)</f>
        <v/>
      </c>
      <c r="AB263" s="24">
        <f>$O$115*INDEX($C$97:$AL$97,1,14)</f>
        <v/>
      </c>
      <c r="AC263" s="24">
        <f>$O$115*INDEX($C$97:$AL$97,1,15)</f>
        <v/>
      </c>
      <c r="AD263" s="24">
        <f>$O$115*INDEX($C$97:$AL$97,1,16)</f>
        <v/>
      </c>
      <c r="AE263" s="24">
        <f>$O$115*INDEX($C$97:$AL$97,1,17)</f>
        <v/>
      </c>
      <c r="AF263" s="24">
        <f>$O$115*INDEX($C$97:$AL$97,1,18)</f>
        <v/>
      </c>
    </row>
    <row r="264">
      <c r="A264" s="4" t="inlineStr">
        <is>
          <t>Coorte del mese 14</t>
        </is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>
        <f>$P$115*INDEX($C$97:$AL$97,1,1)</f>
        <v/>
      </c>
      <c r="Q264" s="24">
        <f>$P$115*INDEX($C$97:$AL$97,1,2)</f>
        <v/>
      </c>
      <c r="R264" s="24">
        <f>$P$115*INDEX($C$97:$AL$97,1,3)</f>
        <v/>
      </c>
      <c r="S264" s="24">
        <f>$P$115*INDEX($C$97:$AL$97,1,4)</f>
        <v/>
      </c>
      <c r="T264" s="24">
        <f>$P$115*INDEX($C$97:$AL$97,1,5)</f>
        <v/>
      </c>
      <c r="U264" s="24">
        <f>$P$115*INDEX($C$97:$AL$97,1,6)</f>
        <v/>
      </c>
      <c r="V264" s="24">
        <f>$P$115*INDEX($C$97:$AL$97,1,7)</f>
        <v/>
      </c>
      <c r="W264" s="24">
        <f>$P$115*INDEX($C$97:$AL$97,1,8)</f>
        <v/>
      </c>
      <c r="X264" s="24">
        <f>$P$115*INDEX($C$97:$AL$97,1,9)</f>
        <v/>
      </c>
      <c r="Y264" s="24">
        <f>$P$115*INDEX($C$97:$AL$97,1,10)</f>
        <v/>
      </c>
      <c r="Z264" s="24">
        <f>$P$115*INDEX($C$97:$AL$97,1,11)</f>
        <v/>
      </c>
      <c r="AA264" s="24">
        <f>$P$115*INDEX($C$97:$AL$97,1,12)</f>
        <v/>
      </c>
      <c r="AB264" s="24">
        <f>$P$115*INDEX($C$97:$AL$97,1,13)</f>
        <v/>
      </c>
      <c r="AC264" s="24">
        <f>$P$115*INDEX($C$97:$AL$97,1,14)</f>
        <v/>
      </c>
      <c r="AD264" s="24">
        <f>$P$115*INDEX($C$97:$AL$97,1,15)</f>
        <v/>
      </c>
      <c r="AE264" s="24">
        <f>$P$115*INDEX($C$97:$AL$97,1,16)</f>
        <v/>
      </c>
      <c r="AF264" s="24">
        <f>$P$115*INDEX($C$97:$AL$97,1,17)</f>
        <v/>
      </c>
    </row>
    <row r="265">
      <c r="A265" s="4" t="inlineStr">
        <is>
          <t>Coorte del mese 15</t>
        </is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>
        <f>$Q$115*INDEX($C$97:$AL$97,1,1)</f>
        <v/>
      </c>
      <c r="R265" s="24">
        <f>$Q$115*INDEX($C$97:$AL$97,1,2)</f>
        <v/>
      </c>
      <c r="S265" s="24">
        <f>$Q$115*INDEX($C$97:$AL$97,1,3)</f>
        <v/>
      </c>
      <c r="T265" s="24">
        <f>$Q$115*INDEX($C$97:$AL$97,1,4)</f>
        <v/>
      </c>
      <c r="U265" s="24">
        <f>$Q$115*INDEX($C$97:$AL$97,1,5)</f>
        <v/>
      </c>
      <c r="V265" s="24">
        <f>$Q$115*INDEX($C$97:$AL$97,1,6)</f>
        <v/>
      </c>
      <c r="W265" s="24">
        <f>$Q$115*INDEX($C$97:$AL$97,1,7)</f>
        <v/>
      </c>
      <c r="X265" s="24">
        <f>$Q$115*INDEX($C$97:$AL$97,1,8)</f>
        <v/>
      </c>
      <c r="Y265" s="24">
        <f>$Q$115*INDEX($C$97:$AL$97,1,9)</f>
        <v/>
      </c>
      <c r="Z265" s="24">
        <f>$Q$115*INDEX($C$97:$AL$97,1,10)</f>
        <v/>
      </c>
      <c r="AA265" s="24">
        <f>$Q$115*INDEX($C$97:$AL$97,1,11)</f>
        <v/>
      </c>
      <c r="AB265" s="24">
        <f>$Q$115*INDEX($C$97:$AL$97,1,12)</f>
        <v/>
      </c>
      <c r="AC265" s="24">
        <f>$Q$115*INDEX($C$97:$AL$97,1,13)</f>
        <v/>
      </c>
      <c r="AD265" s="24">
        <f>$Q$115*INDEX($C$97:$AL$97,1,14)</f>
        <v/>
      </c>
      <c r="AE265" s="24">
        <f>$Q$115*INDEX($C$97:$AL$97,1,15)</f>
        <v/>
      </c>
      <c r="AF265" s="24">
        <f>$Q$115*INDEX($C$97:$AL$97,1,16)</f>
        <v/>
      </c>
    </row>
    <row r="266">
      <c r="A266" s="4" t="inlineStr">
        <is>
          <t>Coorte del mese 16</t>
        </is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>
        <f>$R$115*INDEX($C$97:$AL$97,1,1)</f>
        <v/>
      </c>
      <c r="S266" s="24">
        <f>$R$115*INDEX($C$97:$AL$97,1,2)</f>
        <v/>
      </c>
      <c r="T266" s="24">
        <f>$R$115*INDEX($C$97:$AL$97,1,3)</f>
        <v/>
      </c>
      <c r="U266" s="24">
        <f>$R$115*INDEX($C$97:$AL$97,1,4)</f>
        <v/>
      </c>
      <c r="V266" s="24">
        <f>$R$115*INDEX($C$97:$AL$97,1,5)</f>
        <v/>
      </c>
      <c r="W266" s="24">
        <f>$R$115*INDEX($C$97:$AL$97,1,6)</f>
        <v/>
      </c>
      <c r="X266" s="24">
        <f>$R$115*INDEX($C$97:$AL$97,1,7)</f>
        <v/>
      </c>
      <c r="Y266" s="24">
        <f>$R$115*INDEX($C$97:$AL$97,1,8)</f>
        <v/>
      </c>
      <c r="Z266" s="24">
        <f>$R$115*INDEX($C$97:$AL$97,1,9)</f>
        <v/>
      </c>
      <c r="AA266" s="24">
        <f>$R$115*INDEX($C$97:$AL$97,1,10)</f>
        <v/>
      </c>
      <c r="AB266" s="24">
        <f>$R$115*INDEX($C$97:$AL$97,1,11)</f>
        <v/>
      </c>
      <c r="AC266" s="24">
        <f>$R$115*INDEX($C$97:$AL$97,1,12)</f>
        <v/>
      </c>
      <c r="AD266" s="24">
        <f>$R$115*INDEX($C$97:$AL$97,1,13)</f>
        <v/>
      </c>
      <c r="AE266" s="24">
        <f>$R$115*INDEX($C$97:$AL$97,1,14)</f>
        <v/>
      </c>
      <c r="AF266" s="24">
        <f>$R$115*INDEX($C$97:$AL$97,1,15)</f>
        <v/>
      </c>
    </row>
    <row r="267">
      <c r="A267" s="4" t="inlineStr">
        <is>
          <t>Coorte del mese 17</t>
        </is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>
        <f>$S$115*INDEX($C$97:$AL$97,1,1)</f>
        <v/>
      </c>
      <c r="T267" s="24">
        <f>$S$115*INDEX($C$97:$AL$97,1,2)</f>
        <v/>
      </c>
      <c r="U267" s="24">
        <f>$S$115*INDEX($C$97:$AL$97,1,3)</f>
        <v/>
      </c>
      <c r="V267" s="24">
        <f>$S$115*INDEX($C$97:$AL$97,1,4)</f>
        <v/>
      </c>
      <c r="W267" s="24">
        <f>$S$115*INDEX($C$97:$AL$97,1,5)</f>
        <v/>
      </c>
      <c r="X267" s="24">
        <f>$S$115*INDEX($C$97:$AL$97,1,6)</f>
        <v/>
      </c>
      <c r="Y267" s="24">
        <f>$S$115*INDEX($C$97:$AL$97,1,7)</f>
        <v/>
      </c>
      <c r="Z267" s="24">
        <f>$S$115*INDEX($C$97:$AL$97,1,8)</f>
        <v/>
      </c>
      <c r="AA267" s="24">
        <f>$S$115*INDEX($C$97:$AL$97,1,9)</f>
        <v/>
      </c>
      <c r="AB267" s="24">
        <f>$S$115*INDEX($C$97:$AL$97,1,10)</f>
        <v/>
      </c>
      <c r="AC267" s="24">
        <f>$S$115*INDEX($C$97:$AL$97,1,11)</f>
        <v/>
      </c>
      <c r="AD267" s="24">
        <f>$S$115*INDEX($C$97:$AL$97,1,12)</f>
        <v/>
      </c>
      <c r="AE267" s="24">
        <f>$S$115*INDEX($C$97:$AL$97,1,13)</f>
        <v/>
      </c>
      <c r="AF267" s="24">
        <f>$S$115*INDEX($C$97:$AL$97,1,14)</f>
        <v/>
      </c>
    </row>
    <row r="268">
      <c r="A268" s="4" t="inlineStr">
        <is>
          <t>Coorte del mese 18</t>
        </is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>
        <f>$T$115*INDEX($C$97:$AL$97,1,1)</f>
        <v/>
      </c>
      <c r="U268" s="24">
        <f>$T$115*INDEX($C$97:$AL$97,1,2)</f>
        <v/>
      </c>
      <c r="V268" s="24">
        <f>$T$115*INDEX($C$97:$AL$97,1,3)</f>
        <v/>
      </c>
      <c r="W268" s="24">
        <f>$T$115*INDEX($C$97:$AL$97,1,4)</f>
        <v/>
      </c>
      <c r="X268" s="24">
        <f>$T$115*INDEX($C$97:$AL$97,1,5)</f>
        <v/>
      </c>
      <c r="Y268" s="24">
        <f>$T$115*INDEX($C$97:$AL$97,1,6)</f>
        <v/>
      </c>
      <c r="Z268" s="24">
        <f>$T$115*INDEX($C$97:$AL$97,1,7)</f>
        <v/>
      </c>
      <c r="AA268" s="24">
        <f>$T$115*INDEX($C$97:$AL$97,1,8)</f>
        <v/>
      </c>
      <c r="AB268" s="24">
        <f>$T$115*INDEX($C$97:$AL$97,1,9)</f>
        <v/>
      </c>
      <c r="AC268" s="24">
        <f>$T$115*INDEX($C$97:$AL$97,1,10)</f>
        <v/>
      </c>
      <c r="AD268" s="24">
        <f>$T$115*INDEX($C$97:$AL$97,1,11)</f>
        <v/>
      </c>
      <c r="AE268" s="24">
        <f>$T$115*INDEX($C$97:$AL$97,1,12)</f>
        <v/>
      </c>
      <c r="AF268" s="24">
        <f>$T$115*INDEX($C$97:$AL$97,1,13)</f>
        <v/>
      </c>
    </row>
    <row r="269">
      <c r="A269" s="4" t="inlineStr">
        <is>
          <t>Coorte del mese 19</t>
        </is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>
        <f>$U$115*INDEX($C$97:$AL$97,1,1)</f>
        <v/>
      </c>
      <c r="V269" s="24">
        <f>$U$115*INDEX($C$97:$AL$97,1,2)</f>
        <v/>
      </c>
      <c r="W269" s="24">
        <f>$U$115*INDEX($C$97:$AL$97,1,3)</f>
        <v/>
      </c>
      <c r="X269" s="24">
        <f>$U$115*INDEX($C$97:$AL$97,1,4)</f>
        <v/>
      </c>
      <c r="Y269" s="24">
        <f>$U$115*INDEX($C$97:$AL$97,1,5)</f>
        <v/>
      </c>
      <c r="Z269" s="24">
        <f>$U$115*INDEX($C$97:$AL$97,1,6)</f>
        <v/>
      </c>
      <c r="AA269" s="24">
        <f>$U$115*INDEX($C$97:$AL$97,1,7)</f>
        <v/>
      </c>
      <c r="AB269" s="24">
        <f>$U$115*INDEX($C$97:$AL$97,1,8)</f>
        <v/>
      </c>
      <c r="AC269" s="24">
        <f>$U$115*INDEX($C$97:$AL$97,1,9)</f>
        <v/>
      </c>
      <c r="AD269" s="24">
        <f>$U$115*INDEX($C$97:$AL$97,1,10)</f>
        <v/>
      </c>
      <c r="AE269" s="24">
        <f>$U$115*INDEX($C$97:$AL$97,1,11)</f>
        <v/>
      </c>
      <c r="AF269" s="24">
        <f>$U$115*INDEX($C$97:$AL$97,1,12)</f>
        <v/>
      </c>
    </row>
    <row r="270">
      <c r="A270" s="4" t="inlineStr">
        <is>
          <t>Coorte del mese 20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>
        <f>$V$115*INDEX($C$97:$AL$97,1,1)</f>
        <v/>
      </c>
      <c r="W270" s="24">
        <f>$V$115*INDEX($C$97:$AL$97,1,2)</f>
        <v/>
      </c>
      <c r="X270" s="24">
        <f>$V$115*INDEX($C$97:$AL$97,1,3)</f>
        <v/>
      </c>
      <c r="Y270" s="24">
        <f>$V$115*INDEX($C$97:$AL$97,1,4)</f>
        <v/>
      </c>
      <c r="Z270" s="24">
        <f>$V$115*INDEX($C$97:$AL$97,1,5)</f>
        <v/>
      </c>
      <c r="AA270" s="24">
        <f>$V$115*INDEX($C$97:$AL$97,1,6)</f>
        <v/>
      </c>
      <c r="AB270" s="24">
        <f>$V$115*INDEX($C$97:$AL$97,1,7)</f>
        <v/>
      </c>
      <c r="AC270" s="24">
        <f>$V$115*INDEX($C$97:$AL$97,1,8)</f>
        <v/>
      </c>
      <c r="AD270" s="24">
        <f>$V$115*INDEX($C$97:$AL$97,1,9)</f>
        <v/>
      </c>
      <c r="AE270" s="24">
        <f>$V$115*INDEX($C$97:$AL$97,1,10)</f>
        <v/>
      </c>
      <c r="AF270" s="24">
        <f>$V$115*INDEX($C$97:$AL$97,1,11)</f>
        <v/>
      </c>
    </row>
    <row r="271">
      <c r="A271" s="4" t="inlineStr">
        <is>
          <t>Coorte del mese 21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>
        <f>$W$115*INDEX($C$97:$AL$97,1,1)</f>
        <v/>
      </c>
      <c r="X271" s="24">
        <f>$W$115*INDEX($C$97:$AL$97,1,2)</f>
        <v/>
      </c>
      <c r="Y271" s="24">
        <f>$W$115*INDEX($C$97:$AL$97,1,3)</f>
        <v/>
      </c>
      <c r="Z271" s="24">
        <f>$W$115*INDEX($C$97:$AL$97,1,4)</f>
        <v/>
      </c>
      <c r="AA271" s="24">
        <f>$W$115*INDEX($C$97:$AL$97,1,5)</f>
        <v/>
      </c>
      <c r="AB271" s="24">
        <f>$W$115*INDEX($C$97:$AL$97,1,6)</f>
        <v/>
      </c>
      <c r="AC271" s="24">
        <f>$W$115*INDEX($C$97:$AL$97,1,7)</f>
        <v/>
      </c>
      <c r="AD271" s="24">
        <f>$W$115*INDEX($C$97:$AL$97,1,8)</f>
        <v/>
      </c>
      <c r="AE271" s="24">
        <f>$W$115*INDEX($C$97:$AL$97,1,9)</f>
        <v/>
      </c>
      <c r="AF271" s="24">
        <f>$W$115*INDEX($C$97:$AL$97,1,10)</f>
        <v/>
      </c>
    </row>
    <row r="272">
      <c r="A272" s="4" t="inlineStr">
        <is>
          <t>Coorte del mese 22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>
        <f>$X$115*INDEX($C$97:$AL$97,1,1)</f>
        <v/>
      </c>
      <c r="Y272" s="24">
        <f>$X$115*INDEX($C$97:$AL$97,1,2)</f>
        <v/>
      </c>
      <c r="Z272" s="24">
        <f>$X$115*INDEX($C$97:$AL$97,1,3)</f>
        <v/>
      </c>
      <c r="AA272" s="24">
        <f>$X$115*INDEX($C$97:$AL$97,1,4)</f>
        <v/>
      </c>
      <c r="AB272" s="24">
        <f>$X$115*INDEX($C$97:$AL$97,1,5)</f>
        <v/>
      </c>
      <c r="AC272" s="24">
        <f>$X$115*INDEX($C$97:$AL$97,1,6)</f>
        <v/>
      </c>
      <c r="AD272" s="24">
        <f>$X$115*INDEX($C$97:$AL$97,1,7)</f>
        <v/>
      </c>
      <c r="AE272" s="24">
        <f>$X$115*INDEX($C$97:$AL$97,1,8)</f>
        <v/>
      </c>
      <c r="AF272" s="24">
        <f>$X$115*INDEX($C$97:$AL$97,1,9)</f>
        <v/>
      </c>
    </row>
    <row r="273">
      <c r="A273" s="4" t="inlineStr">
        <is>
          <t>Coorte del mese 23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>
        <f>$Y$115*INDEX($C$97:$AL$97,1,1)</f>
        <v/>
      </c>
      <c r="Z273" s="24">
        <f>$Y$115*INDEX($C$97:$AL$97,1,2)</f>
        <v/>
      </c>
      <c r="AA273" s="24">
        <f>$Y$115*INDEX($C$97:$AL$97,1,3)</f>
        <v/>
      </c>
      <c r="AB273" s="24">
        <f>$Y$115*INDEX($C$97:$AL$97,1,4)</f>
        <v/>
      </c>
      <c r="AC273" s="24">
        <f>$Y$115*INDEX($C$97:$AL$97,1,5)</f>
        <v/>
      </c>
      <c r="AD273" s="24">
        <f>$Y$115*INDEX($C$97:$AL$97,1,6)</f>
        <v/>
      </c>
      <c r="AE273" s="24">
        <f>$Y$115*INDEX($C$97:$AL$97,1,7)</f>
        <v/>
      </c>
      <c r="AF273" s="24">
        <f>$Y$115*INDEX($C$97:$AL$97,1,8)</f>
        <v/>
      </c>
    </row>
    <row r="274">
      <c r="A274" s="4" t="inlineStr">
        <is>
          <t>Coorte del mese 24</t>
        </is>
      </c>
      <c r="C274" s="24" t="n">
        <v>0</v>
      </c>
      <c r="D274" s="24" t="n">
        <v>0</v>
      </c>
      <c r="E274" s="24" t="n">
        <v>0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24">
        <f>$Z$115*INDEX($C$97:$AL$97,1,1)</f>
        <v/>
      </c>
      <c r="AA274" s="24">
        <f>$Z$115*INDEX($C$97:$AL$97,1,2)</f>
        <v/>
      </c>
      <c r="AB274" s="24">
        <f>$Z$115*INDEX($C$97:$AL$97,1,3)</f>
        <v/>
      </c>
      <c r="AC274" s="24">
        <f>$Z$115*INDEX($C$97:$AL$97,1,4)</f>
        <v/>
      </c>
      <c r="AD274" s="24">
        <f>$Z$115*INDEX($C$97:$AL$97,1,5)</f>
        <v/>
      </c>
      <c r="AE274" s="24">
        <f>$Z$115*INDEX($C$97:$AL$97,1,6)</f>
        <v/>
      </c>
      <c r="AF274" s="24">
        <f>$Z$115*INDEX($C$97:$AL$97,1,7)</f>
        <v/>
      </c>
    </row>
    <row r="275">
      <c r="A275" s="4" t="inlineStr">
        <is>
          <t>Coorte del mese 25</t>
        </is>
      </c>
      <c r="C275" s="24" t="n">
        <v>0</v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>
        <f>$AA$115*INDEX($C$97:$AL$97,1,1)</f>
        <v/>
      </c>
      <c r="AB275" s="24">
        <f>$AA$115*INDEX($C$97:$AL$97,1,2)</f>
        <v/>
      </c>
      <c r="AC275" s="24">
        <f>$AA$115*INDEX($C$97:$AL$97,1,3)</f>
        <v/>
      </c>
      <c r="AD275" s="24">
        <f>$AA$115*INDEX($C$97:$AL$97,1,4)</f>
        <v/>
      </c>
      <c r="AE275" s="24">
        <f>$AA$115*INDEX($C$97:$AL$97,1,5)</f>
        <v/>
      </c>
      <c r="AF275" s="24">
        <f>$AA$115*INDEX($C$97:$AL$97,1,6)</f>
        <v/>
      </c>
    </row>
    <row r="276">
      <c r="A276" s="4" t="inlineStr">
        <is>
          <t>Coorte del mese 26</t>
        </is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24" t="n">
        <v>0</v>
      </c>
      <c r="AA276" s="24" t="n">
        <v>0</v>
      </c>
      <c r="AB276" s="24">
        <f>$AB$115*INDEX($C$97:$AL$97,1,1)</f>
        <v/>
      </c>
      <c r="AC276" s="24">
        <f>$AB$115*INDEX($C$97:$AL$97,1,2)</f>
        <v/>
      </c>
      <c r="AD276" s="24">
        <f>$AB$115*INDEX($C$97:$AL$97,1,3)</f>
        <v/>
      </c>
      <c r="AE276" s="24">
        <f>$AB$115*INDEX($C$97:$AL$97,1,4)</f>
        <v/>
      </c>
      <c r="AF276" s="24">
        <f>$AB$115*INDEX($C$97:$AL$97,1,5)</f>
        <v/>
      </c>
    </row>
    <row r="277">
      <c r="A277" s="4" t="inlineStr">
        <is>
          <t>Coorte del mese 27</t>
        </is>
      </c>
      <c r="C277" s="24" t="n">
        <v>0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>
        <f>$AC$115*INDEX($C$97:$AL$97,1,1)</f>
        <v/>
      </c>
      <c r="AD277" s="24">
        <f>$AC$115*INDEX($C$97:$AL$97,1,2)</f>
        <v/>
      </c>
      <c r="AE277" s="24">
        <f>$AC$115*INDEX($C$97:$AL$97,1,3)</f>
        <v/>
      </c>
      <c r="AF277" s="24">
        <f>$AC$115*INDEX($C$97:$AL$97,1,4)</f>
        <v/>
      </c>
    </row>
    <row r="278">
      <c r="A278" s="4" t="inlineStr">
        <is>
          <t>Coorte del mese 28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>
        <f>$AD$115*INDEX($C$97:$AL$97,1,1)</f>
        <v/>
      </c>
      <c r="AE278" s="24">
        <f>$AD$115*INDEX($C$97:$AL$97,1,2)</f>
        <v/>
      </c>
      <c r="AF278" s="24">
        <f>$AD$115*INDEX($C$97:$AL$97,1,3)</f>
        <v/>
      </c>
    </row>
    <row r="279">
      <c r="A279" s="4" t="inlineStr">
        <is>
          <t>Coorte del mese 29</t>
        </is>
      </c>
      <c r="C279" s="24" t="n">
        <v>0</v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>
        <f>$AE$115*INDEX($C$97:$AL$97,1,1)</f>
        <v/>
      </c>
      <c r="AF279" s="24">
        <f>$AE$115*INDEX($C$97:$AL$97,1,2)</f>
        <v/>
      </c>
    </row>
    <row r="280">
      <c r="A280" s="4" t="inlineStr">
        <is>
          <t>Coorte del mese 30</t>
        </is>
      </c>
      <c r="C280" s="24" t="n">
        <v>0</v>
      </c>
      <c r="D280" s="24" t="n">
        <v>0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24" t="n">
        <v>0</v>
      </c>
      <c r="AA280" s="24" t="n">
        <v>0</v>
      </c>
      <c r="AB280" s="24" t="n">
        <v>0</v>
      </c>
      <c r="AC280" s="24" t="n">
        <v>0</v>
      </c>
      <c r="AD280" s="24" t="n">
        <v>0</v>
      </c>
      <c r="AE280" s="24" t="n">
        <v>0</v>
      </c>
      <c r="AF280" s="24">
        <f>$AF$115*INDEX($C$97:$AL$97,1,1)</f>
        <v/>
      </c>
    </row>
    <row r="281">
      <c r="A281" s="3" t="inlineStr">
        <is>
          <t>Totale singolo: ordini</t>
        </is>
      </c>
      <c r="C281" s="25">
        <f>SUM(C251:C280)</f>
        <v/>
      </c>
      <c r="D281" s="25">
        <f>SUM(D251:D280)</f>
        <v/>
      </c>
      <c r="E281" s="25">
        <f>SUM(E251:E280)</f>
        <v/>
      </c>
      <c r="F281" s="25">
        <f>SUM(F251:F280)</f>
        <v/>
      </c>
      <c r="G281" s="25">
        <f>SUM(G251:G280)</f>
        <v/>
      </c>
      <c r="H281" s="25">
        <f>SUM(H251:H280)</f>
        <v/>
      </c>
      <c r="I281" s="25">
        <f>SUM(I251:I280)</f>
        <v/>
      </c>
      <c r="J281" s="25">
        <f>SUM(J251:J280)</f>
        <v/>
      </c>
      <c r="K281" s="25">
        <f>SUM(K251:K280)</f>
        <v/>
      </c>
      <c r="L281" s="25">
        <f>SUM(L251:L280)</f>
        <v/>
      </c>
      <c r="M281" s="25">
        <f>SUM(M251:M280)</f>
        <v/>
      </c>
      <c r="N281" s="25">
        <f>SUM(N251:N280)</f>
        <v/>
      </c>
      <c r="O281" s="25">
        <f>SUM(O251:O280)</f>
        <v/>
      </c>
      <c r="P281" s="25">
        <f>SUM(P251:P280)</f>
        <v/>
      </c>
      <c r="Q281" s="25">
        <f>SUM(Q251:Q280)</f>
        <v/>
      </c>
      <c r="R281" s="25">
        <f>SUM(R251:R280)</f>
        <v/>
      </c>
      <c r="S281" s="25">
        <f>SUM(S251:S280)</f>
        <v/>
      </c>
      <c r="T281" s="25">
        <f>SUM(T251:T280)</f>
        <v/>
      </c>
      <c r="U281" s="25">
        <f>SUM(U251:U280)</f>
        <v/>
      </c>
      <c r="V281" s="25">
        <f>SUM(V251:V280)</f>
        <v/>
      </c>
      <c r="W281" s="25">
        <f>SUM(W251:W280)</f>
        <v/>
      </c>
      <c r="X281" s="25">
        <f>SUM(X251:X280)</f>
        <v/>
      </c>
      <c r="Y281" s="25">
        <f>SUM(Y251:Y280)</f>
        <v/>
      </c>
      <c r="Z281" s="25">
        <f>SUM(Z251:Z280)</f>
        <v/>
      </c>
      <c r="AA281" s="25">
        <f>SUM(AA251:AA280)</f>
        <v/>
      </c>
      <c r="AB281" s="25">
        <f>SUM(AB251:AB280)</f>
        <v/>
      </c>
      <c r="AC281" s="25">
        <f>SUM(AC251:AC280)</f>
        <v/>
      </c>
      <c r="AD281" s="25">
        <f>SUM(AD251:AD280)</f>
        <v/>
      </c>
      <c r="AE281" s="25">
        <f>SUM(AE251:AE280)</f>
        <v/>
      </c>
      <c r="AF281" s="25">
        <f>SUM(AF251:AF280)</f>
        <v/>
      </c>
    </row>
    <row r="283">
      <c r="A283" s="10" t="inlineStr">
        <is>
          <t>Vendite e costi variabili per mese</t>
        </is>
      </c>
    </row>
    <row r="284">
      <c r="A284" s="3" t="inlineStr">
        <is>
          <t>Incassi lordi (IVA incl.)</t>
        </is>
      </c>
      <c r="B284" s="4" t="inlineStr">
        <is>
          <t>€</t>
        </is>
      </c>
      <c r="C284" s="20">
        <f>C112*$H$76+(C149-C112)*$C$76+C113*$I$76+(C215-C113)*$D$76+C114*$J$76+(C248-C114)*$E$76+C115*$K$76+(C281-C115)*$F$76</f>
        <v/>
      </c>
      <c r="D284" s="20">
        <f>D112*$H$76+(D149-D112)*$C$76+D113*$I$76+(D215-D113)*$D$76+D114*$J$76+(D248-D114)*$E$76+D115*$K$76+(D281-D115)*$F$76</f>
        <v/>
      </c>
      <c r="E284" s="20">
        <f>E112*$H$76+(E149-E112)*$C$76+E113*$I$76+(E215-E113)*$D$76+E114*$J$76+(E248-E114)*$E$76+E115*$K$76+(E281-E115)*$F$76</f>
        <v/>
      </c>
      <c r="F284" s="20">
        <f>F112*$H$76+(F149-F112)*$C$76+F113*$I$76+(F215-F113)*$D$76+F114*$J$76+(F248-F114)*$E$76+F115*$K$76+(F281-F115)*$F$76</f>
        <v/>
      </c>
      <c r="G284" s="20">
        <f>G112*$H$76+(G149-G112)*$C$76+G113*$I$76+(G215-G113)*$D$76+G114*$J$76+(G248-G114)*$E$76+G115*$K$76+(G281-G115)*$F$76</f>
        <v/>
      </c>
      <c r="H284" s="20">
        <f>H112*$H$76+(H149-H112)*$C$76+H113*$I$76+(H215-H113)*$D$76+H114*$J$76+(H248-H114)*$E$76+H115*$K$76+(H281-H115)*$F$76</f>
        <v/>
      </c>
      <c r="I284" s="20">
        <f>I112*$H$76+(I149-I112)*$C$76+I113*$I$76+(I215-I113)*$D$76+I114*$J$76+(I248-I114)*$E$76+I115*$K$76+(I281-I115)*$F$76</f>
        <v/>
      </c>
      <c r="J284" s="20">
        <f>J112*$H$76+(J149-J112)*$C$76+J113*$I$76+(J215-J113)*$D$76+J114*$J$76+(J248-J114)*$E$76+J115*$K$76+(J281-J115)*$F$76</f>
        <v/>
      </c>
      <c r="K284" s="20">
        <f>K112*$H$76+(K149-K112)*$C$76+K113*$I$76+(K215-K113)*$D$76+K114*$J$76+(K248-K114)*$E$76+K115*$K$76+(K281-K115)*$F$76</f>
        <v/>
      </c>
      <c r="L284" s="20">
        <f>L112*$H$76+(L149-L112)*$C$76+L113*$I$76+(L215-L113)*$D$76+L114*$J$76+(L248-L114)*$E$76+L115*$K$76+(L281-L115)*$F$76</f>
        <v/>
      </c>
      <c r="M284" s="20">
        <f>M112*$H$76+(M149-M112)*$C$76+M113*$I$76+(M215-M113)*$D$76+M114*$J$76+(M248-M114)*$E$76+M115*$K$76+(M281-M115)*$F$76</f>
        <v/>
      </c>
      <c r="N284" s="20">
        <f>N112*$H$76+(N149-N112)*$C$76+N113*$I$76+(N215-N113)*$D$76+N114*$J$76+(N248-N114)*$E$76+N115*$K$76+(N281-N115)*$F$76</f>
        <v/>
      </c>
      <c r="O284" s="20">
        <f>O112*$H$76+(O149-O112)*$C$76+O113*$I$76+(O215-O113)*$D$76+O114*$J$76+(O248-O114)*$E$76+O115*$K$76+(O281-O115)*$F$76</f>
        <v/>
      </c>
      <c r="P284" s="20">
        <f>P112*$H$76+(P149-P112)*$C$76+P113*$I$76+(P215-P113)*$D$76+P114*$J$76+(P248-P114)*$E$76+P115*$K$76+(P281-P115)*$F$76</f>
        <v/>
      </c>
      <c r="Q284" s="20">
        <f>Q112*$H$76+(Q149-Q112)*$C$76+Q113*$I$76+(Q215-Q113)*$D$76+Q114*$J$76+(Q248-Q114)*$E$76+Q115*$K$76+(Q281-Q115)*$F$76</f>
        <v/>
      </c>
      <c r="R284" s="20">
        <f>R112*$H$76+(R149-R112)*$C$76+R113*$I$76+(R215-R113)*$D$76+R114*$J$76+(R248-R114)*$E$76+R115*$K$76+(R281-R115)*$F$76</f>
        <v/>
      </c>
      <c r="S284" s="20">
        <f>S112*$H$76+(S149-S112)*$C$76+S113*$I$76+(S215-S113)*$D$76+S114*$J$76+(S248-S114)*$E$76+S115*$K$76+(S281-S115)*$F$76</f>
        <v/>
      </c>
      <c r="T284" s="20">
        <f>T112*$H$76+(T149-T112)*$C$76+T113*$I$76+(T215-T113)*$D$76+T114*$J$76+(T248-T114)*$E$76+T115*$K$76+(T281-T115)*$F$76</f>
        <v/>
      </c>
      <c r="U284" s="20">
        <f>U112*$H$76+(U149-U112)*$C$76+U113*$I$76+(U215-U113)*$D$76+U114*$J$76+(U248-U114)*$E$76+U115*$K$76+(U281-U115)*$F$76</f>
        <v/>
      </c>
      <c r="V284" s="20">
        <f>V112*$H$76+(V149-V112)*$C$76+V113*$I$76+(V215-V113)*$D$76+V114*$J$76+(V248-V114)*$E$76+V115*$K$76+(V281-V115)*$F$76</f>
        <v/>
      </c>
      <c r="W284" s="20">
        <f>W112*$H$76+(W149-W112)*$C$76+W113*$I$76+(W215-W113)*$D$76+W114*$J$76+(W248-W114)*$E$76+W115*$K$76+(W281-W115)*$F$76</f>
        <v/>
      </c>
      <c r="X284" s="20">
        <f>X112*$H$76+(X149-X112)*$C$76+X113*$I$76+(X215-X113)*$D$76+X114*$J$76+(X248-X114)*$E$76+X115*$K$76+(X281-X115)*$F$76</f>
        <v/>
      </c>
      <c r="Y284" s="20">
        <f>Y112*$H$76+(Y149-Y112)*$C$76+Y113*$I$76+(Y215-Y113)*$D$76+Y114*$J$76+(Y248-Y114)*$E$76+Y115*$K$76+(Y281-Y115)*$F$76</f>
        <v/>
      </c>
      <c r="Z284" s="20">
        <f>Z112*$H$76+(Z149-Z112)*$C$76+Z113*$I$76+(Z215-Z113)*$D$76+Z114*$J$76+(Z248-Z114)*$E$76+Z115*$K$76+(Z281-Z115)*$F$76</f>
        <v/>
      </c>
      <c r="AA284" s="20">
        <f>AA112*$H$76+(AA149-AA112)*$C$76+AA113*$I$76+(AA215-AA113)*$D$76+AA114*$J$76+(AA248-AA114)*$E$76+AA115*$K$76+(AA281-AA115)*$F$76</f>
        <v/>
      </c>
      <c r="AB284" s="20">
        <f>AB112*$H$76+(AB149-AB112)*$C$76+AB113*$I$76+(AB215-AB113)*$D$76+AB114*$J$76+(AB248-AB114)*$E$76+AB115*$K$76+(AB281-AB115)*$F$76</f>
        <v/>
      </c>
      <c r="AC284" s="20">
        <f>AC112*$H$76+(AC149-AC112)*$C$76+AC113*$I$76+(AC215-AC113)*$D$76+AC114*$J$76+(AC248-AC114)*$E$76+AC115*$K$76+(AC281-AC115)*$F$76</f>
        <v/>
      </c>
      <c r="AD284" s="20">
        <f>AD112*$H$76+(AD149-AD112)*$C$76+AD113*$I$76+(AD215-AD113)*$D$76+AD114*$J$76+(AD248-AD114)*$E$76+AD115*$K$76+(AD281-AD115)*$F$76</f>
        <v/>
      </c>
      <c r="AE284" s="20">
        <f>AE112*$H$76+(AE149-AE112)*$C$76+AE113*$I$76+(AE215-AE113)*$D$76+AE114*$J$76+(AE248-AE114)*$E$76+AE115*$K$76+(AE281-AE115)*$F$76</f>
        <v/>
      </c>
      <c r="AF284" s="20">
        <f>AF112*$H$76+(AF149-AF112)*$C$76+AF113*$I$76+(AF215-AF113)*$D$76+AF114*$J$76+(AF248-AF114)*$E$76+AF115*$K$76+(AF281-AF115)*$F$76</f>
        <v/>
      </c>
    </row>
    <row r="285">
      <c r="A285" s="3" t="inlineStr">
        <is>
          <t>Ricavi netti IVA</t>
        </is>
      </c>
      <c r="B285" s="4" t="inlineStr">
        <is>
          <t>€</t>
        </is>
      </c>
      <c r="C285" s="20">
        <f>C112*$H$77+(C149-C112)*$C$77+C113*$I$77+(C215-C113)*$D$77+C114*$J$77+(C248-C114)*$E$77+C115*$K$77+(C281-C115)*$F$77</f>
        <v/>
      </c>
      <c r="D285" s="20">
        <f>D112*$H$77+(D149-D112)*$C$77+D113*$I$77+(D215-D113)*$D$77+D114*$J$77+(D248-D114)*$E$77+D115*$K$77+(D281-D115)*$F$77</f>
        <v/>
      </c>
      <c r="E285" s="20">
        <f>E112*$H$77+(E149-E112)*$C$77+E113*$I$77+(E215-E113)*$D$77+E114*$J$77+(E248-E114)*$E$77+E115*$K$77+(E281-E115)*$F$77</f>
        <v/>
      </c>
      <c r="F285" s="20">
        <f>F112*$H$77+(F149-F112)*$C$77+F113*$I$77+(F215-F113)*$D$77+F114*$J$77+(F248-F114)*$E$77+F115*$K$77+(F281-F115)*$F$77</f>
        <v/>
      </c>
      <c r="G285" s="20">
        <f>G112*$H$77+(G149-G112)*$C$77+G113*$I$77+(G215-G113)*$D$77+G114*$J$77+(G248-G114)*$E$77+G115*$K$77+(G281-G115)*$F$77</f>
        <v/>
      </c>
      <c r="H285" s="20">
        <f>H112*$H$77+(H149-H112)*$C$77+H113*$I$77+(H215-H113)*$D$77+H114*$J$77+(H248-H114)*$E$77+H115*$K$77+(H281-H115)*$F$77</f>
        <v/>
      </c>
      <c r="I285" s="20">
        <f>I112*$H$77+(I149-I112)*$C$77+I113*$I$77+(I215-I113)*$D$77+I114*$J$77+(I248-I114)*$E$77+I115*$K$77+(I281-I115)*$F$77</f>
        <v/>
      </c>
      <c r="J285" s="20">
        <f>J112*$H$77+(J149-J112)*$C$77+J113*$I$77+(J215-J113)*$D$77+J114*$J$77+(J248-J114)*$E$77+J115*$K$77+(J281-J115)*$F$77</f>
        <v/>
      </c>
      <c r="K285" s="20">
        <f>K112*$H$77+(K149-K112)*$C$77+K113*$I$77+(K215-K113)*$D$77+K114*$J$77+(K248-K114)*$E$77+K115*$K$77+(K281-K115)*$F$77</f>
        <v/>
      </c>
      <c r="L285" s="20">
        <f>L112*$H$77+(L149-L112)*$C$77+L113*$I$77+(L215-L113)*$D$77+L114*$J$77+(L248-L114)*$E$77+L115*$K$77+(L281-L115)*$F$77</f>
        <v/>
      </c>
      <c r="M285" s="20">
        <f>M112*$H$77+(M149-M112)*$C$77+M113*$I$77+(M215-M113)*$D$77+M114*$J$77+(M248-M114)*$E$77+M115*$K$77+(M281-M115)*$F$77</f>
        <v/>
      </c>
      <c r="N285" s="20">
        <f>N112*$H$77+(N149-N112)*$C$77+N113*$I$77+(N215-N113)*$D$77+N114*$J$77+(N248-N114)*$E$77+N115*$K$77+(N281-N115)*$F$77</f>
        <v/>
      </c>
      <c r="O285" s="20">
        <f>O112*$H$77+(O149-O112)*$C$77+O113*$I$77+(O215-O113)*$D$77+O114*$J$77+(O248-O114)*$E$77+O115*$K$77+(O281-O115)*$F$77</f>
        <v/>
      </c>
      <c r="P285" s="20">
        <f>P112*$H$77+(P149-P112)*$C$77+P113*$I$77+(P215-P113)*$D$77+P114*$J$77+(P248-P114)*$E$77+P115*$K$77+(P281-P115)*$F$77</f>
        <v/>
      </c>
      <c r="Q285" s="20">
        <f>Q112*$H$77+(Q149-Q112)*$C$77+Q113*$I$77+(Q215-Q113)*$D$77+Q114*$J$77+(Q248-Q114)*$E$77+Q115*$K$77+(Q281-Q115)*$F$77</f>
        <v/>
      </c>
      <c r="R285" s="20">
        <f>R112*$H$77+(R149-R112)*$C$77+R113*$I$77+(R215-R113)*$D$77+R114*$J$77+(R248-R114)*$E$77+R115*$K$77+(R281-R115)*$F$77</f>
        <v/>
      </c>
      <c r="S285" s="20">
        <f>S112*$H$77+(S149-S112)*$C$77+S113*$I$77+(S215-S113)*$D$77+S114*$J$77+(S248-S114)*$E$77+S115*$K$77+(S281-S115)*$F$77</f>
        <v/>
      </c>
      <c r="T285" s="20">
        <f>T112*$H$77+(T149-T112)*$C$77+T113*$I$77+(T215-T113)*$D$77+T114*$J$77+(T248-T114)*$E$77+T115*$K$77+(T281-T115)*$F$77</f>
        <v/>
      </c>
      <c r="U285" s="20">
        <f>U112*$H$77+(U149-U112)*$C$77+U113*$I$77+(U215-U113)*$D$77+U114*$J$77+(U248-U114)*$E$77+U115*$K$77+(U281-U115)*$F$77</f>
        <v/>
      </c>
      <c r="V285" s="20">
        <f>V112*$H$77+(V149-V112)*$C$77+V113*$I$77+(V215-V113)*$D$77+V114*$J$77+(V248-V114)*$E$77+V115*$K$77+(V281-V115)*$F$77</f>
        <v/>
      </c>
      <c r="W285" s="20">
        <f>W112*$H$77+(W149-W112)*$C$77+W113*$I$77+(W215-W113)*$D$77+W114*$J$77+(W248-W114)*$E$77+W115*$K$77+(W281-W115)*$F$77</f>
        <v/>
      </c>
      <c r="X285" s="20">
        <f>X112*$H$77+(X149-X112)*$C$77+X113*$I$77+(X215-X113)*$D$77+X114*$J$77+(X248-X114)*$E$77+X115*$K$77+(X281-X115)*$F$77</f>
        <v/>
      </c>
      <c r="Y285" s="20">
        <f>Y112*$H$77+(Y149-Y112)*$C$77+Y113*$I$77+(Y215-Y113)*$D$77+Y114*$J$77+(Y248-Y114)*$E$77+Y115*$K$77+(Y281-Y115)*$F$77</f>
        <v/>
      </c>
      <c r="Z285" s="20">
        <f>Z112*$H$77+(Z149-Z112)*$C$77+Z113*$I$77+(Z215-Z113)*$D$77+Z114*$J$77+(Z248-Z114)*$E$77+Z115*$K$77+(Z281-Z115)*$F$77</f>
        <v/>
      </c>
      <c r="AA285" s="20">
        <f>AA112*$H$77+(AA149-AA112)*$C$77+AA113*$I$77+(AA215-AA113)*$D$77+AA114*$J$77+(AA248-AA114)*$E$77+AA115*$K$77+(AA281-AA115)*$F$77</f>
        <v/>
      </c>
      <c r="AB285" s="20">
        <f>AB112*$H$77+(AB149-AB112)*$C$77+AB113*$I$77+(AB215-AB113)*$D$77+AB114*$J$77+(AB248-AB114)*$E$77+AB115*$K$77+(AB281-AB115)*$F$77</f>
        <v/>
      </c>
      <c r="AC285" s="20">
        <f>AC112*$H$77+(AC149-AC112)*$C$77+AC113*$I$77+(AC215-AC113)*$D$77+AC114*$J$77+(AC248-AC114)*$E$77+AC115*$K$77+(AC281-AC115)*$F$77</f>
        <v/>
      </c>
      <c r="AD285" s="20">
        <f>AD112*$H$77+(AD149-AD112)*$C$77+AD113*$I$77+(AD215-AD113)*$D$77+AD114*$J$77+(AD248-AD114)*$E$77+AD115*$K$77+(AD281-AD115)*$F$77</f>
        <v/>
      </c>
      <c r="AE285" s="20">
        <f>AE112*$H$77+(AE149-AE112)*$C$77+AE113*$I$77+(AE215-AE113)*$D$77+AE114*$J$77+(AE248-AE114)*$E$77+AE115*$K$77+(AE281-AE115)*$F$77</f>
        <v/>
      </c>
      <c r="AF285" s="20">
        <f>AF112*$H$77+(AF149-AF112)*$C$77+AF113*$I$77+(AF215-AF113)*$D$77+AF114*$J$77+(AF248-AF114)*$E$77+AF115*$K$77+(AF281-AF115)*$F$77</f>
        <v/>
      </c>
    </row>
    <row r="286">
      <c r="A286" s="3" t="inlineStr">
        <is>
          <t>IVA sulle vendite</t>
        </is>
      </c>
      <c r="B286" s="4" t="inlineStr">
        <is>
          <t>€</t>
        </is>
      </c>
      <c r="C286" s="20">
        <f>C284-C285</f>
        <v/>
      </c>
      <c r="D286" s="20">
        <f>D284-D285</f>
        <v/>
      </c>
      <c r="E286" s="20">
        <f>E284-E285</f>
        <v/>
      </c>
      <c r="F286" s="20">
        <f>F284-F285</f>
        <v/>
      </c>
      <c r="G286" s="20">
        <f>G284-G285</f>
        <v/>
      </c>
      <c r="H286" s="20">
        <f>H284-H285</f>
        <v/>
      </c>
      <c r="I286" s="20">
        <f>I284-I285</f>
        <v/>
      </c>
      <c r="J286" s="20">
        <f>J284-J285</f>
        <v/>
      </c>
      <c r="K286" s="20">
        <f>K284-K285</f>
        <v/>
      </c>
      <c r="L286" s="20">
        <f>L284-L285</f>
        <v/>
      </c>
      <c r="M286" s="20">
        <f>M284-M285</f>
        <v/>
      </c>
      <c r="N286" s="20">
        <f>N284-N285</f>
        <v/>
      </c>
      <c r="O286" s="20">
        <f>O284-O285</f>
        <v/>
      </c>
      <c r="P286" s="20">
        <f>P284-P285</f>
        <v/>
      </c>
      <c r="Q286" s="20">
        <f>Q284-Q285</f>
        <v/>
      </c>
      <c r="R286" s="20">
        <f>R284-R285</f>
        <v/>
      </c>
      <c r="S286" s="20">
        <f>S284-S285</f>
        <v/>
      </c>
      <c r="T286" s="20">
        <f>T284-T285</f>
        <v/>
      </c>
      <c r="U286" s="20">
        <f>U284-U285</f>
        <v/>
      </c>
      <c r="V286" s="20">
        <f>V284-V285</f>
        <v/>
      </c>
      <c r="W286" s="20">
        <f>W284-W285</f>
        <v/>
      </c>
      <c r="X286" s="20">
        <f>X284-X285</f>
        <v/>
      </c>
      <c r="Y286" s="20">
        <f>Y284-Y285</f>
        <v/>
      </c>
      <c r="Z286" s="20">
        <f>Z284-Z285</f>
        <v/>
      </c>
      <c r="AA286" s="20">
        <f>AA284-AA285</f>
        <v/>
      </c>
      <c r="AB286" s="20">
        <f>AB284-AB285</f>
        <v/>
      </c>
      <c r="AC286" s="20">
        <f>AC284-AC285</f>
        <v/>
      </c>
      <c r="AD286" s="20">
        <f>AD284-AD285</f>
        <v/>
      </c>
      <c r="AE286" s="20">
        <f>AE284-AE285</f>
        <v/>
      </c>
      <c r="AF286" s="20">
        <f>AF284-AF285</f>
        <v/>
      </c>
    </row>
    <row r="287">
      <c r="A287" s="3" t="inlineStr">
        <is>
          <t>Rimborsi di garanzia pagati (lordi)</t>
        </is>
      </c>
      <c r="B287" s="4" t="inlineStr">
        <is>
          <t>€</t>
        </is>
      </c>
      <c r="C287" s="20">
        <f>C182*$H$76</f>
        <v/>
      </c>
      <c r="D287" s="20">
        <f>D182*$H$76</f>
        <v/>
      </c>
      <c r="E287" s="20">
        <f>E182*$H$76</f>
        <v/>
      </c>
      <c r="F287" s="20">
        <f>F182*$H$76</f>
        <v/>
      </c>
      <c r="G287" s="20">
        <f>G182*$H$76</f>
        <v/>
      </c>
      <c r="H287" s="20">
        <f>H182*$H$76</f>
        <v/>
      </c>
      <c r="I287" s="20">
        <f>I182*$H$76</f>
        <v/>
      </c>
      <c r="J287" s="20">
        <f>J182*$H$76</f>
        <v/>
      </c>
      <c r="K287" s="20">
        <f>K182*$H$76</f>
        <v/>
      </c>
      <c r="L287" s="20">
        <f>L182*$H$76</f>
        <v/>
      </c>
      <c r="M287" s="20">
        <f>M182*$H$76</f>
        <v/>
      </c>
      <c r="N287" s="20">
        <f>N182*$H$76</f>
        <v/>
      </c>
      <c r="O287" s="20">
        <f>O182*$H$76</f>
        <v/>
      </c>
      <c r="P287" s="20">
        <f>P182*$H$76</f>
        <v/>
      </c>
      <c r="Q287" s="20">
        <f>Q182*$H$76</f>
        <v/>
      </c>
      <c r="R287" s="20">
        <f>R182*$H$76</f>
        <v/>
      </c>
      <c r="S287" s="20">
        <f>S182*$H$76</f>
        <v/>
      </c>
      <c r="T287" s="20">
        <f>T182*$H$76</f>
        <v/>
      </c>
      <c r="U287" s="20">
        <f>U182*$H$76</f>
        <v/>
      </c>
      <c r="V287" s="20">
        <f>V182*$H$76</f>
        <v/>
      </c>
      <c r="W287" s="20">
        <f>W182*$H$76</f>
        <v/>
      </c>
      <c r="X287" s="20">
        <f>X182*$H$76</f>
        <v/>
      </c>
      <c r="Y287" s="20">
        <f>Y182*$H$76</f>
        <v/>
      </c>
      <c r="Z287" s="20">
        <f>Z182*$H$76</f>
        <v/>
      </c>
      <c r="AA287" s="20">
        <f>AA182*$H$76</f>
        <v/>
      </c>
      <c r="AB287" s="20">
        <f>AB182*$H$76</f>
        <v/>
      </c>
      <c r="AC287" s="20">
        <f>AC182*$H$76</f>
        <v/>
      </c>
      <c r="AD287" s="20">
        <f>AD182*$H$76</f>
        <v/>
      </c>
      <c r="AE287" s="20">
        <f>AE182*$H$76</f>
        <v/>
      </c>
      <c r="AF287" s="20">
        <f>AF182*$H$76</f>
        <v/>
      </c>
    </row>
    <row r="288">
      <c r="A288" s="3" t="inlineStr">
        <is>
          <t>IVA recuperata sui rimborsi</t>
        </is>
      </c>
      <c r="B288" s="4" t="inlineStr">
        <is>
          <t>€</t>
        </is>
      </c>
      <c r="C288" s="20">
        <f>C182*($H$76-$H$77)</f>
        <v/>
      </c>
      <c r="D288" s="20">
        <f>D182*($H$76-$H$77)</f>
        <v/>
      </c>
      <c r="E288" s="20">
        <f>E182*($H$76-$H$77)</f>
        <v/>
      </c>
      <c r="F288" s="20">
        <f>F182*($H$76-$H$77)</f>
        <v/>
      </c>
      <c r="G288" s="20">
        <f>G182*($H$76-$H$77)</f>
        <v/>
      </c>
      <c r="H288" s="20">
        <f>H182*($H$76-$H$77)</f>
        <v/>
      </c>
      <c r="I288" s="20">
        <f>I182*($H$76-$H$77)</f>
        <v/>
      </c>
      <c r="J288" s="20">
        <f>J182*($H$76-$H$77)</f>
        <v/>
      </c>
      <c r="K288" s="20">
        <f>K182*($H$76-$H$77)</f>
        <v/>
      </c>
      <c r="L288" s="20">
        <f>L182*($H$76-$H$77)</f>
        <v/>
      </c>
      <c r="M288" s="20">
        <f>M182*($H$76-$H$77)</f>
        <v/>
      </c>
      <c r="N288" s="20">
        <f>N182*($H$76-$H$77)</f>
        <v/>
      </c>
      <c r="O288" s="20">
        <f>O182*($H$76-$H$77)</f>
        <v/>
      </c>
      <c r="P288" s="20">
        <f>P182*($H$76-$H$77)</f>
        <v/>
      </c>
      <c r="Q288" s="20">
        <f>Q182*($H$76-$H$77)</f>
        <v/>
      </c>
      <c r="R288" s="20">
        <f>R182*($H$76-$H$77)</f>
        <v/>
      </c>
      <c r="S288" s="20">
        <f>S182*($H$76-$H$77)</f>
        <v/>
      </c>
      <c r="T288" s="20">
        <f>T182*($H$76-$H$77)</f>
        <v/>
      </c>
      <c r="U288" s="20">
        <f>U182*($H$76-$H$77)</f>
        <v/>
      </c>
      <c r="V288" s="20">
        <f>V182*($H$76-$H$77)</f>
        <v/>
      </c>
      <c r="W288" s="20">
        <f>W182*($H$76-$H$77)</f>
        <v/>
      </c>
      <c r="X288" s="20">
        <f>X182*($H$76-$H$77)</f>
        <v/>
      </c>
      <c r="Y288" s="20">
        <f>Y182*($H$76-$H$77)</f>
        <v/>
      </c>
      <c r="Z288" s="20">
        <f>Z182*($H$76-$H$77)</f>
        <v/>
      </c>
      <c r="AA288" s="20">
        <f>AA182*($H$76-$H$77)</f>
        <v/>
      </c>
      <c r="AB288" s="20">
        <f>AB182*($H$76-$H$77)</f>
        <v/>
      </c>
      <c r="AC288" s="20">
        <f>AC182*($H$76-$H$77)</f>
        <v/>
      </c>
      <c r="AD288" s="20">
        <f>AD182*($H$76-$H$77)</f>
        <v/>
      </c>
      <c r="AE288" s="20">
        <f>AE182*($H$76-$H$77)</f>
        <v/>
      </c>
      <c r="AF288" s="20">
        <f>AF182*($H$76-$H$77)</f>
        <v/>
      </c>
    </row>
    <row r="289">
      <c r="A289" s="3" t="inlineStr">
        <is>
          <t>Logistica (netto IVA)</t>
        </is>
      </c>
      <c r="B289" s="4" t="inlineStr">
        <is>
          <t>€</t>
        </is>
      </c>
      <c r="C289" s="20">
        <f>C112*$H$79+(C149-C112)*$C$79+C113*$I$79+(C215-C113)*$D$79+C114*$J$79+(C248-C114)*$E$79+C115*$K$79+(C281-C115)*$F$79</f>
        <v/>
      </c>
      <c r="D289" s="20">
        <f>D112*$H$79+(D149-D112)*$C$79+D113*$I$79+(D215-D113)*$D$79+D114*$J$79+(D248-D114)*$E$79+D115*$K$79+(D281-D115)*$F$79</f>
        <v/>
      </c>
      <c r="E289" s="20">
        <f>E112*$H$79+(E149-E112)*$C$79+E113*$I$79+(E215-E113)*$D$79+E114*$J$79+(E248-E114)*$E$79+E115*$K$79+(E281-E115)*$F$79</f>
        <v/>
      </c>
      <c r="F289" s="20">
        <f>F112*$H$79+(F149-F112)*$C$79+F113*$I$79+(F215-F113)*$D$79+F114*$J$79+(F248-F114)*$E$79+F115*$K$79+(F281-F115)*$F$79</f>
        <v/>
      </c>
      <c r="G289" s="20">
        <f>G112*$H$79+(G149-G112)*$C$79+G113*$I$79+(G215-G113)*$D$79+G114*$J$79+(G248-G114)*$E$79+G115*$K$79+(G281-G115)*$F$79</f>
        <v/>
      </c>
      <c r="H289" s="20">
        <f>H112*$H$79+(H149-H112)*$C$79+H113*$I$79+(H215-H113)*$D$79+H114*$J$79+(H248-H114)*$E$79+H115*$K$79+(H281-H115)*$F$79</f>
        <v/>
      </c>
      <c r="I289" s="20">
        <f>I112*$H$79+(I149-I112)*$C$79+I113*$I$79+(I215-I113)*$D$79+I114*$J$79+(I248-I114)*$E$79+I115*$K$79+(I281-I115)*$F$79</f>
        <v/>
      </c>
      <c r="J289" s="20">
        <f>J112*$H$79+(J149-J112)*$C$79+J113*$I$79+(J215-J113)*$D$79+J114*$J$79+(J248-J114)*$E$79+J115*$K$79+(J281-J115)*$F$79</f>
        <v/>
      </c>
      <c r="K289" s="20">
        <f>K112*$H$79+(K149-K112)*$C$79+K113*$I$79+(K215-K113)*$D$79+K114*$J$79+(K248-K114)*$E$79+K115*$K$79+(K281-K115)*$F$79</f>
        <v/>
      </c>
      <c r="L289" s="20">
        <f>L112*$H$79+(L149-L112)*$C$79+L113*$I$79+(L215-L113)*$D$79+L114*$J$79+(L248-L114)*$E$79+L115*$K$79+(L281-L115)*$F$79</f>
        <v/>
      </c>
      <c r="M289" s="20">
        <f>M112*$H$79+(M149-M112)*$C$79+M113*$I$79+(M215-M113)*$D$79+M114*$J$79+(M248-M114)*$E$79+M115*$K$79+(M281-M115)*$F$79</f>
        <v/>
      </c>
      <c r="N289" s="20">
        <f>N112*$H$79+(N149-N112)*$C$79+N113*$I$79+(N215-N113)*$D$79+N114*$J$79+(N248-N114)*$E$79+N115*$K$79+(N281-N115)*$F$79</f>
        <v/>
      </c>
      <c r="O289" s="20">
        <f>O112*$H$79+(O149-O112)*$C$79+O113*$I$79+(O215-O113)*$D$79+O114*$J$79+(O248-O114)*$E$79+O115*$K$79+(O281-O115)*$F$79</f>
        <v/>
      </c>
      <c r="P289" s="20">
        <f>P112*$H$79+(P149-P112)*$C$79+P113*$I$79+(P215-P113)*$D$79+P114*$J$79+(P248-P114)*$E$79+P115*$K$79+(P281-P115)*$F$79</f>
        <v/>
      </c>
      <c r="Q289" s="20">
        <f>Q112*$H$79+(Q149-Q112)*$C$79+Q113*$I$79+(Q215-Q113)*$D$79+Q114*$J$79+(Q248-Q114)*$E$79+Q115*$K$79+(Q281-Q115)*$F$79</f>
        <v/>
      </c>
      <c r="R289" s="20">
        <f>R112*$H$79+(R149-R112)*$C$79+R113*$I$79+(R215-R113)*$D$79+R114*$J$79+(R248-R114)*$E$79+R115*$K$79+(R281-R115)*$F$79</f>
        <v/>
      </c>
      <c r="S289" s="20">
        <f>S112*$H$79+(S149-S112)*$C$79+S113*$I$79+(S215-S113)*$D$79+S114*$J$79+(S248-S114)*$E$79+S115*$K$79+(S281-S115)*$F$79</f>
        <v/>
      </c>
      <c r="T289" s="20">
        <f>T112*$H$79+(T149-T112)*$C$79+T113*$I$79+(T215-T113)*$D$79+T114*$J$79+(T248-T114)*$E$79+T115*$K$79+(T281-T115)*$F$79</f>
        <v/>
      </c>
      <c r="U289" s="20">
        <f>U112*$H$79+(U149-U112)*$C$79+U113*$I$79+(U215-U113)*$D$79+U114*$J$79+(U248-U114)*$E$79+U115*$K$79+(U281-U115)*$F$79</f>
        <v/>
      </c>
      <c r="V289" s="20">
        <f>V112*$H$79+(V149-V112)*$C$79+V113*$I$79+(V215-V113)*$D$79+V114*$J$79+(V248-V114)*$E$79+V115*$K$79+(V281-V115)*$F$79</f>
        <v/>
      </c>
      <c r="W289" s="20">
        <f>W112*$H$79+(W149-W112)*$C$79+W113*$I$79+(W215-W113)*$D$79+W114*$J$79+(W248-W114)*$E$79+W115*$K$79+(W281-W115)*$F$79</f>
        <v/>
      </c>
      <c r="X289" s="20">
        <f>X112*$H$79+(X149-X112)*$C$79+X113*$I$79+(X215-X113)*$D$79+X114*$J$79+(X248-X114)*$E$79+X115*$K$79+(X281-X115)*$F$79</f>
        <v/>
      </c>
      <c r="Y289" s="20">
        <f>Y112*$H$79+(Y149-Y112)*$C$79+Y113*$I$79+(Y215-Y113)*$D$79+Y114*$J$79+(Y248-Y114)*$E$79+Y115*$K$79+(Y281-Y115)*$F$79</f>
        <v/>
      </c>
      <c r="Z289" s="20">
        <f>Z112*$H$79+(Z149-Z112)*$C$79+Z113*$I$79+(Z215-Z113)*$D$79+Z114*$J$79+(Z248-Z114)*$E$79+Z115*$K$79+(Z281-Z115)*$F$79</f>
        <v/>
      </c>
      <c r="AA289" s="20">
        <f>AA112*$H$79+(AA149-AA112)*$C$79+AA113*$I$79+(AA215-AA113)*$D$79+AA114*$J$79+(AA248-AA114)*$E$79+AA115*$K$79+(AA281-AA115)*$F$79</f>
        <v/>
      </c>
      <c r="AB289" s="20">
        <f>AB112*$H$79+(AB149-AB112)*$C$79+AB113*$I$79+(AB215-AB113)*$D$79+AB114*$J$79+(AB248-AB114)*$E$79+AB115*$K$79+(AB281-AB115)*$F$79</f>
        <v/>
      </c>
      <c r="AC289" s="20">
        <f>AC112*$H$79+(AC149-AC112)*$C$79+AC113*$I$79+(AC215-AC113)*$D$79+AC114*$J$79+(AC248-AC114)*$E$79+AC115*$K$79+(AC281-AC115)*$F$79</f>
        <v/>
      </c>
      <c r="AD289" s="20">
        <f>AD112*$H$79+(AD149-AD112)*$C$79+AD113*$I$79+(AD215-AD113)*$D$79+AD114*$J$79+(AD248-AD114)*$E$79+AD115*$K$79+(AD281-AD115)*$F$79</f>
        <v/>
      </c>
      <c r="AE289" s="20">
        <f>AE112*$H$79+(AE149-AE112)*$C$79+AE113*$I$79+(AE215-AE113)*$D$79+AE114*$J$79+(AE248-AE114)*$E$79+AE115*$K$79+(AE281-AE115)*$F$79</f>
        <v/>
      </c>
      <c r="AF289" s="20">
        <f>AF112*$H$79+(AF149-AF112)*$C$79+AF113*$I$79+(AF215-AF113)*$D$79+AF114*$J$79+(AF248-AF114)*$E$79+AF115*$K$79+(AF281-AF115)*$F$79</f>
        <v/>
      </c>
    </row>
    <row r="290">
      <c r="A290" s="3" t="inlineStr">
        <is>
          <t>Commissioni di incasso</t>
        </is>
      </c>
      <c r="B290" s="4" t="inlineStr">
        <is>
          <t>€</t>
        </is>
      </c>
      <c r="C290" s="20">
        <f>C112*$H$80+(C149-C112)*$C$80+C113*$I$80+(C215-C113)*$D$80+C114*$J$80+(C248-C114)*$E$80+C115*$K$80+(C281-C115)*$F$80</f>
        <v/>
      </c>
      <c r="D290" s="20">
        <f>D112*$H$80+(D149-D112)*$C$80+D113*$I$80+(D215-D113)*$D$80+D114*$J$80+(D248-D114)*$E$80+D115*$K$80+(D281-D115)*$F$80</f>
        <v/>
      </c>
      <c r="E290" s="20">
        <f>E112*$H$80+(E149-E112)*$C$80+E113*$I$80+(E215-E113)*$D$80+E114*$J$80+(E248-E114)*$E$80+E115*$K$80+(E281-E115)*$F$80</f>
        <v/>
      </c>
      <c r="F290" s="20">
        <f>F112*$H$80+(F149-F112)*$C$80+F113*$I$80+(F215-F113)*$D$80+F114*$J$80+(F248-F114)*$E$80+F115*$K$80+(F281-F115)*$F$80</f>
        <v/>
      </c>
      <c r="G290" s="20">
        <f>G112*$H$80+(G149-G112)*$C$80+G113*$I$80+(G215-G113)*$D$80+G114*$J$80+(G248-G114)*$E$80+G115*$K$80+(G281-G115)*$F$80</f>
        <v/>
      </c>
      <c r="H290" s="20">
        <f>H112*$H$80+(H149-H112)*$C$80+H113*$I$80+(H215-H113)*$D$80+H114*$J$80+(H248-H114)*$E$80+H115*$K$80+(H281-H115)*$F$80</f>
        <v/>
      </c>
      <c r="I290" s="20">
        <f>I112*$H$80+(I149-I112)*$C$80+I113*$I$80+(I215-I113)*$D$80+I114*$J$80+(I248-I114)*$E$80+I115*$K$80+(I281-I115)*$F$80</f>
        <v/>
      </c>
      <c r="J290" s="20">
        <f>J112*$H$80+(J149-J112)*$C$80+J113*$I$80+(J215-J113)*$D$80+J114*$J$80+(J248-J114)*$E$80+J115*$K$80+(J281-J115)*$F$80</f>
        <v/>
      </c>
      <c r="K290" s="20">
        <f>K112*$H$80+(K149-K112)*$C$80+K113*$I$80+(K215-K113)*$D$80+K114*$J$80+(K248-K114)*$E$80+K115*$K$80+(K281-K115)*$F$80</f>
        <v/>
      </c>
      <c r="L290" s="20">
        <f>L112*$H$80+(L149-L112)*$C$80+L113*$I$80+(L215-L113)*$D$80+L114*$J$80+(L248-L114)*$E$80+L115*$K$80+(L281-L115)*$F$80</f>
        <v/>
      </c>
      <c r="M290" s="20">
        <f>M112*$H$80+(M149-M112)*$C$80+M113*$I$80+(M215-M113)*$D$80+M114*$J$80+(M248-M114)*$E$80+M115*$K$80+(M281-M115)*$F$80</f>
        <v/>
      </c>
      <c r="N290" s="20">
        <f>N112*$H$80+(N149-N112)*$C$80+N113*$I$80+(N215-N113)*$D$80+N114*$J$80+(N248-N114)*$E$80+N115*$K$80+(N281-N115)*$F$80</f>
        <v/>
      </c>
      <c r="O290" s="20">
        <f>O112*$H$80+(O149-O112)*$C$80+O113*$I$80+(O215-O113)*$D$80+O114*$J$80+(O248-O114)*$E$80+O115*$K$80+(O281-O115)*$F$80</f>
        <v/>
      </c>
      <c r="P290" s="20">
        <f>P112*$H$80+(P149-P112)*$C$80+P113*$I$80+(P215-P113)*$D$80+P114*$J$80+(P248-P114)*$E$80+P115*$K$80+(P281-P115)*$F$80</f>
        <v/>
      </c>
      <c r="Q290" s="20">
        <f>Q112*$H$80+(Q149-Q112)*$C$80+Q113*$I$80+(Q215-Q113)*$D$80+Q114*$J$80+(Q248-Q114)*$E$80+Q115*$K$80+(Q281-Q115)*$F$80</f>
        <v/>
      </c>
      <c r="R290" s="20">
        <f>R112*$H$80+(R149-R112)*$C$80+R113*$I$80+(R215-R113)*$D$80+R114*$J$80+(R248-R114)*$E$80+R115*$K$80+(R281-R115)*$F$80</f>
        <v/>
      </c>
      <c r="S290" s="20">
        <f>S112*$H$80+(S149-S112)*$C$80+S113*$I$80+(S215-S113)*$D$80+S114*$J$80+(S248-S114)*$E$80+S115*$K$80+(S281-S115)*$F$80</f>
        <v/>
      </c>
      <c r="T290" s="20">
        <f>T112*$H$80+(T149-T112)*$C$80+T113*$I$80+(T215-T113)*$D$80+T114*$J$80+(T248-T114)*$E$80+T115*$K$80+(T281-T115)*$F$80</f>
        <v/>
      </c>
      <c r="U290" s="20">
        <f>U112*$H$80+(U149-U112)*$C$80+U113*$I$80+(U215-U113)*$D$80+U114*$J$80+(U248-U114)*$E$80+U115*$K$80+(U281-U115)*$F$80</f>
        <v/>
      </c>
      <c r="V290" s="20">
        <f>V112*$H$80+(V149-V112)*$C$80+V113*$I$80+(V215-V113)*$D$80+V114*$J$80+(V248-V114)*$E$80+V115*$K$80+(V281-V115)*$F$80</f>
        <v/>
      </c>
      <c r="W290" s="20">
        <f>W112*$H$80+(W149-W112)*$C$80+W113*$I$80+(W215-W113)*$D$80+W114*$J$80+(W248-W114)*$E$80+W115*$K$80+(W281-W115)*$F$80</f>
        <v/>
      </c>
      <c r="X290" s="20">
        <f>X112*$H$80+(X149-X112)*$C$80+X113*$I$80+(X215-X113)*$D$80+X114*$J$80+(X248-X114)*$E$80+X115*$K$80+(X281-X115)*$F$80</f>
        <v/>
      </c>
      <c r="Y290" s="20">
        <f>Y112*$H$80+(Y149-Y112)*$C$80+Y113*$I$80+(Y215-Y113)*$D$80+Y114*$J$80+(Y248-Y114)*$E$80+Y115*$K$80+(Y281-Y115)*$F$80</f>
        <v/>
      </c>
      <c r="Z290" s="20">
        <f>Z112*$H$80+(Z149-Z112)*$C$80+Z113*$I$80+(Z215-Z113)*$D$80+Z114*$J$80+(Z248-Z114)*$E$80+Z115*$K$80+(Z281-Z115)*$F$80</f>
        <v/>
      </c>
      <c r="AA290" s="20">
        <f>AA112*$H$80+(AA149-AA112)*$C$80+AA113*$I$80+(AA215-AA113)*$D$80+AA114*$J$80+(AA248-AA114)*$E$80+AA115*$K$80+(AA281-AA115)*$F$80</f>
        <v/>
      </c>
      <c r="AB290" s="20">
        <f>AB112*$H$80+(AB149-AB112)*$C$80+AB113*$I$80+(AB215-AB113)*$D$80+AB114*$J$80+(AB248-AB114)*$E$80+AB115*$K$80+(AB281-AB115)*$F$80</f>
        <v/>
      </c>
      <c r="AC290" s="20">
        <f>AC112*$H$80+(AC149-AC112)*$C$80+AC113*$I$80+(AC215-AC113)*$D$80+AC114*$J$80+(AC248-AC114)*$E$80+AC115*$K$80+(AC281-AC115)*$F$80</f>
        <v/>
      </c>
      <c r="AD290" s="20">
        <f>AD112*$H$80+(AD149-AD112)*$C$80+AD113*$I$80+(AD215-AD113)*$D$80+AD114*$J$80+(AD248-AD114)*$E$80+AD115*$K$80+(AD281-AD115)*$F$80</f>
        <v/>
      </c>
      <c r="AE290" s="20">
        <f>AE112*$H$80+(AE149-AE112)*$C$80+AE113*$I$80+(AE215-AE113)*$D$80+AE114*$J$80+(AE248-AE114)*$E$80+AE115*$K$80+(AE281-AE115)*$F$80</f>
        <v/>
      </c>
      <c r="AF290" s="20">
        <f>AF112*$H$80+(AF149-AF112)*$C$80+AF113*$I$80+(AF215-AF113)*$D$80+AF114*$J$80+(AF248-AF114)*$E$80+AF115*$K$80+(AF281-AF115)*$F$80</f>
        <v/>
      </c>
    </row>
    <row r="291">
      <c r="A291" s="3" t="inlineStr">
        <is>
          <t>Assistenza e resi ordinari</t>
        </is>
      </c>
      <c r="B291" s="4" t="inlineStr">
        <is>
          <t>€</t>
        </is>
      </c>
      <c r="C291" s="20">
        <f>C112*$H$81+(C149-C112)*$C$81+C113*$I$81+(C215-C113)*$D$81+C114*$J$81+(C248-C114)*$E$81+C115*$K$81+(C281-C115)*$F$81</f>
        <v/>
      </c>
      <c r="D291" s="20">
        <f>D112*$H$81+(D149-D112)*$C$81+D113*$I$81+(D215-D113)*$D$81+D114*$J$81+(D248-D114)*$E$81+D115*$K$81+(D281-D115)*$F$81</f>
        <v/>
      </c>
      <c r="E291" s="20">
        <f>E112*$H$81+(E149-E112)*$C$81+E113*$I$81+(E215-E113)*$D$81+E114*$J$81+(E248-E114)*$E$81+E115*$K$81+(E281-E115)*$F$81</f>
        <v/>
      </c>
      <c r="F291" s="20">
        <f>F112*$H$81+(F149-F112)*$C$81+F113*$I$81+(F215-F113)*$D$81+F114*$J$81+(F248-F114)*$E$81+F115*$K$81+(F281-F115)*$F$81</f>
        <v/>
      </c>
      <c r="G291" s="20">
        <f>G112*$H$81+(G149-G112)*$C$81+G113*$I$81+(G215-G113)*$D$81+G114*$J$81+(G248-G114)*$E$81+G115*$K$81+(G281-G115)*$F$81</f>
        <v/>
      </c>
      <c r="H291" s="20">
        <f>H112*$H$81+(H149-H112)*$C$81+H113*$I$81+(H215-H113)*$D$81+H114*$J$81+(H248-H114)*$E$81+H115*$K$81+(H281-H115)*$F$81</f>
        <v/>
      </c>
      <c r="I291" s="20">
        <f>I112*$H$81+(I149-I112)*$C$81+I113*$I$81+(I215-I113)*$D$81+I114*$J$81+(I248-I114)*$E$81+I115*$K$81+(I281-I115)*$F$81</f>
        <v/>
      </c>
      <c r="J291" s="20">
        <f>J112*$H$81+(J149-J112)*$C$81+J113*$I$81+(J215-J113)*$D$81+J114*$J$81+(J248-J114)*$E$81+J115*$K$81+(J281-J115)*$F$81</f>
        <v/>
      </c>
      <c r="K291" s="20">
        <f>K112*$H$81+(K149-K112)*$C$81+K113*$I$81+(K215-K113)*$D$81+K114*$J$81+(K248-K114)*$E$81+K115*$K$81+(K281-K115)*$F$81</f>
        <v/>
      </c>
      <c r="L291" s="20">
        <f>L112*$H$81+(L149-L112)*$C$81+L113*$I$81+(L215-L113)*$D$81+L114*$J$81+(L248-L114)*$E$81+L115*$K$81+(L281-L115)*$F$81</f>
        <v/>
      </c>
      <c r="M291" s="20">
        <f>M112*$H$81+(M149-M112)*$C$81+M113*$I$81+(M215-M113)*$D$81+M114*$J$81+(M248-M114)*$E$81+M115*$K$81+(M281-M115)*$F$81</f>
        <v/>
      </c>
      <c r="N291" s="20">
        <f>N112*$H$81+(N149-N112)*$C$81+N113*$I$81+(N215-N113)*$D$81+N114*$J$81+(N248-N114)*$E$81+N115*$K$81+(N281-N115)*$F$81</f>
        <v/>
      </c>
      <c r="O291" s="20">
        <f>O112*$H$81+(O149-O112)*$C$81+O113*$I$81+(O215-O113)*$D$81+O114*$J$81+(O248-O114)*$E$81+O115*$K$81+(O281-O115)*$F$81</f>
        <v/>
      </c>
      <c r="P291" s="20">
        <f>P112*$H$81+(P149-P112)*$C$81+P113*$I$81+(P215-P113)*$D$81+P114*$J$81+(P248-P114)*$E$81+P115*$K$81+(P281-P115)*$F$81</f>
        <v/>
      </c>
      <c r="Q291" s="20">
        <f>Q112*$H$81+(Q149-Q112)*$C$81+Q113*$I$81+(Q215-Q113)*$D$81+Q114*$J$81+(Q248-Q114)*$E$81+Q115*$K$81+(Q281-Q115)*$F$81</f>
        <v/>
      </c>
      <c r="R291" s="20">
        <f>R112*$H$81+(R149-R112)*$C$81+R113*$I$81+(R215-R113)*$D$81+R114*$J$81+(R248-R114)*$E$81+R115*$K$81+(R281-R115)*$F$81</f>
        <v/>
      </c>
      <c r="S291" s="20">
        <f>S112*$H$81+(S149-S112)*$C$81+S113*$I$81+(S215-S113)*$D$81+S114*$J$81+(S248-S114)*$E$81+S115*$K$81+(S281-S115)*$F$81</f>
        <v/>
      </c>
      <c r="T291" s="20">
        <f>T112*$H$81+(T149-T112)*$C$81+T113*$I$81+(T215-T113)*$D$81+T114*$J$81+(T248-T114)*$E$81+T115*$K$81+(T281-T115)*$F$81</f>
        <v/>
      </c>
      <c r="U291" s="20">
        <f>U112*$H$81+(U149-U112)*$C$81+U113*$I$81+(U215-U113)*$D$81+U114*$J$81+(U248-U114)*$E$81+U115*$K$81+(U281-U115)*$F$81</f>
        <v/>
      </c>
      <c r="V291" s="20">
        <f>V112*$H$81+(V149-V112)*$C$81+V113*$I$81+(V215-V113)*$D$81+V114*$J$81+(V248-V114)*$E$81+V115*$K$81+(V281-V115)*$F$81</f>
        <v/>
      </c>
      <c r="W291" s="20">
        <f>W112*$H$81+(W149-W112)*$C$81+W113*$I$81+(W215-W113)*$D$81+W114*$J$81+(W248-W114)*$E$81+W115*$K$81+(W281-W115)*$F$81</f>
        <v/>
      </c>
      <c r="X291" s="20">
        <f>X112*$H$81+(X149-X112)*$C$81+X113*$I$81+(X215-X113)*$D$81+X114*$J$81+(X248-X114)*$E$81+X115*$K$81+(X281-X115)*$F$81</f>
        <v/>
      </c>
      <c r="Y291" s="20">
        <f>Y112*$H$81+(Y149-Y112)*$C$81+Y113*$I$81+(Y215-Y113)*$D$81+Y114*$J$81+(Y248-Y114)*$E$81+Y115*$K$81+(Y281-Y115)*$F$81</f>
        <v/>
      </c>
      <c r="Z291" s="20">
        <f>Z112*$H$81+(Z149-Z112)*$C$81+Z113*$I$81+(Z215-Z113)*$D$81+Z114*$J$81+(Z248-Z114)*$E$81+Z115*$K$81+(Z281-Z115)*$F$81</f>
        <v/>
      </c>
      <c r="AA291" s="20">
        <f>AA112*$H$81+(AA149-AA112)*$C$81+AA113*$I$81+(AA215-AA113)*$D$81+AA114*$J$81+(AA248-AA114)*$E$81+AA115*$K$81+(AA281-AA115)*$F$81</f>
        <v/>
      </c>
      <c r="AB291" s="20">
        <f>AB112*$H$81+(AB149-AB112)*$C$81+AB113*$I$81+(AB215-AB113)*$D$81+AB114*$J$81+(AB248-AB114)*$E$81+AB115*$K$81+(AB281-AB115)*$F$81</f>
        <v/>
      </c>
      <c r="AC291" s="20">
        <f>AC112*$H$81+(AC149-AC112)*$C$81+AC113*$I$81+(AC215-AC113)*$D$81+AC114*$J$81+(AC248-AC114)*$E$81+AC115*$K$81+(AC281-AC115)*$F$81</f>
        <v/>
      </c>
      <c r="AD291" s="20">
        <f>AD112*$H$81+(AD149-AD112)*$C$81+AD113*$I$81+(AD215-AD113)*$D$81+AD114*$J$81+(AD248-AD114)*$E$81+AD115*$K$81+(AD281-AD115)*$F$81</f>
        <v/>
      </c>
      <c r="AE291" s="20">
        <f>AE112*$H$81+(AE149-AE112)*$C$81+AE113*$I$81+(AE215-AE113)*$D$81+AE114*$J$81+(AE248-AE114)*$E$81+AE115*$K$81+(AE281-AE115)*$F$81</f>
        <v/>
      </c>
      <c r="AF291" s="20">
        <f>AF112*$H$81+(AF149-AF112)*$C$81+AF113*$I$81+(AF215-AF113)*$D$81+AF114*$J$81+(AF248-AF114)*$E$81+AF115*$K$81+(AF281-AF115)*$F$81</f>
        <v/>
      </c>
    </row>
    <row r="292">
      <c r="A292" s="3" t="inlineStr">
        <is>
          <t>Costo del prodotto venduto (competenza)</t>
        </is>
      </c>
      <c r="B292" s="4" t="inlineStr">
        <is>
          <t>€</t>
        </is>
      </c>
      <c r="C292" s="20">
        <f>C112*$H$78+(C149-C112)*$C$78+C113*$I$78+(C215-C113)*$D$78+C114*$J$78+(C248-C114)*$E$78+C115*$K$78+(C281-C115)*$F$78</f>
        <v/>
      </c>
      <c r="D292" s="20">
        <f>D112*$H$78+(D149-D112)*$C$78+D113*$I$78+(D215-D113)*$D$78+D114*$J$78+(D248-D114)*$E$78+D115*$K$78+(D281-D115)*$F$78</f>
        <v/>
      </c>
      <c r="E292" s="20">
        <f>E112*$H$78+(E149-E112)*$C$78+E113*$I$78+(E215-E113)*$D$78+E114*$J$78+(E248-E114)*$E$78+E115*$K$78+(E281-E115)*$F$78</f>
        <v/>
      </c>
      <c r="F292" s="20">
        <f>F112*$H$78+(F149-F112)*$C$78+F113*$I$78+(F215-F113)*$D$78+F114*$J$78+(F248-F114)*$E$78+F115*$K$78+(F281-F115)*$F$78</f>
        <v/>
      </c>
      <c r="G292" s="20">
        <f>G112*$H$78+(G149-G112)*$C$78+G113*$I$78+(G215-G113)*$D$78+G114*$J$78+(G248-G114)*$E$78+G115*$K$78+(G281-G115)*$F$78</f>
        <v/>
      </c>
      <c r="H292" s="20">
        <f>H112*$H$78+(H149-H112)*$C$78+H113*$I$78+(H215-H113)*$D$78+H114*$J$78+(H248-H114)*$E$78+H115*$K$78+(H281-H115)*$F$78</f>
        <v/>
      </c>
      <c r="I292" s="20">
        <f>I112*$H$78+(I149-I112)*$C$78+I113*$I$78+(I215-I113)*$D$78+I114*$J$78+(I248-I114)*$E$78+I115*$K$78+(I281-I115)*$F$78</f>
        <v/>
      </c>
      <c r="J292" s="20">
        <f>J112*$H$78+(J149-J112)*$C$78+J113*$I$78+(J215-J113)*$D$78+J114*$J$78+(J248-J114)*$E$78+J115*$K$78+(J281-J115)*$F$78</f>
        <v/>
      </c>
      <c r="K292" s="20">
        <f>K112*$H$78+(K149-K112)*$C$78+K113*$I$78+(K215-K113)*$D$78+K114*$J$78+(K248-K114)*$E$78+K115*$K$78+(K281-K115)*$F$78</f>
        <v/>
      </c>
      <c r="L292" s="20">
        <f>L112*$H$78+(L149-L112)*$C$78+L113*$I$78+(L215-L113)*$D$78+L114*$J$78+(L248-L114)*$E$78+L115*$K$78+(L281-L115)*$F$78</f>
        <v/>
      </c>
      <c r="M292" s="20">
        <f>M112*$H$78+(M149-M112)*$C$78+M113*$I$78+(M215-M113)*$D$78+M114*$J$78+(M248-M114)*$E$78+M115*$K$78+(M281-M115)*$F$78</f>
        <v/>
      </c>
      <c r="N292" s="20">
        <f>N112*$H$78+(N149-N112)*$C$78+N113*$I$78+(N215-N113)*$D$78+N114*$J$78+(N248-N114)*$E$78+N115*$K$78+(N281-N115)*$F$78</f>
        <v/>
      </c>
      <c r="O292" s="20">
        <f>O112*$H$78+(O149-O112)*$C$78+O113*$I$78+(O215-O113)*$D$78+O114*$J$78+(O248-O114)*$E$78+O115*$K$78+(O281-O115)*$F$78</f>
        <v/>
      </c>
      <c r="P292" s="20">
        <f>P112*$H$78+(P149-P112)*$C$78+P113*$I$78+(P215-P113)*$D$78+P114*$J$78+(P248-P114)*$E$78+P115*$K$78+(P281-P115)*$F$78</f>
        <v/>
      </c>
      <c r="Q292" s="20">
        <f>Q112*$H$78+(Q149-Q112)*$C$78+Q113*$I$78+(Q215-Q113)*$D$78+Q114*$J$78+(Q248-Q114)*$E$78+Q115*$K$78+(Q281-Q115)*$F$78</f>
        <v/>
      </c>
      <c r="R292" s="20">
        <f>R112*$H$78+(R149-R112)*$C$78+R113*$I$78+(R215-R113)*$D$78+R114*$J$78+(R248-R114)*$E$78+R115*$K$78+(R281-R115)*$F$78</f>
        <v/>
      </c>
      <c r="S292" s="20">
        <f>S112*$H$78+(S149-S112)*$C$78+S113*$I$78+(S215-S113)*$D$78+S114*$J$78+(S248-S114)*$E$78+S115*$K$78+(S281-S115)*$F$78</f>
        <v/>
      </c>
      <c r="T292" s="20">
        <f>T112*$H$78+(T149-T112)*$C$78+T113*$I$78+(T215-T113)*$D$78+T114*$J$78+(T248-T114)*$E$78+T115*$K$78+(T281-T115)*$F$78</f>
        <v/>
      </c>
      <c r="U292" s="20">
        <f>U112*$H$78+(U149-U112)*$C$78+U113*$I$78+(U215-U113)*$D$78+U114*$J$78+(U248-U114)*$E$78+U115*$K$78+(U281-U115)*$F$78</f>
        <v/>
      </c>
      <c r="V292" s="20">
        <f>V112*$H$78+(V149-V112)*$C$78+V113*$I$78+(V215-V113)*$D$78+V114*$J$78+(V248-V114)*$E$78+V115*$K$78+(V281-V115)*$F$78</f>
        <v/>
      </c>
      <c r="W292" s="20">
        <f>W112*$H$78+(W149-W112)*$C$78+W113*$I$78+(W215-W113)*$D$78+W114*$J$78+(W248-W114)*$E$78+W115*$K$78+(W281-W115)*$F$78</f>
        <v/>
      </c>
      <c r="X292" s="20">
        <f>X112*$H$78+(X149-X112)*$C$78+X113*$I$78+(X215-X113)*$D$78+X114*$J$78+(X248-X114)*$E$78+X115*$K$78+(X281-X115)*$F$78</f>
        <v/>
      </c>
      <c r="Y292" s="20">
        <f>Y112*$H$78+(Y149-Y112)*$C$78+Y113*$I$78+(Y215-Y113)*$D$78+Y114*$J$78+(Y248-Y114)*$E$78+Y115*$K$78+(Y281-Y115)*$F$78</f>
        <v/>
      </c>
      <c r="Z292" s="20">
        <f>Z112*$H$78+(Z149-Z112)*$C$78+Z113*$I$78+(Z215-Z113)*$D$78+Z114*$J$78+(Z248-Z114)*$E$78+Z115*$K$78+(Z281-Z115)*$F$78</f>
        <v/>
      </c>
      <c r="AA292" s="20">
        <f>AA112*$H$78+(AA149-AA112)*$C$78+AA113*$I$78+(AA215-AA113)*$D$78+AA114*$J$78+(AA248-AA114)*$E$78+AA115*$K$78+(AA281-AA115)*$F$78</f>
        <v/>
      </c>
      <c r="AB292" s="20">
        <f>AB112*$H$78+(AB149-AB112)*$C$78+AB113*$I$78+(AB215-AB113)*$D$78+AB114*$J$78+(AB248-AB114)*$E$78+AB115*$K$78+(AB281-AB115)*$F$78</f>
        <v/>
      </c>
      <c r="AC292" s="20">
        <f>AC112*$H$78+(AC149-AC112)*$C$78+AC113*$I$78+(AC215-AC113)*$D$78+AC114*$J$78+(AC248-AC114)*$E$78+AC115*$K$78+(AC281-AC115)*$F$78</f>
        <v/>
      </c>
      <c r="AD292" s="20">
        <f>AD112*$H$78+(AD149-AD112)*$C$78+AD113*$I$78+(AD215-AD113)*$D$78+AD114*$J$78+(AD248-AD114)*$E$78+AD115*$K$78+(AD281-AD115)*$F$78</f>
        <v/>
      </c>
      <c r="AE292" s="20">
        <f>AE112*$H$78+(AE149-AE112)*$C$78+AE113*$I$78+(AE215-AE113)*$D$78+AE114*$J$78+(AE248-AE114)*$E$78+AE115*$K$78+(AE281-AE115)*$F$78</f>
        <v/>
      </c>
      <c r="AF292" s="20">
        <f>AF112*$H$78+(AF149-AF112)*$C$78+AF113*$I$78+(AF215-AF113)*$D$78+AF114*$J$78+(AF248-AF114)*$E$78+AF115*$K$78+(AF281-AF115)*$F$78</f>
        <v/>
      </c>
    </row>
    <row r="293">
      <c r="A293" s="3" t="inlineStr">
        <is>
          <t>Flaconi spediti con gli ordini</t>
        </is>
      </c>
      <c r="C293" s="24">
        <f>C149*$C$49+C215*$C$50+C248*$C$51+C281*$C$52</f>
        <v/>
      </c>
      <c r="D293" s="24">
        <f>D149*$C$49+D215*$C$50+D248*$C$51+D281*$C$52</f>
        <v/>
      </c>
      <c r="E293" s="24">
        <f>E149*$C$49+E215*$C$50+E248*$C$51+E281*$C$52</f>
        <v/>
      </c>
      <c r="F293" s="24">
        <f>F149*$C$49+F215*$C$50+F248*$C$51+F281*$C$52</f>
        <v/>
      </c>
      <c r="G293" s="24">
        <f>G149*$C$49+G215*$C$50+G248*$C$51+G281*$C$52</f>
        <v/>
      </c>
      <c r="H293" s="24">
        <f>H149*$C$49+H215*$C$50+H248*$C$51+H281*$C$52</f>
        <v/>
      </c>
      <c r="I293" s="24">
        <f>I149*$C$49+I215*$C$50+I248*$C$51+I281*$C$52</f>
        <v/>
      </c>
      <c r="J293" s="24">
        <f>J149*$C$49+J215*$C$50+J248*$C$51+J281*$C$52</f>
        <v/>
      </c>
      <c r="K293" s="24">
        <f>K149*$C$49+K215*$C$50+K248*$C$51+K281*$C$52</f>
        <v/>
      </c>
      <c r="L293" s="24">
        <f>L149*$C$49+L215*$C$50+L248*$C$51+L281*$C$52</f>
        <v/>
      </c>
      <c r="M293" s="24">
        <f>M149*$C$49+M215*$C$50+M248*$C$51+M281*$C$52</f>
        <v/>
      </c>
      <c r="N293" s="24">
        <f>N149*$C$49+N215*$C$50+N248*$C$51+N281*$C$52</f>
        <v/>
      </c>
      <c r="O293" s="24">
        <f>O149*$C$49+O215*$C$50+O248*$C$51+O281*$C$52</f>
        <v/>
      </c>
      <c r="P293" s="24">
        <f>P149*$C$49+P215*$C$50+P248*$C$51+P281*$C$52</f>
        <v/>
      </c>
      <c r="Q293" s="24">
        <f>Q149*$C$49+Q215*$C$50+Q248*$C$51+Q281*$C$52</f>
        <v/>
      </c>
      <c r="R293" s="24">
        <f>R149*$C$49+R215*$C$50+R248*$C$51+R281*$C$52</f>
        <v/>
      </c>
      <c r="S293" s="24">
        <f>S149*$C$49+S215*$C$50+S248*$C$51+S281*$C$52</f>
        <v/>
      </c>
      <c r="T293" s="24">
        <f>T149*$C$49+T215*$C$50+T248*$C$51+T281*$C$52</f>
        <v/>
      </c>
      <c r="U293" s="24">
        <f>U149*$C$49+U215*$C$50+U248*$C$51+U281*$C$52</f>
        <v/>
      </c>
      <c r="V293" s="24">
        <f>V149*$C$49+V215*$C$50+V248*$C$51+V281*$C$52</f>
        <v/>
      </c>
      <c r="W293" s="24">
        <f>W149*$C$49+W215*$C$50+W248*$C$51+W281*$C$52</f>
        <v/>
      </c>
      <c r="X293" s="24">
        <f>X149*$C$49+X215*$C$50+X248*$C$51+X281*$C$52</f>
        <v/>
      </c>
      <c r="Y293" s="24">
        <f>Y149*$C$49+Y215*$C$50+Y248*$C$51+Y281*$C$52</f>
        <v/>
      </c>
      <c r="Z293" s="24">
        <f>Z149*$C$49+Z215*$C$50+Z248*$C$51+Z281*$C$52</f>
        <v/>
      </c>
      <c r="AA293" s="24">
        <f>AA149*$C$49+AA215*$C$50+AA248*$C$51+AA281*$C$52</f>
        <v/>
      </c>
      <c r="AB293" s="24">
        <f>AB149*$C$49+AB215*$C$50+AB248*$C$51+AB281*$C$52</f>
        <v/>
      </c>
      <c r="AC293" s="24">
        <f>AC149*$C$49+AC215*$C$50+AC248*$C$51+AC281*$C$52</f>
        <v/>
      </c>
      <c r="AD293" s="24">
        <f>AD149*$C$49+AD215*$C$50+AD248*$C$51+AD281*$C$52</f>
        <v/>
      </c>
      <c r="AE293" s="24">
        <f>AE149*$C$49+AE215*$C$50+AE248*$C$51+AE281*$C$52</f>
        <v/>
      </c>
      <c r="AF293" s="24">
        <f>AF149*$C$49+AF215*$C$50+AF248*$C$51+AF281*$C$52</f>
        <v/>
      </c>
    </row>
    <row r="294">
      <c r="A294" s="3" t="inlineStr">
        <is>
          <t>Campioni</t>
        </is>
      </c>
      <c r="C294" s="24">
        <f>IF(C106=0,$C$67,IF(C106&gt;0,$C$68,0))</f>
        <v/>
      </c>
      <c r="D294" s="24">
        <f>IF(D106=0,$C$67,IF(D106&gt;0,$C$68,0))</f>
        <v/>
      </c>
      <c r="E294" s="24">
        <f>IF(E106=0,$C$67,IF(E106&gt;0,$C$68,0))</f>
        <v/>
      </c>
      <c r="F294" s="24">
        <f>IF(F106=0,$C$67,IF(F106&gt;0,$C$68,0))</f>
        <v/>
      </c>
      <c r="G294" s="24">
        <f>IF(G106=0,$C$67,IF(G106&gt;0,$C$68,0))</f>
        <v/>
      </c>
      <c r="H294" s="24">
        <f>IF(H106=0,$C$67,IF(H106&gt;0,$C$68,0))</f>
        <v/>
      </c>
      <c r="I294" s="24">
        <f>IF(I106=0,$C$67,IF(I106&gt;0,$C$68,0))</f>
        <v/>
      </c>
      <c r="J294" s="24">
        <f>IF(J106=0,$C$67,IF(J106&gt;0,$C$68,0))</f>
        <v/>
      </c>
      <c r="K294" s="24">
        <f>IF(K106=0,$C$67,IF(K106&gt;0,$C$68,0))</f>
        <v/>
      </c>
      <c r="L294" s="24">
        <f>IF(L106=0,$C$67,IF(L106&gt;0,$C$68,0))</f>
        <v/>
      </c>
      <c r="M294" s="24">
        <f>IF(M106=0,$C$67,IF(M106&gt;0,$C$68,0))</f>
        <v/>
      </c>
      <c r="N294" s="24">
        <f>IF(N106=0,$C$67,IF(N106&gt;0,$C$68,0))</f>
        <v/>
      </c>
      <c r="O294" s="24">
        <f>IF(O106=0,$C$67,IF(O106&gt;0,$C$68,0))</f>
        <v/>
      </c>
      <c r="P294" s="24">
        <f>IF(P106=0,$C$67,IF(P106&gt;0,$C$68,0))</f>
        <v/>
      </c>
      <c r="Q294" s="24">
        <f>IF(Q106=0,$C$67,IF(Q106&gt;0,$C$68,0))</f>
        <v/>
      </c>
      <c r="R294" s="24">
        <f>IF(R106=0,$C$67,IF(R106&gt;0,$C$68,0))</f>
        <v/>
      </c>
      <c r="S294" s="24">
        <f>IF(S106=0,$C$67,IF(S106&gt;0,$C$68,0))</f>
        <v/>
      </c>
      <c r="T294" s="24">
        <f>IF(T106=0,$C$67,IF(T106&gt;0,$C$68,0))</f>
        <v/>
      </c>
      <c r="U294" s="24">
        <f>IF(U106=0,$C$67,IF(U106&gt;0,$C$68,0))</f>
        <v/>
      </c>
      <c r="V294" s="24">
        <f>IF(V106=0,$C$67,IF(V106&gt;0,$C$68,0))</f>
        <v/>
      </c>
      <c r="W294" s="24">
        <f>IF(W106=0,$C$67,IF(W106&gt;0,$C$68,0))</f>
        <v/>
      </c>
      <c r="X294" s="24">
        <f>IF(X106=0,$C$67,IF(X106&gt;0,$C$68,0))</f>
        <v/>
      </c>
      <c r="Y294" s="24">
        <f>IF(Y106=0,$C$67,IF(Y106&gt;0,$C$68,0))</f>
        <v/>
      </c>
      <c r="Z294" s="24">
        <f>IF(Z106=0,$C$67,IF(Z106&gt;0,$C$68,0))</f>
        <v/>
      </c>
      <c r="AA294" s="24">
        <f>IF(AA106=0,$C$67,IF(AA106&gt;0,$C$68,0))</f>
        <v/>
      </c>
      <c r="AB294" s="24">
        <f>IF(AB106=0,$C$67,IF(AB106&gt;0,$C$68,0))</f>
        <v/>
      </c>
      <c r="AC294" s="24">
        <f>IF(AC106=0,$C$67,IF(AC106&gt;0,$C$68,0))</f>
        <v/>
      </c>
      <c r="AD294" s="24">
        <f>IF(AD106=0,$C$67,IF(AD106&gt;0,$C$68,0))</f>
        <v/>
      </c>
      <c r="AE294" s="24">
        <f>IF(AE106=0,$C$67,IF(AE106&gt;0,$C$68,0))</f>
        <v/>
      </c>
      <c r="AF294" s="24">
        <f>IF(AF106=0,$C$67,IF(AF106&gt;0,$C$68,0))</f>
        <v/>
      </c>
    </row>
    <row r="295">
      <c r="A295" s="3" t="inlineStr">
        <is>
          <t>Sostituzioni</t>
        </is>
      </c>
      <c r="C295" s="24">
        <f>C293*$C$69</f>
        <v/>
      </c>
      <c r="D295" s="24">
        <f>D293*$C$69</f>
        <v/>
      </c>
      <c r="E295" s="24">
        <f>E293*$C$69</f>
        <v/>
      </c>
      <c r="F295" s="24">
        <f>F293*$C$69</f>
        <v/>
      </c>
      <c r="G295" s="24">
        <f>G293*$C$69</f>
        <v/>
      </c>
      <c r="H295" s="24">
        <f>H293*$C$69</f>
        <v/>
      </c>
      <c r="I295" s="24">
        <f>I293*$C$69</f>
        <v/>
      </c>
      <c r="J295" s="24">
        <f>J293*$C$69</f>
        <v/>
      </c>
      <c r="K295" s="24">
        <f>K293*$C$69</f>
        <v/>
      </c>
      <c r="L295" s="24">
        <f>L293*$C$69</f>
        <v/>
      </c>
      <c r="M295" s="24">
        <f>M293*$C$69</f>
        <v/>
      </c>
      <c r="N295" s="24">
        <f>N293*$C$69</f>
        <v/>
      </c>
      <c r="O295" s="24">
        <f>O293*$C$69</f>
        <v/>
      </c>
      <c r="P295" s="24">
        <f>P293*$C$69</f>
        <v/>
      </c>
      <c r="Q295" s="24">
        <f>Q293*$C$69</f>
        <v/>
      </c>
      <c r="R295" s="24">
        <f>R293*$C$69</f>
        <v/>
      </c>
      <c r="S295" s="24">
        <f>S293*$C$69</f>
        <v/>
      </c>
      <c r="T295" s="24">
        <f>T293*$C$69</f>
        <v/>
      </c>
      <c r="U295" s="24">
        <f>U293*$C$69</f>
        <v/>
      </c>
      <c r="V295" s="24">
        <f>V293*$C$69</f>
        <v/>
      </c>
      <c r="W295" s="24">
        <f>W293*$C$69</f>
        <v/>
      </c>
      <c r="X295" s="24">
        <f>X293*$C$69</f>
        <v/>
      </c>
      <c r="Y295" s="24">
        <f>Y293*$C$69</f>
        <v/>
      </c>
      <c r="Z295" s="24">
        <f>Z293*$C$69</f>
        <v/>
      </c>
      <c r="AA295" s="24">
        <f>AA293*$C$69</f>
        <v/>
      </c>
      <c r="AB295" s="24">
        <f>AB293*$C$69</f>
        <v/>
      </c>
      <c r="AC295" s="24">
        <f>AC293*$C$69</f>
        <v/>
      </c>
      <c r="AD295" s="24">
        <f>AD293*$C$69</f>
        <v/>
      </c>
      <c r="AE295" s="24">
        <f>AE293*$C$69</f>
        <v/>
      </c>
      <c r="AF295" s="24">
        <f>AF293*$C$69</f>
        <v/>
      </c>
    </row>
    <row r="297">
      <c r="A297" s="10" t="inlineStr">
        <is>
          <t>Costi di progetto nello scenario (mese effettivo)</t>
        </is>
      </c>
      <c r="C297" s="2" t="inlineStr">
        <is>
          <t>Mese</t>
        </is>
      </c>
      <c r="D297" s="2" t="inlineStr">
        <is>
          <t>Importo</t>
        </is>
      </c>
      <c r="E297" s="2" t="inlineStr">
        <is>
          <t>IVA</t>
        </is>
      </c>
    </row>
    <row r="298">
      <c r="A298" s="21">
        <f>Progetto!A5</f>
        <v/>
      </c>
      <c r="C298" s="21">
        <f>Progetto!B5+IF(Progetto!C5="sì",$C$6-16,0)</f>
        <v/>
      </c>
      <c r="D298" s="6">
        <f>Progetto!D5</f>
        <v/>
      </c>
      <c r="E298" s="6">
        <f>Progetto!D5*Progetto!E5*$C$44</f>
        <v/>
      </c>
    </row>
    <row r="299">
      <c r="A299" s="21">
        <f>Progetto!A6</f>
        <v/>
      </c>
      <c r="C299" s="21">
        <f>Progetto!B6+IF(Progetto!C6="sì",$C$6-16,0)</f>
        <v/>
      </c>
      <c r="D299" s="6">
        <f>Progetto!D6</f>
        <v/>
      </c>
      <c r="E299" s="6">
        <f>Progetto!D6*Progetto!E6*$C$44</f>
        <v/>
      </c>
    </row>
    <row r="300">
      <c r="A300" s="21">
        <f>Progetto!A7</f>
        <v/>
      </c>
      <c r="C300" s="21">
        <f>Progetto!B7+IF(Progetto!C7="sì",$C$6-16,0)</f>
        <v/>
      </c>
      <c r="D300" s="6">
        <f>Progetto!D7</f>
        <v/>
      </c>
      <c r="E300" s="6">
        <f>Progetto!D7*Progetto!E7*$C$44</f>
        <v/>
      </c>
    </row>
    <row r="301">
      <c r="A301" s="21">
        <f>Progetto!A8</f>
        <v/>
      </c>
      <c r="C301" s="21">
        <f>Progetto!B8+IF(Progetto!C8="sì",$C$6-16,0)</f>
        <v/>
      </c>
      <c r="D301" s="6">
        <f>Progetto!D8</f>
        <v/>
      </c>
      <c r="E301" s="6">
        <f>Progetto!D8*Progetto!E8*$C$44</f>
        <v/>
      </c>
    </row>
    <row r="302">
      <c r="A302" s="21">
        <f>Progetto!A9</f>
        <v/>
      </c>
      <c r="C302" s="21">
        <f>Progetto!B9+IF(Progetto!C9="sì",$C$6-16,0)</f>
        <v/>
      </c>
      <c r="D302" s="6">
        <f>Progetto!D9</f>
        <v/>
      </c>
      <c r="E302" s="6">
        <f>Progetto!D9*Progetto!E9*$C$44</f>
        <v/>
      </c>
    </row>
    <row r="303">
      <c r="A303" s="21">
        <f>Progetto!A10</f>
        <v/>
      </c>
      <c r="C303" s="21">
        <f>Progetto!B10+IF(Progetto!C10="sì",$C$6-16,0)</f>
        <v/>
      </c>
      <c r="D303" s="6">
        <f>Progetto!D10</f>
        <v/>
      </c>
      <c r="E303" s="6">
        <f>Progetto!D10*Progetto!E10*$C$44</f>
        <v/>
      </c>
    </row>
    <row r="304">
      <c r="A304" s="21">
        <f>Progetto!A11</f>
        <v/>
      </c>
      <c r="C304" s="21">
        <f>Progetto!B11+IF(Progetto!C11="sì",$C$6-16,0)</f>
        <v/>
      </c>
      <c r="D304" s="6">
        <f>Progetto!D11</f>
        <v/>
      </c>
      <c r="E304" s="6">
        <f>Progetto!D11*Progetto!E11*$C$44</f>
        <v/>
      </c>
    </row>
    <row r="305">
      <c r="A305" s="21">
        <f>Progetto!A12</f>
        <v/>
      </c>
      <c r="C305" s="21">
        <f>Progetto!B12+IF(Progetto!C12="sì",$C$6-16,0)</f>
        <v/>
      </c>
      <c r="D305" s="6">
        <f>Progetto!D12</f>
        <v/>
      </c>
      <c r="E305" s="6">
        <f>Progetto!D12*Progetto!E12*$C$44</f>
        <v/>
      </c>
    </row>
    <row r="306">
      <c r="A306" s="21">
        <f>Progetto!A13</f>
        <v/>
      </c>
      <c r="C306" s="21">
        <f>Progetto!B13+IF(Progetto!C13="sì",$C$6-16,0)</f>
        <v/>
      </c>
      <c r="D306" s="6">
        <f>Progetto!D13</f>
        <v/>
      </c>
      <c r="E306" s="6">
        <f>Progetto!D13*Progetto!E13*$C$44</f>
        <v/>
      </c>
    </row>
    <row r="307">
      <c r="A307" s="21">
        <f>Progetto!A14</f>
        <v/>
      </c>
      <c r="C307" s="21">
        <f>Progetto!B14+IF(Progetto!C14="sì",$C$6-16,0)</f>
        <v/>
      </c>
      <c r="D307" s="6">
        <f>Progetto!D14</f>
        <v/>
      </c>
      <c r="E307" s="6">
        <f>Progetto!D14*Progetto!E14*$C$44</f>
        <v/>
      </c>
    </row>
    <row r="308">
      <c r="A308" s="21">
        <f>Progetto!A15</f>
        <v/>
      </c>
      <c r="C308" s="21">
        <f>Progetto!B15+IF(Progetto!C15="sì",$C$6-16,0)</f>
        <v/>
      </c>
      <c r="D308" s="6">
        <f>Progetto!D15</f>
        <v/>
      </c>
      <c r="E308" s="6">
        <f>Progetto!D15*Progetto!E15*$C$44</f>
        <v/>
      </c>
    </row>
    <row r="309">
      <c r="A309" s="21">
        <f>Progetto!A16</f>
        <v/>
      </c>
      <c r="C309" s="21">
        <f>Progetto!B16+IF(Progetto!C16="sì",$C$6-16,0)</f>
        <v/>
      </c>
      <c r="D309" s="6">
        <f>Progetto!D16</f>
        <v/>
      </c>
      <c r="E309" s="6">
        <f>Progetto!D16*Progetto!E16*$C$44</f>
        <v/>
      </c>
    </row>
    <row r="310">
      <c r="A310" s="21">
        <f>Progetto!A17</f>
        <v/>
      </c>
      <c r="C310" s="21">
        <f>Progetto!B17+IF(Progetto!C17="sì",$C$6-16,0)</f>
        <v/>
      </c>
      <c r="D310" s="6">
        <f>Progetto!D17</f>
        <v/>
      </c>
      <c r="E310" s="6">
        <f>Progetto!D17*Progetto!E17*$C$44</f>
        <v/>
      </c>
    </row>
    <row r="311">
      <c r="A311" s="21">
        <f>Progetto!A18</f>
        <v/>
      </c>
      <c r="C311" s="21">
        <f>Progetto!B18+IF(Progetto!C18="sì",$C$6-16,0)</f>
        <v/>
      </c>
      <c r="D311" s="6">
        <f>Progetto!D18</f>
        <v/>
      </c>
      <c r="E311" s="6">
        <f>Progetto!D18*Progetto!E18*$C$44</f>
        <v/>
      </c>
    </row>
    <row r="312">
      <c r="A312" s="21">
        <f>Progetto!A19</f>
        <v/>
      </c>
      <c r="C312" s="21">
        <f>Progetto!B19+IF(Progetto!C19="sì",$C$6-16,0)</f>
        <v/>
      </c>
      <c r="D312" s="6">
        <f>Progetto!D19</f>
        <v/>
      </c>
      <c r="E312" s="6">
        <f>Progetto!D19*Progetto!E19*$C$44</f>
        <v/>
      </c>
    </row>
    <row r="313">
      <c r="A313" s="21">
        <f>Progetto!A20</f>
        <v/>
      </c>
      <c r="C313" s="21">
        <f>Progetto!B20+IF(Progetto!C20="sì",$C$6-16,0)</f>
        <v/>
      </c>
      <c r="D313" s="6">
        <f>Progetto!D20</f>
        <v/>
      </c>
      <c r="E313" s="6">
        <f>Progetto!D20*Progetto!E20*$C$44</f>
        <v/>
      </c>
    </row>
    <row r="314">
      <c r="A314" s="21">
        <f>Progetto!A21</f>
        <v/>
      </c>
      <c r="C314" s="21">
        <f>Progetto!B21+IF(Progetto!C21="sì",$C$6-16,0)</f>
        <v/>
      </c>
      <c r="D314" s="6">
        <f>Progetto!D21</f>
        <v/>
      </c>
      <c r="E314" s="6">
        <f>Progetto!D21*Progetto!E21*$C$44</f>
        <v/>
      </c>
    </row>
    <row r="315">
      <c r="A315" s="21">
        <f>Progetto!A22</f>
        <v/>
      </c>
      <c r="C315" s="21">
        <f>Progetto!B22+IF(Progetto!C22="sì",$C$6-16,0)</f>
        <v/>
      </c>
      <c r="D315" s="6">
        <f>Progetto!D22</f>
        <v/>
      </c>
      <c r="E315" s="6">
        <f>Progetto!D22*Progetto!E22*$C$44</f>
        <v/>
      </c>
    </row>
    <row r="316">
      <c r="A316" s="21">
        <f>Progetto!A23</f>
        <v/>
      </c>
      <c r="C316" s="21">
        <f>Progetto!B23+IF(Progetto!C23="sì",$C$6-16,0)</f>
        <v/>
      </c>
      <c r="D316" s="6">
        <f>Progetto!D23</f>
        <v/>
      </c>
      <c r="E316" s="6">
        <f>Progetto!D23*Progetto!E23*$C$44</f>
        <v/>
      </c>
    </row>
    <row r="317">
      <c r="A317" s="21">
        <f>Progetto!A24</f>
        <v/>
      </c>
      <c r="C317" s="21">
        <f>Progetto!B24+IF(Progetto!C24="sì",$C$6-16,0)</f>
        <v/>
      </c>
      <c r="D317" s="6">
        <f>Progetto!D24</f>
        <v/>
      </c>
      <c r="E317" s="6">
        <f>Progetto!D24*Progetto!E24*$C$44</f>
        <v/>
      </c>
    </row>
    <row r="318">
      <c r="A318" s="21">
        <f>Progetto!A25</f>
        <v/>
      </c>
      <c r="C318" s="21">
        <f>Progetto!B25+IF(Progetto!C25="sì",$C$6-16,0)</f>
        <v/>
      </c>
      <c r="D318" s="6">
        <f>Progetto!D25</f>
        <v/>
      </c>
      <c r="E318" s="6">
        <f>Progetto!D25*Progetto!E25*$C$44</f>
        <v/>
      </c>
    </row>
    <row r="319">
      <c r="A319" s="21">
        <f>Progetto!A26</f>
        <v/>
      </c>
      <c r="C319" s="21">
        <f>Progetto!B26+IF(Progetto!C26="sì",$C$6-16,0)</f>
        <v/>
      </c>
      <c r="D319" s="6">
        <f>Progetto!D26</f>
        <v/>
      </c>
      <c r="E319" s="6">
        <f>Progetto!D26*Progetto!E26*$C$44</f>
        <v/>
      </c>
    </row>
    <row r="320">
      <c r="A320" s="21">
        <f>Progetto!A27</f>
        <v/>
      </c>
      <c r="C320" s="21">
        <f>Progetto!B27+IF(Progetto!C27="sì",$C$6-16,0)</f>
        <v/>
      </c>
      <c r="D320" s="6">
        <f>Progetto!D27</f>
        <v/>
      </c>
      <c r="E320" s="6">
        <f>Progetto!D27*Progetto!E27*$C$44</f>
        <v/>
      </c>
    </row>
    <row r="321">
      <c r="A321" s="21">
        <f>Progetto!A28</f>
        <v/>
      </c>
      <c r="C321" s="21">
        <f>Progetto!B28+IF(Progetto!C28="sì",$C$6-16,0)</f>
        <v/>
      </c>
      <c r="D321" s="6">
        <f>Progetto!D28</f>
        <v/>
      </c>
      <c r="E321" s="6">
        <f>Progetto!D28*Progetto!E28*$C$44</f>
        <v/>
      </c>
    </row>
    <row r="322">
      <c r="A322" s="21">
        <f>Progetto!A29</f>
        <v/>
      </c>
      <c r="C322" s="21">
        <f>Progetto!B29+IF(Progetto!C29="sì",$C$6-16,0)</f>
        <v/>
      </c>
      <c r="D322" s="6">
        <f>Progetto!D29</f>
        <v/>
      </c>
      <c r="E322" s="6">
        <f>Progetto!D29*Progetto!E29*$C$44</f>
        <v/>
      </c>
    </row>
    <row r="323">
      <c r="A323" s="21">
        <f>Progetto!A30</f>
        <v/>
      </c>
      <c r="C323" s="21">
        <f>Progetto!B30+IF(Progetto!C30="sì",$C$6-16,0)</f>
        <v/>
      </c>
      <c r="D323" s="6">
        <f>Progetto!D30</f>
        <v/>
      </c>
      <c r="E323" s="6">
        <f>Progetto!D30*Progetto!E30*$C$44</f>
        <v/>
      </c>
    </row>
    <row r="324">
      <c r="A324" s="21">
        <f>Progetto!A31</f>
        <v/>
      </c>
      <c r="C324" s="21">
        <f>Progetto!B31+IF(Progetto!C31="sì",$C$6-16,0)</f>
        <v/>
      </c>
      <c r="D324" s="6">
        <f>Progetto!D31</f>
        <v/>
      </c>
      <c r="E324" s="6">
        <f>Progetto!D31*Progetto!E31*$C$44</f>
        <v/>
      </c>
    </row>
    <row r="325">
      <c r="A325" s="21">
        <f>Progetto!A32</f>
        <v/>
      </c>
      <c r="C325" s="21">
        <f>Progetto!B32+IF(Progetto!C32="sì",$C$6-16,0)</f>
        <v/>
      </c>
      <c r="D325" s="6">
        <f>Progetto!D32</f>
        <v/>
      </c>
      <c r="E325" s="6">
        <f>Progetto!D32*Progetto!E32*$C$44</f>
        <v/>
      </c>
    </row>
    <row r="326">
      <c r="A326" s="21">
        <f>Progetto!A33</f>
        <v/>
      </c>
      <c r="C326" s="21">
        <f>Progetto!B33+IF(Progetto!C33="sì",$C$6-16,0)</f>
        <v/>
      </c>
      <c r="D326" s="6">
        <f>Progetto!D33</f>
        <v/>
      </c>
      <c r="E326" s="6">
        <f>Progetto!D33*Progetto!E33*$C$44</f>
        <v/>
      </c>
    </row>
    <row r="327">
      <c r="A327" s="21">
        <f>Progetto!A34</f>
        <v/>
      </c>
      <c r="C327" s="21">
        <f>Progetto!B34+IF(Progetto!C34="sì",$C$6-16,0)</f>
        <v/>
      </c>
      <c r="D327" s="6">
        <f>Progetto!D34</f>
        <v/>
      </c>
      <c r="E327" s="6">
        <f>Progetto!D34*Progetto!E34*$C$44</f>
        <v/>
      </c>
    </row>
    <row r="328">
      <c r="A328" s="21">
        <f>Progetto!A35</f>
        <v/>
      </c>
      <c r="C328" s="21">
        <f>Progetto!B35+IF(Progetto!C35="sì",$C$6-16,0)</f>
        <v/>
      </c>
      <c r="D328" s="6">
        <f>Progetto!D35</f>
        <v/>
      </c>
      <c r="E328" s="6">
        <f>Progetto!D35*Progetto!E35*$C$44</f>
        <v/>
      </c>
    </row>
    <row r="329">
      <c r="A329" s="21">
        <f>Progetto!A36</f>
        <v/>
      </c>
      <c r="C329" s="21">
        <f>Progetto!B36+IF(Progetto!C36="sì",$C$6-16,0)</f>
        <v/>
      </c>
      <c r="D329" s="6">
        <f>Progetto!D36</f>
        <v/>
      </c>
      <c r="E329" s="6">
        <f>Progetto!D36*Progetto!E36*$C$44</f>
        <v/>
      </c>
    </row>
    <row r="330">
      <c r="A330" s="21">
        <f>Progetto!A37</f>
        <v/>
      </c>
      <c r="C330" s="21">
        <f>Progetto!B37+IF(Progetto!C37="sì",$C$6-16,0)</f>
        <v/>
      </c>
      <c r="D330" s="6">
        <f>Progetto!D37</f>
        <v/>
      </c>
      <c r="E330" s="6">
        <f>Progetto!D37*Progetto!E37*$C$44</f>
        <v/>
      </c>
    </row>
    <row r="331">
      <c r="A331" s="21">
        <f>Progetto!A38</f>
        <v/>
      </c>
      <c r="C331" s="21">
        <f>Progetto!B38+IF(Progetto!C38="sì",$C$6-16,0)</f>
        <v/>
      </c>
      <c r="D331" s="6">
        <f>Progetto!D38</f>
        <v/>
      </c>
      <c r="E331" s="6">
        <f>Progetto!D38*Progetto!E38*$C$44</f>
        <v/>
      </c>
    </row>
    <row r="332">
      <c r="A332" s="21">
        <f>Progetto!A39</f>
        <v/>
      </c>
      <c r="C332" s="21">
        <f>Progetto!B39+IF(Progetto!C39="sì",$C$6-16,0)</f>
        <v/>
      </c>
      <c r="D332" s="6">
        <f>Progetto!D39</f>
        <v/>
      </c>
      <c r="E332" s="6">
        <f>Progetto!D39*Progetto!E39*$C$44</f>
        <v/>
      </c>
    </row>
    <row r="333">
      <c r="A333" s="21">
        <f>Progetto!A40</f>
        <v/>
      </c>
      <c r="C333" s="21">
        <f>Progetto!B40+IF(Progetto!C40="sì",$C$6-16,0)</f>
        <v/>
      </c>
      <c r="D333" s="6">
        <f>Progetto!D40</f>
        <v/>
      </c>
      <c r="E333" s="6">
        <f>Progetto!D40*Progetto!E40*$C$44</f>
        <v/>
      </c>
    </row>
    <row r="334">
      <c r="A334" s="21">
        <f>Progetto!A41</f>
        <v/>
      </c>
      <c r="C334" s="21">
        <f>Progetto!B41+IF(Progetto!C41="sì",$C$6-16,0)</f>
        <v/>
      </c>
      <c r="D334" s="6">
        <f>Progetto!D41</f>
        <v/>
      </c>
      <c r="E334" s="6">
        <f>Progetto!D41*Progetto!E41*$C$44</f>
        <v/>
      </c>
    </row>
    <row r="335">
      <c r="A335" s="21">
        <f>Progetto!A42</f>
        <v/>
      </c>
      <c r="C335" s="21">
        <f>Progetto!B42+IF(Progetto!C42="sì",$C$6-16,0)</f>
        <v/>
      </c>
      <c r="D335" s="6">
        <f>Progetto!D42</f>
        <v/>
      </c>
      <c r="E335" s="6">
        <f>Progetto!D42*Progetto!E42*$C$44</f>
        <v/>
      </c>
    </row>
    <row r="336">
      <c r="A336" s="3" t="inlineStr">
        <is>
          <t>Ciclo di laboratorio aggiuntivo</t>
        </is>
      </c>
      <c r="C336" t="n">
        <v>10</v>
      </c>
      <c r="D336" s="20">
        <f>$C$39</f>
        <v/>
      </c>
      <c r="E336" s="20">
        <f>D336*$C$44</f>
        <v/>
      </c>
    </row>
    <row r="337">
      <c r="A337" s="3" t="inlineStr">
        <is>
          <t>Ciclo di laboratorio aggiuntivo</t>
        </is>
      </c>
      <c r="C337" t="n">
        <v>11</v>
      </c>
      <c r="D337" s="20">
        <f>$C$40</f>
        <v/>
      </c>
      <c r="E337" s="20">
        <f>D337*$C$44</f>
        <v/>
      </c>
    </row>
    <row r="339">
      <c r="A339" s="10" t="inlineStr">
        <is>
          <t>Scorte e lotti di produzione</t>
        </is>
      </c>
    </row>
    <row r="340">
      <c r="A340" s="3" t="inlineStr">
        <is>
          <t>Consumo di flaconi (ordini, campioni, sostituzioni)</t>
        </is>
      </c>
      <c r="C340" s="24">
        <f>C293+C294+C295</f>
        <v/>
      </c>
      <c r="D340" s="24">
        <f>D293+D294+D295</f>
        <v/>
      </c>
      <c r="E340" s="24">
        <f>E293+E294+E295</f>
        <v/>
      </c>
      <c r="F340" s="24">
        <f>F293+F294+F295</f>
        <v/>
      </c>
      <c r="G340" s="24">
        <f>G293+G294+G295</f>
        <v/>
      </c>
      <c r="H340" s="24">
        <f>H293+H294+H295</f>
        <v/>
      </c>
      <c r="I340" s="24">
        <f>I293+I294+I295</f>
        <v/>
      </c>
      <c r="J340" s="24">
        <f>J293+J294+J295</f>
        <v/>
      </c>
      <c r="K340" s="24">
        <f>K293+K294+K295</f>
        <v/>
      </c>
      <c r="L340" s="24">
        <f>L293+L294+L295</f>
        <v/>
      </c>
      <c r="M340" s="24">
        <f>M293+M294+M295</f>
        <v/>
      </c>
      <c r="N340" s="24">
        <f>N293+N294+N295</f>
        <v/>
      </c>
      <c r="O340" s="24">
        <f>O293+O294+O295</f>
        <v/>
      </c>
      <c r="P340" s="24">
        <f>P293+P294+P295</f>
        <v/>
      </c>
      <c r="Q340" s="24">
        <f>Q293+Q294+Q295</f>
        <v/>
      </c>
      <c r="R340" s="24">
        <f>R293+R294+R295</f>
        <v/>
      </c>
      <c r="S340" s="24">
        <f>S293+S294+S295</f>
        <v/>
      </c>
      <c r="T340" s="24">
        <f>T293+T294+T295</f>
        <v/>
      </c>
      <c r="U340" s="24">
        <f>U293+U294+U295</f>
        <v/>
      </c>
      <c r="V340" s="24">
        <f>V293+V294+V295</f>
        <v/>
      </c>
      <c r="W340" s="24">
        <f>W293+W294+W295</f>
        <v/>
      </c>
      <c r="X340" s="24">
        <f>X293+X294+X295</f>
        <v/>
      </c>
      <c r="Y340" s="24">
        <f>Y293+Y294+Y295</f>
        <v/>
      </c>
      <c r="Z340" s="24">
        <f>Z293+Z294+Z295</f>
        <v/>
      </c>
      <c r="AA340" s="24">
        <f>AA293+AA294+AA295</f>
        <v/>
      </c>
      <c r="AB340" s="24">
        <f>AB293+AB294+AB295</f>
        <v/>
      </c>
      <c r="AC340" s="24">
        <f>AC293+AC294+AC295</f>
        <v/>
      </c>
      <c r="AD340" s="24">
        <f>AD293+AD294+AD295</f>
        <v/>
      </c>
      <c r="AE340" s="24">
        <f>AE293+AE294+AE295</f>
        <v/>
      </c>
      <c r="AF340" s="24">
        <f>AF293+AF294+AF295</f>
        <v/>
      </c>
    </row>
    <row r="341">
      <c r="A341" s="3" t="inlineStr">
        <is>
          <t>Flaconi in arrivo dal lotto</t>
        </is>
      </c>
      <c r="C341" s="24" t="n">
        <v>0</v>
      </c>
      <c r="D341" s="24" t="n">
        <v>0</v>
      </c>
      <c r="E341" s="24">
        <f>C345</f>
        <v/>
      </c>
      <c r="F341" s="24">
        <f>D345</f>
        <v/>
      </c>
      <c r="G341" s="24">
        <f>E345</f>
        <v/>
      </c>
      <c r="H341" s="24">
        <f>F345</f>
        <v/>
      </c>
      <c r="I341" s="24">
        <f>G345</f>
        <v/>
      </c>
      <c r="J341" s="24">
        <f>H345</f>
        <v/>
      </c>
      <c r="K341" s="24">
        <f>I345</f>
        <v/>
      </c>
      <c r="L341" s="24">
        <f>J345</f>
        <v/>
      </c>
      <c r="M341" s="24">
        <f>K345</f>
        <v/>
      </c>
      <c r="N341" s="24">
        <f>L345</f>
        <v/>
      </c>
      <c r="O341" s="24">
        <f>M345</f>
        <v/>
      </c>
      <c r="P341" s="24">
        <f>N345</f>
        <v/>
      </c>
      <c r="Q341" s="24">
        <f>O345</f>
        <v/>
      </c>
      <c r="R341" s="24">
        <f>P345</f>
        <v/>
      </c>
      <c r="S341" s="24">
        <f>Q345</f>
        <v/>
      </c>
      <c r="T341" s="24">
        <f>R345</f>
        <v/>
      </c>
      <c r="U341" s="24">
        <f>S345</f>
        <v/>
      </c>
      <c r="V341" s="24">
        <f>T345</f>
        <v/>
      </c>
      <c r="W341" s="24">
        <f>U345</f>
        <v/>
      </c>
      <c r="X341" s="24">
        <f>V345</f>
        <v/>
      </c>
      <c r="Y341" s="24">
        <f>W345</f>
        <v/>
      </c>
      <c r="Z341" s="24">
        <f>X345</f>
        <v/>
      </c>
      <c r="AA341" s="24">
        <f>Y345</f>
        <v/>
      </c>
      <c r="AB341" s="24">
        <f>Z345</f>
        <v/>
      </c>
      <c r="AC341" s="24">
        <f>AA345</f>
        <v/>
      </c>
      <c r="AD341" s="24">
        <f>AB345</f>
        <v/>
      </c>
      <c r="AE341" s="24">
        <f>AC345</f>
        <v/>
      </c>
      <c r="AF341" s="24">
        <f>AD345</f>
        <v/>
      </c>
    </row>
    <row r="342">
      <c r="A342" s="3" t="inlineStr">
        <is>
          <t>Flaconi in magazzino a fine mese</t>
        </is>
      </c>
      <c r="C342" s="24">
        <f>0+C341*(1-$C$65)-IF(C341&gt;0,$C$66,0)-C340</f>
        <v/>
      </c>
      <c r="D342" s="24">
        <f>C342+D341*(1-$C$65)-IF(D341&gt;0,$C$66,0)-D340</f>
        <v/>
      </c>
      <c r="E342" s="24">
        <f>D342+E341*(1-$C$65)-IF(E341&gt;0,$C$66,0)-E340</f>
        <v/>
      </c>
      <c r="F342" s="24">
        <f>E342+F341*(1-$C$65)-IF(F341&gt;0,$C$66,0)-F340</f>
        <v/>
      </c>
      <c r="G342" s="24">
        <f>F342+G341*(1-$C$65)-IF(G341&gt;0,$C$66,0)-G340</f>
        <v/>
      </c>
      <c r="H342" s="24">
        <f>G342+H341*(1-$C$65)-IF(H341&gt;0,$C$66,0)-H340</f>
        <v/>
      </c>
      <c r="I342" s="24">
        <f>H342+I341*(1-$C$65)-IF(I341&gt;0,$C$66,0)-I340</f>
        <v/>
      </c>
      <c r="J342" s="24">
        <f>I342+J341*(1-$C$65)-IF(J341&gt;0,$C$66,0)-J340</f>
        <v/>
      </c>
      <c r="K342" s="24">
        <f>J342+K341*(1-$C$65)-IF(K341&gt;0,$C$66,0)-K340</f>
        <v/>
      </c>
      <c r="L342" s="24">
        <f>K342+L341*(1-$C$65)-IF(L341&gt;0,$C$66,0)-L340</f>
        <v/>
      </c>
      <c r="M342" s="24">
        <f>L342+M341*(1-$C$65)-IF(M341&gt;0,$C$66,0)-M340</f>
        <v/>
      </c>
      <c r="N342" s="24">
        <f>M342+N341*(1-$C$65)-IF(N341&gt;0,$C$66,0)-N340</f>
        <v/>
      </c>
      <c r="O342" s="24">
        <f>N342+O341*(1-$C$65)-IF(O341&gt;0,$C$66,0)-O340</f>
        <v/>
      </c>
      <c r="P342" s="24">
        <f>O342+P341*(1-$C$65)-IF(P341&gt;0,$C$66,0)-P340</f>
        <v/>
      </c>
      <c r="Q342" s="24">
        <f>P342+Q341*(1-$C$65)-IF(Q341&gt;0,$C$66,0)-Q340</f>
        <v/>
      </c>
      <c r="R342" s="24">
        <f>Q342+R341*(1-$C$65)-IF(R341&gt;0,$C$66,0)-R340</f>
        <v/>
      </c>
      <c r="S342" s="24">
        <f>R342+S341*(1-$C$65)-IF(S341&gt;0,$C$66,0)-S340</f>
        <v/>
      </c>
      <c r="T342" s="24">
        <f>S342+T341*(1-$C$65)-IF(T341&gt;0,$C$66,0)-T340</f>
        <v/>
      </c>
      <c r="U342" s="24">
        <f>T342+U341*(1-$C$65)-IF(U341&gt;0,$C$66,0)-U340</f>
        <v/>
      </c>
      <c r="V342" s="24">
        <f>U342+V341*(1-$C$65)-IF(V341&gt;0,$C$66,0)-V340</f>
        <v/>
      </c>
      <c r="W342" s="24">
        <f>V342+W341*(1-$C$65)-IF(W341&gt;0,$C$66,0)-W340</f>
        <v/>
      </c>
      <c r="X342" s="24">
        <f>W342+X341*(1-$C$65)-IF(X341&gt;0,$C$66,0)-X340</f>
        <v/>
      </c>
      <c r="Y342" s="24">
        <f>X342+Y341*(1-$C$65)-IF(Y341&gt;0,$C$66,0)-Y340</f>
        <v/>
      </c>
      <c r="Z342" s="24">
        <f>Y342+Z341*(1-$C$65)-IF(Z341&gt;0,$C$66,0)-Z340</f>
        <v/>
      </c>
      <c r="AA342" s="24">
        <f>Z342+AA341*(1-$C$65)-IF(AA341&gt;0,$C$66,0)-AA340</f>
        <v/>
      </c>
      <c r="AB342" s="24">
        <f>AA342+AB341*(1-$C$65)-IF(AB341&gt;0,$C$66,0)-AB340</f>
        <v/>
      </c>
      <c r="AC342" s="24">
        <f>AB342+AC341*(1-$C$65)-IF(AC341&gt;0,$C$66,0)-AC340</f>
        <v/>
      </c>
      <c r="AD342" s="24">
        <f>AC342+AD341*(1-$C$65)-IF(AD341&gt;0,$C$66,0)-AD340</f>
        <v/>
      </c>
      <c r="AE342" s="24">
        <f>AD342+AE341*(1-$C$65)-IF(AE341&gt;0,$C$66,0)-AE340</f>
        <v/>
      </c>
      <c r="AF342" s="24">
        <f>AE342+AF341*(1-$C$65)-IF(AF341&gt;0,$C$66,0)-AF340</f>
        <v/>
      </c>
    </row>
    <row r="343">
      <c r="A343" s="3" t="inlineStr">
        <is>
          <t>Consumo medio degli ultimi due mesi</t>
        </is>
      </c>
      <c r="C343" s="24">
        <f>C340</f>
        <v/>
      </c>
      <c r="D343" s="24">
        <f>AVERAGE(C340:D340)</f>
        <v/>
      </c>
      <c r="E343" s="24">
        <f>AVERAGE(D340:E340)</f>
        <v/>
      </c>
      <c r="F343" s="24">
        <f>AVERAGE(E340:F340)</f>
        <v/>
      </c>
      <c r="G343" s="24">
        <f>AVERAGE(F340:G340)</f>
        <v/>
      </c>
      <c r="H343" s="24">
        <f>AVERAGE(G340:H340)</f>
        <v/>
      </c>
      <c r="I343" s="24">
        <f>AVERAGE(H340:I340)</f>
        <v/>
      </c>
      <c r="J343" s="24">
        <f>AVERAGE(I340:J340)</f>
        <v/>
      </c>
      <c r="K343" s="24">
        <f>AVERAGE(J340:K340)</f>
        <v/>
      </c>
      <c r="L343" s="24">
        <f>AVERAGE(K340:L340)</f>
        <v/>
      </c>
      <c r="M343" s="24">
        <f>AVERAGE(L340:M340)</f>
        <v/>
      </c>
      <c r="N343" s="24">
        <f>AVERAGE(M340:N340)</f>
        <v/>
      </c>
      <c r="O343" s="24">
        <f>AVERAGE(N340:O340)</f>
        <v/>
      </c>
      <c r="P343" s="24">
        <f>AVERAGE(O340:P340)</f>
        <v/>
      </c>
      <c r="Q343" s="24">
        <f>AVERAGE(P340:Q340)</f>
        <v/>
      </c>
      <c r="R343" s="24">
        <f>AVERAGE(Q340:R340)</f>
        <v/>
      </c>
      <c r="S343" s="24">
        <f>AVERAGE(R340:S340)</f>
        <v/>
      </c>
      <c r="T343" s="24">
        <f>AVERAGE(S340:T340)</f>
        <v/>
      </c>
      <c r="U343" s="24">
        <f>AVERAGE(T340:U340)</f>
        <v/>
      </c>
      <c r="V343" s="24">
        <f>AVERAGE(U340:V340)</f>
        <v/>
      </c>
      <c r="W343" s="24">
        <f>AVERAGE(V340:W340)</f>
        <v/>
      </c>
      <c r="X343" s="24">
        <f>AVERAGE(W340:X340)</f>
        <v/>
      </c>
      <c r="Y343" s="24">
        <f>AVERAGE(X340:Y340)</f>
        <v/>
      </c>
      <c r="Z343" s="24">
        <f>AVERAGE(Y340:Z340)</f>
        <v/>
      </c>
      <c r="AA343" s="24">
        <f>AVERAGE(Z340:AA340)</f>
        <v/>
      </c>
      <c r="AB343" s="24">
        <f>AVERAGE(AA340:AB340)</f>
        <v/>
      </c>
      <c r="AC343" s="24">
        <f>AVERAGE(AB340:AC340)</f>
        <v/>
      </c>
      <c r="AD343" s="24">
        <f>AVERAGE(AC340:AD340)</f>
        <v/>
      </c>
      <c r="AE343" s="24">
        <f>AVERAGE(AD340:AE340)</f>
        <v/>
      </c>
      <c r="AF343" s="24">
        <f>AVERAGE(AE340:AF340)</f>
        <v/>
      </c>
    </row>
    <row r="344">
      <c r="A344" s="3" t="inlineStr">
        <is>
          <t>Punto di riordino</t>
        </is>
      </c>
      <c r="C344" s="24">
        <f>C343*($C$63+$C$64)</f>
        <v/>
      </c>
      <c r="D344" s="24">
        <f>D343*($C$63+$C$64)</f>
        <v/>
      </c>
      <c r="E344" s="24">
        <f>E343*($C$63+$C$64)</f>
        <v/>
      </c>
      <c r="F344" s="24">
        <f>F343*($C$63+$C$64)</f>
        <v/>
      </c>
      <c r="G344" s="24">
        <f>G343*($C$63+$C$64)</f>
        <v/>
      </c>
      <c r="H344" s="24">
        <f>H343*($C$63+$C$64)</f>
        <v/>
      </c>
      <c r="I344" s="24">
        <f>I343*($C$63+$C$64)</f>
        <v/>
      </c>
      <c r="J344" s="24">
        <f>J343*($C$63+$C$64)</f>
        <v/>
      </c>
      <c r="K344" s="24">
        <f>K343*($C$63+$C$64)</f>
        <v/>
      </c>
      <c r="L344" s="24">
        <f>L343*($C$63+$C$64)</f>
        <v/>
      </c>
      <c r="M344" s="24">
        <f>M343*($C$63+$C$64)</f>
        <v/>
      </c>
      <c r="N344" s="24">
        <f>N343*($C$63+$C$64)</f>
        <v/>
      </c>
      <c r="O344" s="24">
        <f>O343*($C$63+$C$64)</f>
        <v/>
      </c>
      <c r="P344" s="24">
        <f>P343*($C$63+$C$64)</f>
        <v/>
      </c>
      <c r="Q344" s="24">
        <f>Q343*($C$63+$C$64)</f>
        <v/>
      </c>
      <c r="R344" s="24">
        <f>R343*($C$63+$C$64)</f>
        <v/>
      </c>
      <c r="S344" s="24">
        <f>S343*($C$63+$C$64)</f>
        <v/>
      </c>
      <c r="T344" s="24">
        <f>T343*($C$63+$C$64)</f>
        <v/>
      </c>
      <c r="U344" s="24">
        <f>U343*($C$63+$C$64)</f>
        <v/>
      </c>
      <c r="V344" s="24">
        <f>V343*($C$63+$C$64)</f>
        <v/>
      </c>
      <c r="W344" s="24">
        <f>W343*($C$63+$C$64)</f>
        <v/>
      </c>
      <c r="X344" s="24">
        <f>X343*($C$63+$C$64)</f>
        <v/>
      </c>
      <c r="Y344" s="24">
        <f>Y343*($C$63+$C$64)</f>
        <v/>
      </c>
      <c r="Z344" s="24">
        <f>Z343*($C$63+$C$64)</f>
        <v/>
      </c>
      <c r="AA344" s="24">
        <f>AA343*($C$63+$C$64)</f>
        <v/>
      </c>
      <c r="AB344" s="24">
        <f>AB343*($C$63+$C$64)</f>
        <v/>
      </c>
      <c r="AC344" s="24">
        <f>AC343*($C$63+$C$64)</f>
        <v/>
      </c>
      <c r="AD344" s="24">
        <f>AD343*($C$63+$C$64)</f>
        <v/>
      </c>
      <c r="AE344" s="24">
        <f>AE343*($C$63+$C$64)</f>
        <v/>
      </c>
      <c r="AF344" s="24">
        <f>AF343*($C$63+$C$64)</f>
        <v/>
      </c>
    </row>
    <row r="345">
      <c r="A345" s="3" t="inlineStr">
        <is>
          <t>Lotto ordinato nel mese</t>
        </is>
      </c>
      <c r="C345" s="24">
        <f>IF(C106=-3,$C$61,IF(AND(C106&gt;=0,C342+0&lt;=C344),$C$61,0))</f>
        <v/>
      </c>
      <c r="D345" s="24">
        <f>IF(D106=-3,$C$61,IF(AND(D106&gt;=0,D342+C345&lt;=D344),$C$61,0))</f>
        <v/>
      </c>
      <c r="E345" s="24">
        <f>IF(E106=-3,$C$61,IF(AND(E106&gt;=0,E342+D345&lt;=E344),$C$61,0))</f>
        <v/>
      </c>
      <c r="F345" s="24">
        <f>IF(F106=-3,$C$61,IF(AND(F106&gt;=0,F342+E345&lt;=F344),$C$61,0))</f>
        <v/>
      </c>
      <c r="G345" s="24">
        <f>IF(G106=-3,$C$61,IF(AND(G106&gt;=0,G342+F345&lt;=G344),$C$61,0))</f>
        <v/>
      </c>
      <c r="H345" s="24">
        <f>IF(H106=-3,$C$61,IF(AND(H106&gt;=0,H342+G345&lt;=H344),$C$61,0))</f>
        <v/>
      </c>
      <c r="I345" s="24">
        <f>IF(I106=-3,$C$61,IF(AND(I106&gt;=0,I342+H345&lt;=I344),$C$61,0))</f>
        <v/>
      </c>
      <c r="J345" s="24">
        <f>IF(J106=-3,$C$61,IF(AND(J106&gt;=0,J342+I345&lt;=J344),$C$61,0))</f>
        <v/>
      </c>
      <c r="K345" s="24">
        <f>IF(K106=-3,$C$61,IF(AND(K106&gt;=0,K342+J345&lt;=K344),$C$61,0))</f>
        <v/>
      </c>
      <c r="L345" s="24">
        <f>IF(L106=-3,$C$61,IF(AND(L106&gt;=0,L342+K345&lt;=L344),$C$61,0))</f>
        <v/>
      </c>
      <c r="M345" s="24">
        <f>IF(M106=-3,$C$61,IF(AND(M106&gt;=0,M342+L345&lt;=M344),$C$61,0))</f>
        <v/>
      </c>
      <c r="N345" s="24">
        <f>IF(N106=-3,$C$61,IF(AND(N106&gt;=0,N342+M345&lt;=N344),$C$61,0))</f>
        <v/>
      </c>
      <c r="O345" s="24">
        <f>IF(O106=-3,$C$61,IF(AND(O106&gt;=0,O342+N345&lt;=O344),$C$61,0))</f>
        <v/>
      </c>
      <c r="P345" s="24">
        <f>IF(P106=-3,$C$61,IF(AND(P106&gt;=0,P342+O345&lt;=P344),$C$61,0))</f>
        <v/>
      </c>
      <c r="Q345" s="24">
        <f>IF(Q106=-3,$C$61,IF(AND(Q106&gt;=0,Q342+P345&lt;=Q344),$C$61,0))</f>
        <v/>
      </c>
      <c r="R345" s="24">
        <f>IF(R106=-3,$C$61,IF(AND(R106&gt;=0,R342+Q345&lt;=R344),$C$61,0))</f>
        <v/>
      </c>
      <c r="S345" s="24">
        <f>IF(S106=-3,$C$61,IF(AND(S106&gt;=0,S342+R345&lt;=S344),$C$61,0))</f>
        <v/>
      </c>
      <c r="T345" s="24">
        <f>IF(T106=-3,$C$61,IF(AND(T106&gt;=0,T342+S345&lt;=T344),$C$61,0))</f>
        <v/>
      </c>
      <c r="U345" s="24">
        <f>IF(U106=-3,$C$61,IF(AND(U106&gt;=0,U342+T345&lt;=U344),$C$61,0))</f>
        <v/>
      </c>
      <c r="V345" s="24">
        <f>IF(V106=-3,$C$61,IF(AND(V106&gt;=0,V342+U345&lt;=V344),$C$61,0))</f>
        <v/>
      </c>
      <c r="W345" s="24">
        <f>IF(W106=-3,$C$61,IF(AND(W106&gt;=0,W342+V345&lt;=W344),$C$61,0))</f>
        <v/>
      </c>
      <c r="X345" s="24">
        <f>IF(X106=-3,$C$61,IF(AND(X106&gt;=0,X342+W345&lt;=X344),$C$61,0))</f>
        <v/>
      </c>
      <c r="Y345" s="24">
        <f>IF(Y106=-3,$C$61,IF(AND(Y106&gt;=0,Y342+X345&lt;=Y344),$C$61,0))</f>
        <v/>
      </c>
      <c r="Z345" s="24">
        <f>IF(Z106=-3,$C$61,IF(AND(Z106&gt;=0,Z342+Y345&lt;=Z344),$C$61,0))</f>
        <v/>
      </c>
      <c r="AA345" s="24">
        <f>IF(AA106=-3,$C$61,IF(AND(AA106&gt;=0,AA342+Z345&lt;=AA344),$C$61,0))</f>
        <v/>
      </c>
      <c r="AB345" s="24">
        <f>IF(AB106=-3,$C$61,IF(AND(AB106&gt;=0,AB342+AA345&lt;=AB344),$C$61,0))</f>
        <v/>
      </c>
      <c r="AC345" s="24">
        <f>IF(AC106=-3,$C$61,IF(AND(AC106&gt;=0,AC342+AB345&lt;=AC344),$C$61,0))</f>
        <v/>
      </c>
      <c r="AD345" s="24">
        <f>IF(AD106=-3,$C$61,IF(AND(AD106&gt;=0,AD342+AC345&lt;=AD344),$C$61,0))</f>
        <v/>
      </c>
      <c r="AE345" s="24">
        <f>IF(AE106=-3,$C$61,IF(AND(AE106&gt;=0,AE342+AD345&lt;=AE344),$C$61,0))</f>
        <v/>
      </c>
      <c r="AF345" s="24">
        <f>IF(AF106=-3,$C$61,IF(AND(AF106&gt;=0,AF342+AE345&lt;=AF344),$C$61,0))</f>
        <v/>
      </c>
    </row>
    <row r="346">
      <c r="A346" s="3" t="inlineStr">
        <is>
          <t>Pagamenti ai produttori (netto IVA)</t>
        </is>
      </c>
      <c r="B346" s="4" t="inlineStr">
        <is>
          <t>€</t>
        </is>
      </c>
      <c r="C346" s="20">
        <f>C345*$C$7*$C$62+C341*$C$7*(1-$C$62)</f>
        <v/>
      </c>
      <c r="D346" s="20">
        <f>D345*$C$7*$C$62+D341*$C$7*(1-$C$62)</f>
        <v/>
      </c>
      <c r="E346" s="20">
        <f>E345*$C$7*$C$62+E341*$C$7*(1-$C$62)</f>
        <v/>
      </c>
      <c r="F346" s="20">
        <f>F345*$C$7*$C$62+F341*$C$7*(1-$C$62)</f>
        <v/>
      </c>
      <c r="G346" s="20">
        <f>G345*$C$7*$C$62+G341*$C$7*(1-$C$62)</f>
        <v/>
      </c>
      <c r="H346" s="20">
        <f>H345*$C$7*$C$62+H341*$C$7*(1-$C$62)</f>
        <v/>
      </c>
      <c r="I346" s="20">
        <f>I345*$C$7*$C$62+I341*$C$7*(1-$C$62)</f>
        <v/>
      </c>
      <c r="J346" s="20">
        <f>J345*$C$7*$C$62+J341*$C$7*(1-$C$62)</f>
        <v/>
      </c>
      <c r="K346" s="20">
        <f>K345*$C$7*$C$62+K341*$C$7*(1-$C$62)</f>
        <v/>
      </c>
      <c r="L346" s="20">
        <f>L345*$C$7*$C$62+L341*$C$7*(1-$C$62)</f>
        <v/>
      </c>
      <c r="M346" s="20">
        <f>M345*$C$7*$C$62+M341*$C$7*(1-$C$62)</f>
        <v/>
      </c>
      <c r="N346" s="20">
        <f>N345*$C$7*$C$62+N341*$C$7*(1-$C$62)</f>
        <v/>
      </c>
      <c r="O346" s="20">
        <f>O345*$C$7*$C$62+O341*$C$7*(1-$C$62)</f>
        <v/>
      </c>
      <c r="P346" s="20">
        <f>P345*$C$7*$C$62+P341*$C$7*(1-$C$62)</f>
        <v/>
      </c>
      <c r="Q346" s="20">
        <f>Q345*$C$7*$C$62+Q341*$C$7*(1-$C$62)</f>
        <v/>
      </c>
      <c r="R346" s="20">
        <f>R345*$C$7*$C$62+R341*$C$7*(1-$C$62)</f>
        <v/>
      </c>
      <c r="S346" s="20">
        <f>S345*$C$7*$C$62+S341*$C$7*(1-$C$62)</f>
        <v/>
      </c>
      <c r="T346" s="20">
        <f>T345*$C$7*$C$62+T341*$C$7*(1-$C$62)</f>
        <v/>
      </c>
      <c r="U346" s="20">
        <f>U345*$C$7*$C$62+U341*$C$7*(1-$C$62)</f>
        <v/>
      </c>
      <c r="V346" s="20">
        <f>V345*$C$7*$C$62+V341*$C$7*(1-$C$62)</f>
        <v/>
      </c>
      <c r="W346" s="20">
        <f>W345*$C$7*$C$62+W341*$C$7*(1-$C$62)</f>
        <v/>
      </c>
      <c r="X346" s="20">
        <f>X345*$C$7*$C$62+X341*$C$7*(1-$C$62)</f>
        <v/>
      </c>
      <c r="Y346" s="20">
        <f>Y345*$C$7*$C$62+Y341*$C$7*(1-$C$62)</f>
        <v/>
      </c>
      <c r="Z346" s="20">
        <f>Z345*$C$7*$C$62+Z341*$C$7*(1-$C$62)</f>
        <v/>
      </c>
      <c r="AA346" s="20">
        <f>AA345*$C$7*$C$62+AA341*$C$7*(1-$C$62)</f>
        <v/>
      </c>
      <c r="AB346" s="20">
        <f>AB345*$C$7*$C$62+AB341*$C$7*(1-$C$62)</f>
        <v/>
      </c>
      <c r="AC346" s="20">
        <f>AC345*$C$7*$C$62+AC341*$C$7*(1-$C$62)</f>
        <v/>
      </c>
      <c r="AD346" s="20">
        <f>AD345*$C$7*$C$62+AD341*$C$7*(1-$C$62)</f>
        <v/>
      </c>
      <c r="AE346" s="20">
        <f>AE345*$C$7*$C$62+AE341*$C$7*(1-$C$62)</f>
        <v/>
      </c>
      <c r="AF346" s="20">
        <f>AF345*$C$7*$C$62+AF341*$C$7*(1-$C$62)</f>
        <v/>
      </c>
    </row>
    <row r="348">
      <c r="A348" s="10" t="inlineStr">
        <is>
          <t>Costi fissi</t>
        </is>
      </c>
    </row>
    <row r="349">
      <c r="A349" s="3" t="inlineStr">
        <is>
          <t>Costi fissi (netto IVA)</t>
        </is>
      </c>
      <c r="B349" s="4" t="inlineStr">
        <is>
          <t>€</t>
        </is>
      </c>
      <c r="C349" s="20">
        <f>100+250+40+IF(C105&gt;=10,IF(C105&lt;$C$6,30,80),0)+IF(C105&gt;=$C$6-1,100,0)+IF(OR(C105=3,C105=15,C105=27),430,0)+IF(OR(C105=$C$6,C105=$C$6+12),1200,0)</f>
        <v/>
      </c>
      <c r="D349" s="20">
        <f>100+250+40+IF(D105&gt;=10,IF(D105&lt;$C$6,30,80),0)+IF(D105&gt;=$C$6-1,100,0)+IF(OR(D105=3,D105=15,D105=27),430,0)+IF(OR(D105=$C$6,D105=$C$6+12),1200,0)</f>
        <v/>
      </c>
      <c r="E349" s="20">
        <f>100+250+40+IF(E105&gt;=10,IF(E105&lt;$C$6,30,80),0)+IF(E105&gt;=$C$6-1,100,0)+IF(OR(E105=3,E105=15,E105=27),430,0)+IF(OR(E105=$C$6,E105=$C$6+12),1200,0)</f>
        <v/>
      </c>
      <c r="F349" s="20">
        <f>100+250+40+IF(F105&gt;=10,IF(F105&lt;$C$6,30,80),0)+IF(F105&gt;=$C$6-1,100,0)+IF(OR(F105=3,F105=15,F105=27),430,0)+IF(OR(F105=$C$6,F105=$C$6+12),1200,0)</f>
        <v/>
      </c>
      <c r="G349" s="20">
        <f>100+250+40+IF(G105&gt;=10,IF(G105&lt;$C$6,30,80),0)+IF(G105&gt;=$C$6-1,100,0)+IF(OR(G105=3,G105=15,G105=27),430,0)+IF(OR(G105=$C$6,G105=$C$6+12),1200,0)</f>
        <v/>
      </c>
      <c r="H349" s="20">
        <f>100+250+40+IF(H105&gt;=10,IF(H105&lt;$C$6,30,80),0)+IF(H105&gt;=$C$6-1,100,0)+IF(OR(H105=3,H105=15,H105=27),430,0)+IF(OR(H105=$C$6,H105=$C$6+12),1200,0)</f>
        <v/>
      </c>
      <c r="I349" s="20">
        <f>100+250+40+IF(I105&gt;=10,IF(I105&lt;$C$6,30,80),0)+IF(I105&gt;=$C$6-1,100,0)+IF(OR(I105=3,I105=15,I105=27),430,0)+IF(OR(I105=$C$6,I105=$C$6+12),1200,0)</f>
        <v/>
      </c>
      <c r="J349" s="20">
        <f>100+250+40+IF(J105&gt;=10,IF(J105&lt;$C$6,30,80),0)+IF(J105&gt;=$C$6-1,100,0)+IF(OR(J105=3,J105=15,J105=27),430,0)+IF(OR(J105=$C$6,J105=$C$6+12),1200,0)</f>
        <v/>
      </c>
      <c r="K349" s="20">
        <f>100+250+40+IF(K105&gt;=10,IF(K105&lt;$C$6,30,80),0)+IF(K105&gt;=$C$6-1,100,0)+IF(OR(K105=3,K105=15,K105=27),430,0)+IF(OR(K105=$C$6,K105=$C$6+12),1200,0)</f>
        <v/>
      </c>
      <c r="L349" s="20">
        <f>100+250+40+IF(L105&gt;=10,IF(L105&lt;$C$6,30,80),0)+IF(L105&gt;=$C$6-1,100,0)+IF(OR(L105=3,L105=15,L105=27),430,0)+IF(OR(L105=$C$6,L105=$C$6+12),1200,0)</f>
        <v/>
      </c>
      <c r="M349" s="20">
        <f>100+250+40+IF(M105&gt;=10,IF(M105&lt;$C$6,30,80),0)+IF(M105&gt;=$C$6-1,100,0)+IF(OR(M105=3,M105=15,M105=27),430,0)+IF(OR(M105=$C$6,M105=$C$6+12),1200,0)</f>
        <v/>
      </c>
      <c r="N349" s="20">
        <f>100+250+40+IF(N105&gt;=10,IF(N105&lt;$C$6,30,80),0)+IF(N105&gt;=$C$6-1,100,0)+IF(OR(N105=3,N105=15,N105=27),430,0)+IF(OR(N105=$C$6,N105=$C$6+12),1200,0)</f>
        <v/>
      </c>
      <c r="O349" s="20">
        <f>100+250+40+IF(O105&gt;=10,IF(O105&lt;$C$6,30,80),0)+IF(O105&gt;=$C$6-1,100,0)+IF(OR(O105=3,O105=15,O105=27),430,0)+IF(OR(O105=$C$6,O105=$C$6+12),1200,0)</f>
        <v/>
      </c>
      <c r="P349" s="20">
        <f>100+250+40+IF(P105&gt;=10,IF(P105&lt;$C$6,30,80),0)+IF(P105&gt;=$C$6-1,100,0)+IF(OR(P105=3,P105=15,P105=27),430,0)+IF(OR(P105=$C$6,P105=$C$6+12),1200,0)</f>
        <v/>
      </c>
      <c r="Q349" s="20">
        <f>100+250+40+IF(Q105&gt;=10,IF(Q105&lt;$C$6,30,80),0)+IF(Q105&gt;=$C$6-1,100,0)+IF(OR(Q105=3,Q105=15,Q105=27),430,0)+IF(OR(Q105=$C$6,Q105=$C$6+12),1200,0)</f>
        <v/>
      </c>
      <c r="R349" s="20">
        <f>100+250+40+IF(R105&gt;=10,IF(R105&lt;$C$6,30,80),0)+IF(R105&gt;=$C$6-1,100,0)+IF(OR(R105=3,R105=15,R105=27),430,0)+IF(OR(R105=$C$6,R105=$C$6+12),1200,0)</f>
        <v/>
      </c>
      <c r="S349" s="20">
        <f>100+250+40+IF(S105&gt;=10,IF(S105&lt;$C$6,30,80),0)+IF(S105&gt;=$C$6-1,100,0)+IF(OR(S105=3,S105=15,S105=27),430,0)+IF(OR(S105=$C$6,S105=$C$6+12),1200,0)</f>
        <v/>
      </c>
      <c r="T349" s="20">
        <f>100+250+40+IF(T105&gt;=10,IF(T105&lt;$C$6,30,80),0)+IF(T105&gt;=$C$6-1,100,0)+IF(OR(T105=3,T105=15,T105=27),430,0)+IF(OR(T105=$C$6,T105=$C$6+12),1200,0)</f>
        <v/>
      </c>
      <c r="U349" s="20">
        <f>100+250+40+IF(U105&gt;=10,IF(U105&lt;$C$6,30,80),0)+IF(U105&gt;=$C$6-1,100,0)+IF(OR(U105=3,U105=15,U105=27),430,0)+IF(OR(U105=$C$6,U105=$C$6+12),1200,0)</f>
        <v/>
      </c>
      <c r="V349" s="20">
        <f>100+250+40+IF(V105&gt;=10,IF(V105&lt;$C$6,30,80),0)+IF(V105&gt;=$C$6-1,100,0)+IF(OR(V105=3,V105=15,V105=27),430,0)+IF(OR(V105=$C$6,V105=$C$6+12),1200,0)</f>
        <v/>
      </c>
      <c r="W349" s="20">
        <f>100+250+40+IF(W105&gt;=10,IF(W105&lt;$C$6,30,80),0)+IF(W105&gt;=$C$6-1,100,0)+IF(OR(W105=3,W105=15,W105=27),430,0)+IF(OR(W105=$C$6,W105=$C$6+12),1200,0)</f>
        <v/>
      </c>
      <c r="X349" s="20">
        <f>100+250+40+IF(X105&gt;=10,IF(X105&lt;$C$6,30,80),0)+IF(X105&gt;=$C$6-1,100,0)+IF(OR(X105=3,X105=15,X105=27),430,0)+IF(OR(X105=$C$6,X105=$C$6+12),1200,0)</f>
        <v/>
      </c>
      <c r="Y349" s="20">
        <f>100+250+40+IF(Y105&gt;=10,IF(Y105&lt;$C$6,30,80),0)+IF(Y105&gt;=$C$6-1,100,0)+IF(OR(Y105=3,Y105=15,Y105=27),430,0)+IF(OR(Y105=$C$6,Y105=$C$6+12),1200,0)</f>
        <v/>
      </c>
      <c r="Z349" s="20">
        <f>100+250+40+IF(Z105&gt;=10,IF(Z105&lt;$C$6,30,80),0)+IF(Z105&gt;=$C$6-1,100,0)+IF(OR(Z105=3,Z105=15,Z105=27),430,0)+IF(OR(Z105=$C$6,Z105=$C$6+12),1200,0)</f>
        <v/>
      </c>
      <c r="AA349" s="20">
        <f>100+250+40+IF(AA105&gt;=10,IF(AA105&lt;$C$6,30,80),0)+IF(AA105&gt;=$C$6-1,100,0)+IF(OR(AA105=3,AA105=15,AA105=27),430,0)+IF(OR(AA105=$C$6,AA105=$C$6+12),1200,0)</f>
        <v/>
      </c>
      <c r="AB349" s="20">
        <f>100+250+40+IF(AB105&gt;=10,IF(AB105&lt;$C$6,30,80),0)+IF(AB105&gt;=$C$6-1,100,0)+IF(OR(AB105=3,AB105=15,AB105=27),430,0)+IF(OR(AB105=$C$6,AB105=$C$6+12),1200,0)</f>
        <v/>
      </c>
      <c r="AC349" s="20">
        <f>100+250+40+IF(AC105&gt;=10,IF(AC105&lt;$C$6,30,80),0)+IF(AC105&gt;=$C$6-1,100,0)+IF(OR(AC105=3,AC105=15,AC105=27),430,0)+IF(OR(AC105=$C$6,AC105=$C$6+12),1200,0)</f>
        <v/>
      </c>
      <c r="AD349" s="20">
        <f>100+250+40+IF(AD105&gt;=10,IF(AD105&lt;$C$6,30,80),0)+IF(AD105&gt;=$C$6-1,100,0)+IF(OR(AD105=3,AD105=15,AD105=27),430,0)+IF(OR(AD105=$C$6,AD105=$C$6+12),1200,0)</f>
        <v/>
      </c>
      <c r="AE349" s="20">
        <f>100+250+40+IF(AE105&gt;=10,IF(AE105&lt;$C$6,30,80),0)+IF(AE105&gt;=$C$6-1,100,0)+IF(OR(AE105=3,AE105=15,AE105=27),430,0)+IF(OR(AE105=$C$6,AE105=$C$6+12),1200,0)</f>
        <v/>
      </c>
      <c r="AF349" s="20">
        <f>100+250+40+IF(AF105&gt;=10,IF(AF105&lt;$C$6,30,80),0)+IF(AF105&gt;=$C$6-1,100,0)+IF(OR(AF105=3,AF105=15,AF105=27),430,0)+IF(OR(AF105=$C$6,AF105=$C$6+12),1200,0)</f>
        <v/>
      </c>
    </row>
    <row r="350">
      <c r="A350" s="3" t="inlineStr">
        <is>
          <t>IVA sui costi fissi</t>
        </is>
      </c>
      <c r="B350" s="4" t="inlineStr">
        <is>
          <t>€</t>
        </is>
      </c>
      <c r="C350" s="20">
        <f>(250+40*0.5+IF(C105&gt;=$C$6-1,100,0))*$C$44</f>
        <v/>
      </c>
      <c r="D350" s="20">
        <f>(250+40*0.5+IF(D105&gt;=$C$6-1,100,0))*$C$44</f>
        <v/>
      </c>
      <c r="E350" s="20">
        <f>(250+40*0.5+IF(E105&gt;=$C$6-1,100,0))*$C$44</f>
        <v/>
      </c>
      <c r="F350" s="20">
        <f>(250+40*0.5+IF(F105&gt;=$C$6-1,100,0))*$C$44</f>
        <v/>
      </c>
      <c r="G350" s="20">
        <f>(250+40*0.5+IF(G105&gt;=$C$6-1,100,0))*$C$44</f>
        <v/>
      </c>
      <c r="H350" s="20">
        <f>(250+40*0.5+IF(H105&gt;=$C$6-1,100,0))*$C$44</f>
        <v/>
      </c>
      <c r="I350" s="20">
        <f>(250+40*0.5+IF(I105&gt;=$C$6-1,100,0))*$C$44</f>
        <v/>
      </c>
      <c r="J350" s="20">
        <f>(250+40*0.5+IF(J105&gt;=$C$6-1,100,0))*$C$44</f>
        <v/>
      </c>
      <c r="K350" s="20">
        <f>(250+40*0.5+IF(K105&gt;=$C$6-1,100,0))*$C$44</f>
        <v/>
      </c>
      <c r="L350" s="20">
        <f>(250+40*0.5+IF(L105&gt;=$C$6-1,100,0))*$C$44</f>
        <v/>
      </c>
      <c r="M350" s="20">
        <f>(250+40*0.5+IF(M105&gt;=$C$6-1,100,0))*$C$44</f>
        <v/>
      </c>
      <c r="N350" s="20">
        <f>(250+40*0.5+IF(N105&gt;=$C$6-1,100,0))*$C$44</f>
        <v/>
      </c>
      <c r="O350" s="20">
        <f>(250+40*0.5+IF(O105&gt;=$C$6-1,100,0))*$C$44</f>
        <v/>
      </c>
      <c r="P350" s="20">
        <f>(250+40*0.5+IF(P105&gt;=$C$6-1,100,0))*$C$44</f>
        <v/>
      </c>
      <c r="Q350" s="20">
        <f>(250+40*0.5+IF(Q105&gt;=$C$6-1,100,0))*$C$44</f>
        <v/>
      </c>
      <c r="R350" s="20">
        <f>(250+40*0.5+IF(R105&gt;=$C$6-1,100,0))*$C$44</f>
        <v/>
      </c>
      <c r="S350" s="20">
        <f>(250+40*0.5+IF(S105&gt;=$C$6-1,100,0))*$C$44</f>
        <v/>
      </c>
      <c r="T350" s="20">
        <f>(250+40*0.5+IF(T105&gt;=$C$6-1,100,0))*$C$44</f>
        <v/>
      </c>
      <c r="U350" s="20">
        <f>(250+40*0.5+IF(U105&gt;=$C$6-1,100,0))*$C$44</f>
        <v/>
      </c>
      <c r="V350" s="20">
        <f>(250+40*0.5+IF(V105&gt;=$C$6-1,100,0))*$C$44</f>
        <v/>
      </c>
      <c r="W350" s="20">
        <f>(250+40*0.5+IF(W105&gt;=$C$6-1,100,0))*$C$44</f>
        <v/>
      </c>
      <c r="X350" s="20">
        <f>(250+40*0.5+IF(X105&gt;=$C$6-1,100,0))*$C$44</f>
        <v/>
      </c>
      <c r="Y350" s="20">
        <f>(250+40*0.5+IF(Y105&gt;=$C$6-1,100,0))*$C$44</f>
        <v/>
      </c>
      <c r="Z350" s="20">
        <f>(250+40*0.5+IF(Z105&gt;=$C$6-1,100,0))*$C$44</f>
        <v/>
      </c>
      <c r="AA350" s="20">
        <f>(250+40*0.5+IF(AA105&gt;=$C$6-1,100,0))*$C$44</f>
        <v/>
      </c>
      <c r="AB350" s="20">
        <f>(250+40*0.5+IF(AB105&gt;=$C$6-1,100,0))*$C$44</f>
        <v/>
      </c>
      <c r="AC350" s="20">
        <f>(250+40*0.5+IF(AC105&gt;=$C$6-1,100,0))*$C$44</f>
        <v/>
      </c>
      <c r="AD350" s="20">
        <f>(250+40*0.5+IF(AD105&gt;=$C$6-1,100,0))*$C$44</f>
        <v/>
      </c>
      <c r="AE350" s="20">
        <f>(250+40*0.5+IF(AE105&gt;=$C$6-1,100,0))*$C$44</f>
        <v/>
      </c>
      <c r="AF350" s="20">
        <f>(250+40*0.5+IF(AF105&gt;=$C$6-1,100,0))*$C$44</f>
        <v/>
      </c>
    </row>
    <row r="351">
      <c r="A351" s="4" t="inlineStr">
        <is>
          <t>Abbonamenti IA 100 (Fable 5.1 e ASTRA di OpenAI) · commercialista 250 · banca, PEC, dominio 40 · piattaforma e-commerce 30, poi 80 dal lancio · magazzino 100 dal mese prima del lancio · diritto camerale e libri sociali 430 nei mesi 3, 15, 27 · assicurazione RC prodotto 1.200 all'anno</t>
        </is>
      </c>
    </row>
    <row r="353">
      <c r="A353" s="10" t="inlineStr">
        <is>
          <t>IVA: posizione mensile, compensazione, versamenti</t>
        </is>
      </c>
    </row>
    <row r="354">
      <c r="A354" s="3" t="inlineStr">
        <is>
          <t>Costi di progetto (netto IVA)</t>
        </is>
      </c>
      <c r="B354" s="4" t="inlineStr">
        <is>
          <t>€</t>
        </is>
      </c>
      <c r="C354" s="20">
        <f>SUMIF($C$298:$C$337,C105,$D$298:$D$337)</f>
        <v/>
      </c>
      <c r="D354" s="20">
        <f>SUMIF($C$298:$C$337,D105,$D$298:$D$337)</f>
        <v/>
      </c>
      <c r="E354" s="20">
        <f>SUMIF($C$298:$C$337,E105,$D$298:$D$337)</f>
        <v/>
      </c>
      <c r="F354" s="20">
        <f>SUMIF($C$298:$C$337,F105,$D$298:$D$337)</f>
        <v/>
      </c>
      <c r="G354" s="20">
        <f>SUMIF($C$298:$C$337,G105,$D$298:$D$337)</f>
        <v/>
      </c>
      <c r="H354" s="20">
        <f>SUMIF($C$298:$C$337,H105,$D$298:$D$337)</f>
        <v/>
      </c>
      <c r="I354" s="20">
        <f>SUMIF($C$298:$C$337,I105,$D$298:$D$337)</f>
        <v/>
      </c>
      <c r="J354" s="20">
        <f>SUMIF($C$298:$C$337,J105,$D$298:$D$337)</f>
        <v/>
      </c>
      <c r="K354" s="20">
        <f>SUMIF($C$298:$C$337,K105,$D$298:$D$337)</f>
        <v/>
      </c>
      <c r="L354" s="20">
        <f>SUMIF($C$298:$C$337,L105,$D$298:$D$337)</f>
        <v/>
      </c>
      <c r="M354" s="20">
        <f>SUMIF($C$298:$C$337,M105,$D$298:$D$337)</f>
        <v/>
      </c>
      <c r="N354" s="20">
        <f>SUMIF($C$298:$C$337,N105,$D$298:$D$337)</f>
        <v/>
      </c>
      <c r="O354" s="20">
        <f>SUMIF($C$298:$C$337,O105,$D$298:$D$337)</f>
        <v/>
      </c>
      <c r="P354" s="20">
        <f>SUMIF($C$298:$C$337,P105,$D$298:$D$337)</f>
        <v/>
      </c>
      <c r="Q354" s="20">
        <f>SUMIF($C$298:$C$337,Q105,$D$298:$D$337)</f>
        <v/>
      </c>
      <c r="R354" s="20">
        <f>SUMIF($C$298:$C$337,R105,$D$298:$D$337)</f>
        <v/>
      </c>
      <c r="S354" s="20">
        <f>SUMIF($C$298:$C$337,S105,$D$298:$D$337)</f>
        <v/>
      </c>
      <c r="T354" s="20">
        <f>SUMIF($C$298:$C$337,T105,$D$298:$D$337)</f>
        <v/>
      </c>
      <c r="U354" s="20">
        <f>SUMIF($C$298:$C$337,U105,$D$298:$D$337)</f>
        <v/>
      </c>
      <c r="V354" s="20">
        <f>SUMIF($C$298:$C$337,V105,$D$298:$D$337)</f>
        <v/>
      </c>
      <c r="W354" s="20">
        <f>SUMIF($C$298:$C$337,W105,$D$298:$D$337)</f>
        <v/>
      </c>
      <c r="X354" s="20">
        <f>SUMIF($C$298:$C$337,X105,$D$298:$D$337)</f>
        <v/>
      </c>
      <c r="Y354" s="20">
        <f>SUMIF($C$298:$C$337,Y105,$D$298:$D$337)</f>
        <v/>
      </c>
      <c r="Z354" s="20">
        <f>SUMIF($C$298:$C$337,Z105,$D$298:$D$337)</f>
        <v/>
      </c>
      <c r="AA354" s="20">
        <f>SUMIF($C$298:$C$337,AA105,$D$298:$D$337)</f>
        <v/>
      </c>
      <c r="AB354" s="20">
        <f>SUMIF($C$298:$C$337,AB105,$D$298:$D$337)</f>
        <v/>
      </c>
      <c r="AC354" s="20">
        <f>SUMIF($C$298:$C$337,AC105,$D$298:$D$337)</f>
        <v/>
      </c>
      <c r="AD354" s="20">
        <f>SUMIF($C$298:$C$337,AD105,$D$298:$D$337)</f>
        <v/>
      </c>
      <c r="AE354" s="20">
        <f>SUMIF($C$298:$C$337,AE105,$D$298:$D$337)</f>
        <v/>
      </c>
      <c r="AF354" s="20">
        <f>SUMIF($C$298:$C$337,AF105,$D$298:$D$337)</f>
        <v/>
      </c>
    </row>
    <row r="355">
      <c r="A355" s="3" t="inlineStr">
        <is>
          <t>IVA sui costi di progetto</t>
        </is>
      </c>
      <c r="B355" s="4" t="inlineStr">
        <is>
          <t>€</t>
        </is>
      </c>
      <c r="C355" s="20">
        <f>SUMIF($C$298:$C$337,C105,$E$298:$E$337)</f>
        <v/>
      </c>
      <c r="D355" s="20">
        <f>SUMIF($C$298:$C$337,D105,$E$298:$E$337)</f>
        <v/>
      </c>
      <c r="E355" s="20">
        <f>SUMIF($C$298:$C$337,E105,$E$298:$E$337)</f>
        <v/>
      </c>
      <c r="F355" s="20">
        <f>SUMIF($C$298:$C$337,F105,$E$298:$E$337)</f>
        <v/>
      </c>
      <c r="G355" s="20">
        <f>SUMIF($C$298:$C$337,G105,$E$298:$E$337)</f>
        <v/>
      </c>
      <c r="H355" s="20">
        <f>SUMIF($C$298:$C$337,H105,$E$298:$E$337)</f>
        <v/>
      </c>
      <c r="I355" s="20">
        <f>SUMIF($C$298:$C$337,I105,$E$298:$E$337)</f>
        <v/>
      </c>
      <c r="J355" s="20">
        <f>SUMIF($C$298:$C$337,J105,$E$298:$E$337)</f>
        <v/>
      </c>
      <c r="K355" s="20">
        <f>SUMIF($C$298:$C$337,K105,$E$298:$E$337)</f>
        <v/>
      </c>
      <c r="L355" s="20">
        <f>SUMIF($C$298:$C$337,L105,$E$298:$E$337)</f>
        <v/>
      </c>
      <c r="M355" s="20">
        <f>SUMIF($C$298:$C$337,M105,$E$298:$E$337)</f>
        <v/>
      </c>
      <c r="N355" s="20">
        <f>SUMIF($C$298:$C$337,N105,$E$298:$E$337)</f>
        <v/>
      </c>
      <c r="O355" s="20">
        <f>SUMIF($C$298:$C$337,O105,$E$298:$E$337)</f>
        <v/>
      </c>
      <c r="P355" s="20">
        <f>SUMIF($C$298:$C$337,P105,$E$298:$E$337)</f>
        <v/>
      </c>
      <c r="Q355" s="20">
        <f>SUMIF($C$298:$C$337,Q105,$E$298:$E$337)</f>
        <v/>
      </c>
      <c r="R355" s="20">
        <f>SUMIF($C$298:$C$337,R105,$E$298:$E$337)</f>
        <v/>
      </c>
      <c r="S355" s="20">
        <f>SUMIF($C$298:$C$337,S105,$E$298:$E$337)</f>
        <v/>
      </c>
      <c r="T355" s="20">
        <f>SUMIF($C$298:$C$337,T105,$E$298:$E$337)</f>
        <v/>
      </c>
      <c r="U355" s="20">
        <f>SUMIF($C$298:$C$337,U105,$E$298:$E$337)</f>
        <v/>
      </c>
      <c r="V355" s="20">
        <f>SUMIF($C$298:$C$337,V105,$E$298:$E$337)</f>
        <v/>
      </c>
      <c r="W355" s="20">
        <f>SUMIF($C$298:$C$337,W105,$E$298:$E$337)</f>
        <v/>
      </c>
      <c r="X355" s="20">
        <f>SUMIF($C$298:$C$337,X105,$E$298:$E$337)</f>
        <v/>
      </c>
      <c r="Y355" s="20">
        <f>SUMIF($C$298:$C$337,Y105,$E$298:$E$337)</f>
        <v/>
      </c>
      <c r="Z355" s="20">
        <f>SUMIF($C$298:$C$337,Z105,$E$298:$E$337)</f>
        <v/>
      </c>
      <c r="AA355" s="20">
        <f>SUMIF($C$298:$C$337,AA105,$E$298:$E$337)</f>
        <v/>
      </c>
      <c r="AB355" s="20">
        <f>SUMIF($C$298:$C$337,AB105,$E$298:$E$337)</f>
        <v/>
      </c>
      <c r="AC355" s="20">
        <f>SUMIF($C$298:$C$337,AC105,$E$298:$E$337)</f>
        <v/>
      </c>
      <c r="AD355" s="20">
        <f>SUMIF($C$298:$C$337,AD105,$E$298:$E$337)</f>
        <v/>
      </c>
      <c r="AE355" s="20">
        <f>SUMIF($C$298:$C$337,AE105,$E$298:$E$337)</f>
        <v/>
      </c>
      <c r="AF355" s="20">
        <f>SUMIF($C$298:$C$337,AF105,$E$298:$E$337)</f>
        <v/>
      </c>
    </row>
    <row r="356">
      <c r="A356" s="3" t="inlineStr">
        <is>
          <t>IVA pagata ai fornitori nel mese</t>
        </is>
      </c>
      <c r="B356" s="4" t="inlineStr">
        <is>
          <t>€</t>
        </is>
      </c>
      <c r="C356" s="20">
        <f>C355+C350+C346*$C$44+C289*$C$44</f>
        <v/>
      </c>
      <c r="D356" s="20">
        <f>D355+D350+D346*$C$44+D289*$C$44</f>
        <v/>
      </c>
      <c r="E356" s="20">
        <f>E355+E350+E346*$C$44+E289*$C$44</f>
        <v/>
      </c>
      <c r="F356" s="20">
        <f>F355+F350+F346*$C$44+F289*$C$44</f>
        <v/>
      </c>
      <c r="G356" s="20">
        <f>G355+G350+G346*$C$44+G289*$C$44</f>
        <v/>
      </c>
      <c r="H356" s="20">
        <f>H355+H350+H346*$C$44+H289*$C$44</f>
        <v/>
      </c>
      <c r="I356" s="20">
        <f>I355+I350+I346*$C$44+I289*$C$44</f>
        <v/>
      </c>
      <c r="J356" s="20">
        <f>J355+J350+J346*$C$44+J289*$C$44</f>
        <v/>
      </c>
      <c r="K356" s="20">
        <f>K355+K350+K346*$C$44+K289*$C$44</f>
        <v/>
      </c>
      <c r="L356" s="20">
        <f>L355+L350+L346*$C$44+L289*$C$44</f>
        <v/>
      </c>
      <c r="M356" s="20">
        <f>M355+M350+M346*$C$44+M289*$C$44</f>
        <v/>
      </c>
      <c r="N356" s="20">
        <f>N355+N350+N346*$C$44+N289*$C$44</f>
        <v/>
      </c>
      <c r="O356" s="20">
        <f>O355+O350+O346*$C$44+O289*$C$44</f>
        <v/>
      </c>
      <c r="P356" s="20">
        <f>P355+P350+P346*$C$44+P289*$C$44</f>
        <v/>
      </c>
      <c r="Q356" s="20">
        <f>Q355+Q350+Q346*$C$44+Q289*$C$44</f>
        <v/>
      </c>
      <c r="R356" s="20">
        <f>R355+R350+R346*$C$44+R289*$C$44</f>
        <v/>
      </c>
      <c r="S356" s="20">
        <f>S355+S350+S346*$C$44+S289*$C$44</f>
        <v/>
      </c>
      <c r="T356" s="20">
        <f>T355+T350+T346*$C$44+T289*$C$44</f>
        <v/>
      </c>
      <c r="U356" s="20">
        <f>U355+U350+U346*$C$44+U289*$C$44</f>
        <v/>
      </c>
      <c r="V356" s="20">
        <f>V355+V350+V346*$C$44+V289*$C$44</f>
        <v/>
      </c>
      <c r="W356" s="20">
        <f>W355+W350+W346*$C$44+W289*$C$44</f>
        <v/>
      </c>
      <c r="X356" s="20">
        <f>X355+X350+X346*$C$44+X289*$C$44</f>
        <v/>
      </c>
      <c r="Y356" s="20">
        <f>Y355+Y350+Y346*$C$44+Y289*$C$44</f>
        <v/>
      </c>
      <c r="Z356" s="20">
        <f>Z355+Z350+Z346*$C$44+Z289*$C$44</f>
        <v/>
      </c>
      <c r="AA356" s="20">
        <f>AA355+AA350+AA346*$C$44+AA289*$C$44</f>
        <v/>
      </c>
      <c r="AB356" s="20">
        <f>AB355+AB350+AB346*$C$44+AB289*$C$44</f>
        <v/>
      </c>
      <c r="AC356" s="20">
        <f>AC355+AC350+AC346*$C$44+AC289*$C$44</f>
        <v/>
      </c>
      <c r="AD356" s="20">
        <f>AD355+AD350+AD346*$C$44+AD289*$C$44</f>
        <v/>
      </c>
      <c r="AE356" s="20">
        <f>AE355+AE350+AE346*$C$44+AE289*$C$44</f>
        <v/>
      </c>
      <c r="AF356" s="20">
        <f>AF355+AF350+AF346*$C$44+AF289*$C$44</f>
        <v/>
      </c>
    </row>
    <row r="357">
      <c r="A357" s="3" t="inlineStr">
        <is>
          <t>IVA del mese: vendite meno rimborsi meno acquisti</t>
        </is>
      </c>
      <c r="B357" s="4" t="inlineStr">
        <is>
          <t>€</t>
        </is>
      </c>
      <c r="C357" s="20">
        <f>C286-C288-C356</f>
        <v/>
      </c>
      <c r="D357" s="20">
        <f>D286-D288-D356</f>
        <v/>
      </c>
      <c r="E357" s="20">
        <f>E286-E288-E356</f>
        <v/>
      </c>
      <c r="F357" s="20">
        <f>F286-F288-F356</f>
        <v/>
      </c>
      <c r="G357" s="20">
        <f>G286-G288-G356</f>
        <v/>
      </c>
      <c r="H357" s="20">
        <f>H286-H288-H356</f>
        <v/>
      </c>
      <c r="I357" s="20">
        <f>I286-I288-I356</f>
        <v/>
      </c>
      <c r="J357" s="20">
        <f>J286-J288-J356</f>
        <v/>
      </c>
      <c r="K357" s="20">
        <f>K286-K288-K356</f>
        <v/>
      </c>
      <c r="L357" s="20">
        <f>L286-L288-L356</f>
        <v/>
      </c>
      <c r="M357" s="20">
        <f>M286-M288-M356</f>
        <v/>
      </c>
      <c r="N357" s="20">
        <f>N286-N288-N356</f>
        <v/>
      </c>
      <c r="O357" s="20">
        <f>O286-O288-O356</f>
        <v/>
      </c>
      <c r="P357" s="20">
        <f>P286-P288-P356</f>
        <v/>
      </c>
      <c r="Q357" s="20">
        <f>Q286-Q288-Q356</f>
        <v/>
      </c>
      <c r="R357" s="20">
        <f>R286-R288-R356</f>
        <v/>
      </c>
      <c r="S357" s="20">
        <f>S286-S288-S356</f>
        <v/>
      </c>
      <c r="T357" s="20">
        <f>T286-T288-T356</f>
        <v/>
      </c>
      <c r="U357" s="20">
        <f>U286-U288-U356</f>
        <v/>
      </c>
      <c r="V357" s="20">
        <f>V286-V288-V356</f>
        <v/>
      </c>
      <c r="W357" s="20">
        <f>W286-W288-W356</f>
        <v/>
      </c>
      <c r="X357" s="20">
        <f>X286-X288-X356</f>
        <v/>
      </c>
      <c r="Y357" s="20">
        <f>Y286-Y288-Y356</f>
        <v/>
      </c>
      <c r="Z357" s="20">
        <f>Z286-Z288-Z356</f>
        <v/>
      </c>
      <c r="AA357" s="20">
        <f>AA286-AA288-AA356</f>
        <v/>
      </c>
      <c r="AB357" s="20">
        <f>AB286-AB288-AB356</f>
        <v/>
      </c>
      <c r="AC357" s="20">
        <f>AC286-AC288-AC356</f>
        <v/>
      </c>
      <c r="AD357" s="20">
        <f>AD286-AD288-AD356</f>
        <v/>
      </c>
      <c r="AE357" s="20">
        <f>AE286-AE288-AE356</f>
        <v/>
      </c>
      <c r="AF357" s="20">
        <f>AF286-AF288-AF356</f>
        <v/>
      </c>
    </row>
    <row r="358">
      <c r="A358" s="3" t="inlineStr">
        <is>
          <t>Posizione prima del versamento</t>
        </is>
      </c>
      <c r="B358" s="4" t="inlineStr">
        <is>
          <t>€</t>
        </is>
      </c>
      <c r="C358" s="20">
        <f>C357</f>
        <v/>
      </c>
      <c r="D358" s="20">
        <f>C360+D357</f>
        <v/>
      </c>
      <c r="E358" s="20">
        <f>D360+E357</f>
        <v/>
      </c>
      <c r="F358" s="20">
        <f>E360+F357</f>
        <v/>
      </c>
      <c r="G358" s="20">
        <f>F360+G357</f>
        <v/>
      </c>
      <c r="H358" s="20">
        <f>G360+H357</f>
        <v/>
      </c>
      <c r="I358" s="20">
        <f>H360+I357</f>
        <v/>
      </c>
      <c r="J358" s="20">
        <f>I360+J357</f>
        <v/>
      </c>
      <c r="K358" s="20">
        <f>J360+K357</f>
        <v/>
      </c>
      <c r="L358" s="20">
        <f>K360+L357</f>
        <v/>
      </c>
      <c r="M358" s="20">
        <f>L360+M357</f>
        <v/>
      </c>
      <c r="N358" s="20">
        <f>M360+N357</f>
        <v/>
      </c>
      <c r="O358" s="20">
        <f>N360+O357</f>
        <v/>
      </c>
      <c r="P358" s="20">
        <f>O360+P357</f>
        <v/>
      </c>
      <c r="Q358" s="20">
        <f>P360+Q357</f>
        <v/>
      </c>
      <c r="R358" s="20">
        <f>Q360+R357</f>
        <v/>
      </c>
      <c r="S358" s="20">
        <f>R360+S357</f>
        <v/>
      </c>
      <c r="T358" s="20">
        <f>S360+T357</f>
        <v/>
      </c>
      <c r="U358" s="20">
        <f>T360+U357</f>
        <v/>
      </c>
      <c r="V358" s="20">
        <f>U360+V357</f>
        <v/>
      </c>
      <c r="W358" s="20">
        <f>V360+W357</f>
        <v/>
      </c>
      <c r="X358" s="20">
        <f>W360+X357</f>
        <v/>
      </c>
      <c r="Y358" s="20">
        <f>X360+Y357</f>
        <v/>
      </c>
      <c r="Z358" s="20">
        <f>Y360+Z357</f>
        <v/>
      </c>
      <c r="AA358" s="20">
        <f>Z360+AA357</f>
        <v/>
      </c>
      <c r="AB358" s="20">
        <f>AA360+AB357</f>
        <v/>
      </c>
      <c r="AC358" s="20">
        <f>AB360+AC357</f>
        <v/>
      </c>
      <c r="AD358" s="20">
        <f>AC360+AD357</f>
        <v/>
      </c>
      <c r="AE358" s="20">
        <f>AD360+AE357</f>
        <v/>
      </c>
      <c r="AF358" s="20">
        <f>AE360+AF357</f>
        <v/>
      </c>
    </row>
    <row r="359">
      <c r="A359" s="3" t="inlineStr">
        <is>
          <t>IVA da versare il mese successivo</t>
        </is>
      </c>
      <c r="B359" s="4" t="inlineStr">
        <is>
          <t>€</t>
        </is>
      </c>
      <c r="C359" s="20">
        <f>MAX(0,C358)</f>
        <v/>
      </c>
      <c r="D359" s="20">
        <f>MAX(0,D358)</f>
        <v/>
      </c>
      <c r="E359" s="20">
        <f>MAX(0,E358)</f>
        <v/>
      </c>
      <c r="F359" s="20">
        <f>MAX(0,F358)</f>
        <v/>
      </c>
      <c r="G359" s="20">
        <f>MAX(0,G358)</f>
        <v/>
      </c>
      <c r="H359" s="20">
        <f>MAX(0,H358)</f>
        <v/>
      </c>
      <c r="I359" s="20">
        <f>MAX(0,I358)</f>
        <v/>
      </c>
      <c r="J359" s="20">
        <f>MAX(0,J358)</f>
        <v/>
      </c>
      <c r="K359" s="20">
        <f>MAX(0,K358)</f>
        <v/>
      </c>
      <c r="L359" s="20">
        <f>MAX(0,L358)</f>
        <v/>
      </c>
      <c r="M359" s="20">
        <f>MAX(0,M358)</f>
        <v/>
      </c>
      <c r="N359" s="20">
        <f>MAX(0,N358)</f>
        <v/>
      </c>
      <c r="O359" s="20">
        <f>MAX(0,O358)</f>
        <v/>
      </c>
      <c r="P359" s="20">
        <f>MAX(0,P358)</f>
        <v/>
      </c>
      <c r="Q359" s="20">
        <f>MAX(0,Q358)</f>
        <v/>
      </c>
      <c r="R359" s="20">
        <f>MAX(0,R358)</f>
        <v/>
      </c>
      <c r="S359" s="20">
        <f>MAX(0,S358)</f>
        <v/>
      </c>
      <c r="T359" s="20">
        <f>MAX(0,T358)</f>
        <v/>
      </c>
      <c r="U359" s="20">
        <f>MAX(0,U358)</f>
        <v/>
      </c>
      <c r="V359" s="20">
        <f>MAX(0,V358)</f>
        <v/>
      </c>
      <c r="W359" s="20">
        <f>MAX(0,W358)</f>
        <v/>
      </c>
      <c r="X359" s="20">
        <f>MAX(0,X358)</f>
        <v/>
      </c>
      <c r="Y359" s="20">
        <f>MAX(0,Y358)</f>
        <v/>
      </c>
      <c r="Z359" s="20">
        <f>MAX(0,Z358)</f>
        <v/>
      </c>
      <c r="AA359" s="20">
        <f>MAX(0,AA358)</f>
        <v/>
      </c>
      <c r="AB359" s="20">
        <f>MAX(0,AB358)</f>
        <v/>
      </c>
      <c r="AC359" s="20">
        <f>MAX(0,AC358)</f>
        <v/>
      </c>
      <c r="AD359" s="20">
        <f>MAX(0,AD358)</f>
        <v/>
      </c>
      <c r="AE359" s="20">
        <f>MAX(0,AE358)</f>
        <v/>
      </c>
      <c r="AF359" s="20">
        <f>MAX(0,AF358)</f>
        <v/>
      </c>
    </row>
    <row r="360">
      <c r="A360" s="3" t="inlineStr">
        <is>
          <t>Posizione dopo il versamento (negativo = credito)</t>
        </is>
      </c>
      <c r="B360" s="4" t="inlineStr">
        <is>
          <t>€</t>
        </is>
      </c>
      <c r="C360" s="20">
        <f>MIN(0,C358)</f>
        <v/>
      </c>
      <c r="D360" s="20">
        <f>MIN(0,D358)</f>
        <v/>
      </c>
      <c r="E360" s="20">
        <f>MIN(0,E358)</f>
        <v/>
      </c>
      <c r="F360" s="20">
        <f>MIN(0,F358)</f>
        <v/>
      </c>
      <c r="G360" s="20">
        <f>MIN(0,G358)</f>
        <v/>
      </c>
      <c r="H360" s="20">
        <f>MIN(0,H358)</f>
        <v/>
      </c>
      <c r="I360" s="20">
        <f>MIN(0,I358)</f>
        <v/>
      </c>
      <c r="J360" s="20">
        <f>MIN(0,J358)</f>
        <v/>
      </c>
      <c r="K360" s="20">
        <f>MIN(0,K358)</f>
        <v/>
      </c>
      <c r="L360" s="20">
        <f>MIN(0,L358)</f>
        <v/>
      </c>
      <c r="M360" s="20">
        <f>MIN(0,M358)</f>
        <v/>
      </c>
      <c r="N360" s="20">
        <f>MIN(0,N358)</f>
        <v/>
      </c>
      <c r="O360" s="20">
        <f>MIN(0,O358)</f>
        <v/>
      </c>
      <c r="P360" s="20">
        <f>MIN(0,P358)</f>
        <v/>
      </c>
      <c r="Q360" s="20">
        <f>MIN(0,Q358)</f>
        <v/>
      </c>
      <c r="R360" s="20">
        <f>MIN(0,R358)</f>
        <v/>
      </c>
      <c r="S360" s="20">
        <f>MIN(0,S358)</f>
        <v/>
      </c>
      <c r="T360" s="20">
        <f>MIN(0,T358)</f>
        <v/>
      </c>
      <c r="U360" s="20">
        <f>MIN(0,U358)</f>
        <v/>
      </c>
      <c r="V360" s="20">
        <f>MIN(0,V358)</f>
        <v/>
      </c>
      <c r="W360" s="20">
        <f>MIN(0,W358)</f>
        <v/>
      </c>
      <c r="X360" s="20">
        <f>MIN(0,X358)</f>
        <v/>
      </c>
      <c r="Y360" s="20">
        <f>MIN(0,Y358)</f>
        <v/>
      </c>
      <c r="Z360" s="20">
        <f>MIN(0,Z358)</f>
        <v/>
      </c>
      <c r="AA360" s="20">
        <f>MIN(0,AA358)</f>
        <v/>
      </c>
      <c r="AB360" s="20">
        <f>MIN(0,AB358)</f>
        <v/>
      </c>
      <c r="AC360" s="20">
        <f>MIN(0,AC358)</f>
        <v/>
      </c>
      <c r="AD360" s="20">
        <f>MIN(0,AD358)</f>
        <v/>
      </c>
      <c r="AE360" s="20">
        <f>MIN(0,AE358)</f>
        <v/>
      </c>
      <c r="AF360" s="20">
        <f>MIN(0,AF358)</f>
        <v/>
      </c>
    </row>
    <row r="361">
      <c r="A361" s="3" t="inlineStr">
        <is>
          <t>IVA versata nel mese</t>
        </is>
      </c>
      <c r="B361" s="4" t="inlineStr">
        <is>
          <t>€</t>
        </is>
      </c>
      <c r="C361" s="20" t="n">
        <v>0</v>
      </c>
      <c r="D361" s="20">
        <f>C359</f>
        <v/>
      </c>
      <c r="E361" s="20">
        <f>D359</f>
        <v/>
      </c>
      <c r="F361" s="20">
        <f>E359</f>
        <v/>
      </c>
      <c r="G361" s="20">
        <f>F359</f>
        <v/>
      </c>
      <c r="H361" s="20">
        <f>G359</f>
        <v/>
      </c>
      <c r="I361" s="20">
        <f>H359</f>
        <v/>
      </c>
      <c r="J361" s="20">
        <f>I359</f>
        <v/>
      </c>
      <c r="K361" s="20">
        <f>J359</f>
        <v/>
      </c>
      <c r="L361" s="20">
        <f>K359</f>
        <v/>
      </c>
      <c r="M361" s="20">
        <f>L359</f>
        <v/>
      </c>
      <c r="N361" s="20">
        <f>M359</f>
        <v/>
      </c>
      <c r="O361" s="20">
        <f>N359</f>
        <v/>
      </c>
      <c r="P361" s="20">
        <f>O359</f>
        <v/>
      </c>
      <c r="Q361" s="20">
        <f>P359</f>
        <v/>
      </c>
      <c r="R361" s="20">
        <f>Q359</f>
        <v/>
      </c>
      <c r="S361" s="20">
        <f>R359</f>
        <v/>
      </c>
      <c r="T361" s="20">
        <f>S359</f>
        <v/>
      </c>
      <c r="U361" s="20">
        <f>T359</f>
        <v/>
      </c>
      <c r="V361" s="20">
        <f>U359</f>
        <v/>
      </c>
      <c r="W361" s="20">
        <f>V359</f>
        <v/>
      </c>
      <c r="X361" s="20">
        <f>W359</f>
        <v/>
      </c>
      <c r="Y361" s="20">
        <f>X359</f>
        <v/>
      </c>
      <c r="Z361" s="20">
        <f>Y359</f>
        <v/>
      </c>
      <c r="AA361" s="20">
        <f>Z359</f>
        <v/>
      </c>
      <c r="AB361" s="20">
        <f>AA359</f>
        <v/>
      </c>
      <c r="AC361" s="20">
        <f>AB359</f>
        <v/>
      </c>
      <c r="AD361" s="20">
        <f>AC359</f>
        <v/>
      </c>
      <c r="AE361" s="20">
        <f>AD359</f>
        <v/>
      </c>
      <c r="AF361" s="20">
        <f>AE359</f>
        <v/>
      </c>
    </row>
    <row r="362">
      <c r="A362" s="3" t="inlineStr">
        <is>
          <t>Credito IVA a fine mese</t>
        </is>
      </c>
      <c r="B362" s="4" t="inlineStr">
        <is>
          <t>€</t>
        </is>
      </c>
      <c r="C362" s="20">
        <f>-C360</f>
        <v/>
      </c>
      <c r="D362" s="20">
        <f>-D360</f>
        <v/>
      </c>
      <c r="E362" s="20">
        <f>-E360</f>
        <v/>
      </c>
      <c r="F362" s="20">
        <f>-F360</f>
        <v/>
      </c>
      <c r="G362" s="20">
        <f>-G360</f>
        <v/>
      </c>
      <c r="H362" s="20">
        <f>-H360</f>
        <v/>
      </c>
      <c r="I362" s="20">
        <f>-I360</f>
        <v/>
      </c>
      <c r="J362" s="20">
        <f>-J360</f>
        <v/>
      </c>
      <c r="K362" s="20">
        <f>-K360</f>
        <v/>
      </c>
      <c r="L362" s="20">
        <f>-L360</f>
        <v/>
      </c>
      <c r="M362" s="20">
        <f>-M360</f>
        <v/>
      </c>
      <c r="N362" s="20">
        <f>-N360</f>
        <v/>
      </c>
      <c r="O362" s="20">
        <f>-O360</f>
        <v/>
      </c>
      <c r="P362" s="20">
        <f>-P360</f>
        <v/>
      </c>
      <c r="Q362" s="20">
        <f>-Q360</f>
        <v/>
      </c>
      <c r="R362" s="20">
        <f>-R360</f>
        <v/>
      </c>
      <c r="S362" s="20">
        <f>-S360</f>
        <v/>
      </c>
      <c r="T362" s="20">
        <f>-T360</f>
        <v/>
      </c>
      <c r="U362" s="20">
        <f>-U360</f>
        <v/>
      </c>
      <c r="V362" s="20">
        <f>-V360</f>
        <v/>
      </c>
      <c r="W362" s="20">
        <f>-W360</f>
        <v/>
      </c>
      <c r="X362" s="20">
        <f>-X360</f>
        <v/>
      </c>
      <c r="Y362" s="20">
        <f>-Y360</f>
        <v/>
      </c>
      <c r="Z362" s="20">
        <f>-Z360</f>
        <v/>
      </c>
      <c r="AA362" s="20">
        <f>-AA360</f>
        <v/>
      </c>
      <c r="AB362" s="20">
        <f>-AB360</f>
        <v/>
      </c>
      <c r="AC362" s="20">
        <f>-AC360</f>
        <v/>
      </c>
      <c r="AD362" s="20">
        <f>-AD360</f>
        <v/>
      </c>
      <c r="AE362" s="20">
        <f>-AE360</f>
        <v/>
      </c>
      <c r="AF362" s="20">
        <f>-AF360</f>
        <v/>
      </c>
    </row>
    <row r="364">
      <c r="A364" s="10" t="inlineStr">
        <is>
          <t>Cassa</t>
        </is>
      </c>
    </row>
    <row r="365">
      <c r="A365" s="3" t="inlineStr">
        <is>
          <t>Capitale versato</t>
        </is>
      </c>
      <c r="B365" s="4" t="inlineStr">
        <is>
          <t>€</t>
        </is>
      </c>
      <c r="C365" s="20">
        <f>IF(C105=1,$C$41,0)+IF(C105=$C$42,$C$43,0)</f>
        <v/>
      </c>
      <c r="D365" s="20">
        <f>IF(D105=1,$C$41,0)+IF(D105=$C$42,$C$43,0)</f>
        <v/>
      </c>
      <c r="E365" s="20">
        <f>IF(E105=1,$C$41,0)+IF(E105=$C$42,$C$43,0)</f>
        <v/>
      </c>
      <c r="F365" s="20">
        <f>IF(F105=1,$C$41,0)+IF(F105=$C$42,$C$43,0)</f>
        <v/>
      </c>
      <c r="G365" s="20">
        <f>IF(G105=1,$C$41,0)+IF(G105=$C$42,$C$43,0)</f>
        <v/>
      </c>
      <c r="H365" s="20">
        <f>IF(H105=1,$C$41,0)+IF(H105=$C$42,$C$43,0)</f>
        <v/>
      </c>
      <c r="I365" s="20">
        <f>IF(I105=1,$C$41,0)+IF(I105=$C$42,$C$43,0)</f>
        <v/>
      </c>
      <c r="J365" s="20">
        <f>IF(J105=1,$C$41,0)+IF(J105=$C$42,$C$43,0)</f>
        <v/>
      </c>
      <c r="K365" s="20">
        <f>IF(K105=1,$C$41,0)+IF(K105=$C$42,$C$43,0)</f>
        <v/>
      </c>
      <c r="L365" s="20">
        <f>IF(L105=1,$C$41,0)+IF(L105=$C$42,$C$43,0)</f>
        <v/>
      </c>
      <c r="M365" s="20">
        <f>IF(M105=1,$C$41,0)+IF(M105=$C$42,$C$43,0)</f>
        <v/>
      </c>
      <c r="N365" s="20">
        <f>IF(N105=1,$C$41,0)+IF(N105=$C$42,$C$43,0)</f>
        <v/>
      </c>
      <c r="O365" s="20">
        <f>IF(O105=1,$C$41,0)+IF(O105=$C$42,$C$43,0)</f>
        <v/>
      </c>
      <c r="P365" s="20">
        <f>IF(P105=1,$C$41,0)+IF(P105=$C$42,$C$43,0)</f>
        <v/>
      </c>
      <c r="Q365" s="20">
        <f>IF(Q105=1,$C$41,0)+IF(Q105=$C$42,$C$43,0)</f>
        <v/>
      </c>
      <c r="R365" s="20">
        <f>IF(R105=1,$C$41,0)+IF(R105=$C$42,$C$43,0)</f>
        <v/>
      </c>
      <c r="S365" s="20">
        <f>IF(S105=1,$C$41,0)+IF(S105=$C$42,$C$43,0)</f>
        <v/>
      </c>
      <c r="T365" s="20">
        <f>IF(T105=1,$C$41,0)+IF(T105=$C$42,$C$43,0)</f>
        <v/>
      </c>
      <c r="U365" s="20">
        <f>IF(U105=1,$C$41,0)+IF(U105=$C$42,$C$43,0)</f>
        <v/>
      </c>
      <c r="V365" s="20">
        <f>IF(V105=1,$C$41,0)+IF(V105=$C$42,$C$43,0)</f>
        <v/>
      </c>
      <c r="W365" s="20">
        <f>IF(W105=1,$C$41,0)+IF(W105=$C$42,$C$43,0)</f>
        <v/>
      </c>
      <c r="X365" s="20">
        <f>IF(X105=1,$C$41,0)+IF(X105=$C$42,$C$43,0)</f>
        <v/>
      </c>
      <c r="Y365" s="20">
        <f>IF(Y105=1,$C$41,0)+IF(Y105=$C$42,$C$43,0)</f>
        <v/>
      </c>
      <c r="Z365" s="20">
        <f>IF(Z105=1,$C$41,0)+IF(Z105=$C$42,$C$43,0)</f>
        <v/>
      </c>
      <c r="AA365" s="20">
        <f>IF(AA105=1,$C$41,0)+IF(AA105=$C$42,$C$43,0)</f>
        <v/>
      </c>
      <c r="AB365" s="20">
        <f>IF(AB105=1,$C$41,0)+IF(AB105=$C$42,$C$43,0)</f>
        <v/>
      </c>
      <c r="AC365" s="20">
        <f>IF(AC105=1,$C$41,0)+IF(AC105=$C$42,$C$43,0)</f>
        <v/>
      </c>
      <c r="AD365" s="20">
        <f>IF(AD105=1,$C$41,0)+IF(AD105=$C$42,$C$43,0)</f>
        <v/>
      </c>
      <c r="AE365" s="20">
        <f>IF(AE105=1,$C$41,0)+IF(AE105=$C$42,$C$43,0)</f>
        <v/>
      </c>
      <c r="AF365" s="20">
        <f>IF(AF105=1,$C$41,0)+IF(AF105=$C$42,$C$43,0)</f>
        <v/>
      </c>
    </row>
    <row r="366">
      <c r="A366" s="3" t="inlineStr">
        <is>
          <t>Entrate: capitale e incassi</t>
        </is>
      </c>
      <c r="B366" s="4" t="inlineStr">
        <is>
          <t>€</t>
        </is>
      </c>
      <c r="C366" s="20">
        <f>C365+C284</f>
        <v/>
      </c>
      <c r="D366" s="20">
        <f>D365+D284</f>
        <v/>
      </c>
      <c r="E366" s="20">
        <f>E365+E284</f>
        <v/>
      </c>
      <c r="F366" s="20">
        <f>F365+F284</f>
        <v/>
      </c>
      <c r="G366" s="20">
        <f>G365+G284</f>
        <v/>
      </c>
      <c r="H366" s="20">
        <f>H365+H284</f>
        <v/>
      </c>
      <c r="I366" s="20">
        <f>I365+I284</f>
        <v/>
      </c>
      <c r="J366" s="20">
        <f>J365+J284</f>
        <v/>
      </c>
      <c r="K366" s="20">
        <f>K365+K284</f>
        <v/>
      </c>
      <c r="L366" s="20">
        <f>L365+L284</f>
        <v/>
      </c>
      <c r="M366" s="20">
        <f>M365+M284</f>
        <v/>
      </c>
      <c r="N366" s="20">
        <f>N365+N284</f>
        <v/>
      </c>
      <c r="O366" s="20">
        <f>O365+O284</f>
        <v/>
      </c>
      <c r="P366" s="20">
        <f>P365+P284</f>
        <v/>
      </c>
      <c r="Q366" s="20">
        <f>Q365+Q284</f>
        <v/>
      </c>
      <c r="R366" s="20">
        <f>R365+R284</f>
        <v/>
      </c>
      <c r="S366" s="20">
        <f>S365+S284</f>
        <v/>
      </c>
      <c r="T366" s="20">
        <f>T365+T284</f>
        <v/>
      </c>
      <c r="U366" s="20">
        <f>U365+U284</f>
        <v/>
      </c>
      <c r="V366" s="20">
        <f>V365+V284</f>
        <v/>
      </c>
      <c r="W366" s="20">
        <f>W365+W284</f>
        <v/>
      </c>
      <c r="X366" s="20">
        <f>X365+X284</f>
        <v/>
      </c>
      <c r="Y366" s="20">
        <f>Y365+Y284</f>
        <v/>
      </c>
      <c r="Z366" s="20">
        <f>Z365+Z284</f>
        <v/>
      </c>
      <c r="AA366" s="20">
        <f>AA365+AA284</f>
        <v/>
      </c>
      <c r="AB366" s="20">
        <f>AB365+AB284</f>
        <v/>
      </c>
      <c r="AC366" s="20">
        <f>AC365+AC284</f>
        <v/>
      </c>
      <c r="AD366" s="20">
        <f>AD365+AD284</f>
        <v/>
      </c>
      <c r="AE366" s="20">
        <f>AE365+AE284</f>
        <v/>
      </c>
      <c r="AF366" s="20">
        <f>AF365+AF284</f>
        <v/>
      </c>
    </row>
    <row r="367">
      <c r="A367" s="3" t="inlineStr">
        <is>
          <t>Uscite totali</t>
        </is>
      </c>
      <c r="B367" s="4" t="inlineStr">
        <is>
          <t>€</t>
        </is>
      </c>
      <c r="C367" s="20">
        <f>C287+C289*(1+$C$44)+C290+C291+C107+C116+C354+C355+C349+C350+C346*(1+$C$44)+C361</f>
        <v/>
      </c>
      <c r="D367" s="20">
        <f>D287+D289*(1+$C$44)+D290+D291+D107+D116+D354+D355+D349+D350+D346*(1+$C$44)+D361</f>
        <v/>
      </c>
      <c r="E367" s="20">
        <f>E287+E289*(1+$C$44)+E290+E291+E107+E116+E354+E355+E349+E350+E346*(1+$C$44)+E361</f>
        <v/>
      </c>
      <c r="F367" s="20">
        <f>F287+F289*(1+$C$44)+F290+F291+F107+F116+F354+F355+F349+F350+F346*(1+$C$44)+F361</f>
        <v/>
      </c>
      <c r="G367" s="20">
        <f>G287+G289*(1+$C$44)+G290+G291+G107+G116+G354+G355+G349+G350+G346*(1+$C$44)+G361</f>
        <v/>
      </c>
      <c r="H367" s="20">
        <f>H287+H289*(1+$C$44)+H290+H291+H107+H116+H354+H355+H349+H350+H346*(1+$C$44)+H361</f>
        <v/>
      </c>
      <c r="I367" s="20">
        <f>I287+I289*(1+$C$44)+I290+I291+I107+I116+I354+I355+I349+I350+I346*(1+$C$44)+I361</f>
        <v/>
      </c>
      <c r="J367" s="20">
        <f>J287+J289*(1+$C$44)+J290+J291+J107+J116+J354+J355+J349+J350+J346*(1+$C$44)+J361</f>
        <v/>
      </c>
      <c r="K367" s="20">
        <f>K287+K289*(1+$C$44)+K290+K291+K107+K116+K354+K355+K349+K350+K346*(1+$C$44)+K361</f>
        <v/>
      </c>
      <c r="L367" s="20">
        <f>L287+L289*(1+$C$44)+L290+L291+L107+L116+L354+L355+L349+L350+L346*(1+$C$44)+L361</f>
        <v/>
      </c>
      <c r="M367" s="20">
        <f>M287+M289*(1+$C$44)+M290+M291+M107+M116+M354+M355+M349+M350+M346*(1+$C$44)+M361</f>
        <v/>
      </c>
      <c r="N367" s="20">
        <f>N287+N289*(1+$C$44)+N290+N291+N107+N116+N354+N355+N349+N350+N346*(1+$C$44)+N361</f>
        <v/>
      </c>
      <c r="O367" s="20">
        <f>O287+O289*(1+$C$44)+O290+O291+O107+O116+O354+O355+O349+O350+O346*(1+$C$44)+O361</f>
        <v/>
      </c>
      <c r="P367" s="20">
        <f>P287+P289*(1+$C$44)+P290+P291+P107+P116+P354+P355+P349+P350+P346*(1+$C$44)+P361</f>
        <v/>
      </c>
      <c r="Q367" s="20">
        <f>Q287+Q289*(1+$C$44)+Q290+Q291+Q107+Q116+Q354+Q355+Q349+Q350+Q346*(1+$C$44)+Q361</f>
        <v/>
      </c>
      <c r="R367" s="20">
        <f>R287+R289*(1+$C$44)+R290+R291+R107+R116+R354+R355+R349+R350+R346*(1+$C$44)+R361</f>
        <v/>
      </c>
      <c r="S367" s="20">
        <f>S287+S289*(1+$C$44)+S290+S291+S107+S116+S354+S355+S349+S350+S346*(1+$C$44)+S361</f>
        <v/>
      </c>
      <c r="T367" s="20">
        <f>T287+T289*(1+$C$44)+T290+T291+T107+T116+T354+T355+T349+T350+T346*(1+$C$44)+T361</f>
        <v/>
      </c>
      <c r="U367" s="20">
        <f>U287+U289*(1+$C$44)+U290+U291+U107+U116+U354+U355+U349+U350+U346*(1+$C$44)+U361</f>
        <v/>
      </c>
      <c r="V367" s="20">
        <f>V287+V289*(1+$C$44)+V290+V291+V107+V116+V354+V355+V349+V350+V346*(1+$C$44)+V361</f>
        <v/>
      </c>
      <c r="W367" s="20">
        <f>W287+W289*(1+$C$44)+W290+W291+W107+W116+W354+W355+W349+W350+W346*(1+$C$44)+W361</f>
        <v/>
      </c>
      <c r="X367" s="20">
        <f>X287+X289*(1+$C$44)+X290+X291+X107+X116+X354+X355+X349+X350+X346*(1+$C$44)+X361</f>
        <v/>
      </c>
      <c r="Y367" s="20">
        <f>Y287+Y289*(1+$C$44)+Y290+Y291+Y107+Y116+Y354+Y355+Y349+Y350+Y346*(1+$C$44)+Y361</f>
        <v/>
      </c>
      <c r="Z367" s="20">
        <f>Z287+Z289*(1+$C$44)+Z290+Z291+Z107+Z116+Z354+Z355+Z349+Z350+Z346*(1+$C$44)+Z361</f>
        <v/>
      </c>
      <c r="AA367" s="20">
        <f>AA287+AA289*(1+$C$44)+AA290+AA291+AA107+AA116+AA354+AA355+AA349+AA350+AA346*(1+$C$44)+AA361</f>
        <v/>
      </c>
      <c r="AB367" s="20">
        <f>AB287+AB289*(1+$C$44)+AB290+AB291+AB107+AB116+AB354+AB355+AB349+AB350+AB346*(1+$C$44)+AB361</f>
        <v/>
      </c>
      <c r="AC367" s="20">
        <f>AC287+AC289*(1+$C$44)+AC290+AC291+AC107+AC116+AC354+AC355+AC349+AC350+AC346*(1+$C$44)+AC361</f>
        <v/>
      </c>
      <c r="AD367" s="20">
        <f>AD287+AD289*(1+$C$44)+AD290+AD291+AD107+AD116+AD354+AD355+AD349+AD350+AD346*(1+$C$44)+AD361</f>
        <v/>
      </c>
      <c r="AE367" s="20">
        <f>AE287+AE289*(1+$C$44)+AE290+AE291+AE107+AE116+AE354+AE355+AE349+AE350+AE346*(1+$C$44)+AE361</f>
        <v/>
      </c>
      <c r="AF367" s="20">
        <f>AF287+AF289*(1+$C$44)+AF290+AF291+AF107+AF116+AF354+AF355+AF349+AF350+AF346*(1+$C$44)+AF361</f>
        <v/>
      </c>
    </row>
    <row r="368">
      <c r="A368" s="3" t="inlineStr">
        <is>
          <t>Cassa a fine mese</t>
        </is>
      </c>
      <c r="B368" s="4" t="inlineStr">
        <is>
          <t>€</t>
        </is>
      </c>
      <c r="C368" s="26">
        <f>C366-C367</f>
        <v/>
      </c>
      <c r="D368" s="26">
        <f>C368+D366-D367</f>
        <v/>
      </c>
      <c r="E368" s="26">
        <f>D368+E366-E367</f>
        <v/>
      </c>
      <c r="F368" s="26">
        <f>E368+F366-F367</f>
        <v/>
      </c>
      <c r="G368" s="26">
        <f>F368+G366-G367</f>
        <v/>
      </c>
      <c r="H368" s="26">
        <f>G368+H366-H367</f>
        <v/>
      </c>
      <c r="I368" s="26">
        <f>H368+I366-I367</f>
        <v/>
      </c>
      <c r="J368" s="26">
        <f>I368+J366-J367</f>
        <v/>
      </c>
      <c r="K368" s="26">
        <f>J368+K366-K367</f>
        <v/>
      </c>
      <c r="L368" s="26">
        <f>K368+L366-L367</f>
        <v/>
      </c>
      <c r="M368" s="26">
        <f>L368+M366-M367</f>
        <v/>
      </c>
      <c r="N368" s="26">
        <f>M368+N366-N367</f>
        <v/>
      </c>
      <c r="O368" s="26">
        <f>N368+O366-O367</f>
        <v/>
      </c>
      <c r="P368" s="26">
        <f>O368+P366-P367</f>
        <v/>
      </c>
      <c r="Q368" s="26">
        <f>P368+Q366-Q367</f>
        <v/>
      </c>
      <c r="R368" s="26">
        <f>Q368+R366-R367</f>
        <v/>
      </c>
      <c r="S368" s="26">
        <f>R368+S366-S367</f>
        <v/>
      </c>
      <c r="T368" s="26">
        <f>S368+T366-T367</f>
        <v/>
      </c>
      <c r="U368" s="26">
        <f>T368+U366-U367</f>
        <v/>
      </c>
      <c r="V368" s="26">
        <f>U368+V366-V367</f>
        <v/>
      </c>
      <c r="W368" s="26">
        <f>V368+W366-W367</f>
        <v/>
      </c>
      <c r="X368" s="26">
        <f>W368+X366-X367</f>
        <v/>
      </c>
      <c r="Y368" s="26">
        <f>X368+Y366-Y367</f>
        <v/>
      </c>
      <c r="Z368" s="26">
        <f>Y368+Z366-Z367</f>
        <v/>
      </c>
      <c r="AA368" s="26">
        <f>Z368+AA366-AA367</f>
        <v/>
      </c>
      <c r="AB368" s="26">
        <f>AA368+AB366-AB367</f>
        <v/>
      </c>
      <c r="AC368" s="26">
        <f>AB368+AC366-AC367</f>
        <v/>
      </c>
      <c r="AD368" s="26">
        <f>AC368+AD366-AD367</f>
        <v/>
      </c>
      <c r="AE368" s="26">
        <f>AD368+AE366-AE367</f>
        <v/>
      </c>
      <c r="AF368" s="26">
        <f>AE368+AF366-AF367</f>
        <v/>
      </c>
    </row>
    <row r="369">
      <c r="A369" s="3" t="inlineStr">
        <is>
          <t>Garanzia: rimborsi attesi non ancora pagati (lordi)</t>
        </is>
      </c>
      <c r="B369" s="4" t="inlineStr">
        <is>
          <t>€</t>
        </is>
      </c>
      <c r="C369" s="20">
        <f>SUM($C$112:C112)*$C$12*$C$13*$H$76-SUM($C$287:C287)</f>
        <v/>
      </c>
      <c r="D369" s="20">
        <f>SUM($C$112:D112)*$C$12*$C$13*$H$76-SUM($C$287:D287)</f>
        <v/>
      </c>
      <c r="E369" s="20">
        <f>SUM($C$112:E112)*$C$12*$C$13*$H$76-SUM($C$287:E287)</f>
        <v/>
      </c>
      <c r="F369" s="20">
        <f>SUM($C$112:F112)*$C$12*$C$13*$H$76-SUM($C$287:F287)</f>
        <v/>
      </c>
      <c r="G369" s="20">
        <f>SUM($C$112:G112)*$C$12*$C$13*$H$76-SUM($C$287:G287)</f>
        <v/>
      </c>
      <c r="H369" s="20">
        <f>SUM($C$112:H112)*$C$12*$C$13*$H$76-SUM($C$287:H287)</f>
        <v/>
      </c>
      <c r="I369" s="20">
        <f>SUM($C$112:I112)*$C$12*$C$13*$H$76-SUM($C$287:I287)</f>
        <v/>
      </c>
      <c r="J369" s="20">
        <f>SUM($C$112:J112)*$C$12*$C$13*$H$76-SUM($C$287:J287)</f>
        <v/>
      </c>
      <c r="K369" s="20">
        <f>SUM($C$112:K112)*$C$12*$C$13*$H$76-SUM($C$287:K287)</f>
        <v/>
      </c>
      <c r="L369" s="20">
        <f>SUM($C$112:L112)*$C$12*$C$13*$H$76-SUM($C$287:L287)</f>
        <v/>
      </c>
      <c r="M369" s="20">
        <f>SUM($C$112:M112)*$C$12*$C$13*$H$76-SUM($C$287:M287)</f>
        <v/>
      </c>
      <c r="N369" s="20">
        <f>SUM($C$112:N112)*$C$12*$C$13*$H$76-SUM($C$287:N287)</f>
        <v/>
      </c>
      <c r="O369" s="20">
        <f>SUM($C$112:O112)*$C$12*$C$13*$H$76-SUM($C$287:O287)</f>
        <v/>
      </c>
      <c r="P369" s="20">
        <f>SUM($C$112:P112)*$C$12*$C$13*$H$76-SUM($C$287:P287)</f>
        <v/>
      </c>
      <c r="Q369" s="20">
        <f>SUM($C$112:Q112)*$C$12*$C$13*$H$76-SUM($C$287:Q287)</f>
        <v/>
      </c>
      <c r="R369" s="20">
        <f>SUM($C$112:R112)*$C$12*$C$13*$H$76-SUM($C$287:R287)</f>
        <v/>
      </c>
      <c r="S369" s="20">
        <f>SUM($C$112:S112)*$C$12*$C$13*$H$76-SUM($C$287:S287)</f>
        <v/>
      </c>
      <c r="T369" s="20">
        <f>SUM($C$112:T112)*$C$12*$C$13*$H$76-SUM($C$287:T287)</f>
        <v/>
      </c>
      <c r="U369" s="20">
        <f>SUM($C$112:U112)*$C$12*$C$13*$H$76-SUM($C$287:U287)</f>
        <v/>
      </c>
      <c r="V369" s="20">
        <f>SUM($C$112:V112)*$C$12*$C$13*$H$76-SUM($C$287:V287)</f>
        <v/>
      </c>
      <c r="W369" s="20">
        <f>SUM($C$112:W112)*$C$12*$C$13*$H$76-SUM($C$287:W287)</f>
        <v/>
      </c>
      <c r="X369" s="20">
        <f>SUM($C$112:X112)*$C$12*$C$13*$H$76-SUM($C$287:X287)</f>
        <v/>
      </c>
      <c r="Y369" s="20">
        <f>SUM($C$112:Y112)*$C$12*$C$13*$H$76-SUM($C$287:Y287)</f>
        <v/>
      </c>
      <c r="Z369" s="20">
        <f>SUM($C$112:Z112)*$C$12*$C$13*$H$76-SUM($C$287:Z287)</f>
        <v/>
      </c>
      <c r="AA369" s="20">
        <f>SUM($C$112:AA112)*$C$12*$C$13*$H$76-SUM($C$287:AA287)</f>
        <v/>
      </c>
      <c r="AB369" s="20">
        <f>SUM($C$112:AB112)*$C$12*$C$13*$H$76-SUM($C$287:AB287)</f>
        <v/>
      </c>
      <c r="AC369" s="20">
        <f>SUM($C$112:AC112)*$C$12*$C$13*$H$76-SUM($C$287:AC287)</f>
        <v/>
      </c>
      <c r="AD369" s="20">
        <f>SUM($C$112:AD112)*$C$12*$C$13*$H$76-SUM($C$287:AD287)</f>
        <v/>
      </c>
      <c r="AE369" s="20">
        <f>SUM($C$112:AE112)*$C$12*$C$13*$H$76-SUM($C$287:AE287)</f>
        <v/>
      </c>
      <c r="AF369" s="20">
        <f>SUM($C$112:AF112)*$C$12*$C$13*$H$76-SUM($C$287:AF287)</f>
        <v/>
      </c>
    </row>
    <row r="370">
      <c r="A370" s="3" t="inlineStr">
        <is>
          <t>Risultato operativo del mese (competenza semplificata)</t>
        </is>
      </c>
      <c r="B370" s="4" t="inlineStr">
        <is>
          <t>€</t>
        </is>
      </c>
      <c r="C370" s="20">
        <f>C285-C292-C289-C290-C291-(C287-C288)-C107-C116-C349</f>
        <v/>
      </c>
      <c r="D370" s="20">
        <f>D285-D292-D289-D290-D291-(D287-D288)-D107-D116-D349</f>
        <v/>
      </c>
      <c r="E370" s="20">
        <f>E285-E292-E289-E290-E291-(E287-E288)-E107-E116-E349</f>
        <v/>
      </c>
      <c r="F370" s="20">
        <f>F285-F292-F289-F290-F291-(F287-F288)-F107-F116-F349</f>
        <v/>
      </c>
      <c r="G370" s="20">
        <f>G285-G292-G289-G290-G291-(G287-G288)-G107-G116-G349</f>
        <v/>
      </c>
      <c r="H370" s="20">
        <f>H285-H292-H289-H290-H291-(H287-H288)-H107-H116-H349</f>
        <v/>
      </c>
      <c r="I370" s="20">
        <f>I285-I292-I289-I290-I291-(I287-I288)-I107-I116-I349</f>
        <v/>
      </c>
      <c r="J370" s="20">
        <f>J285-J292-J289-J290-J291-(J287-J288)-J107-J116-J349</f>
        <v/>
      </c>
      <c r="K370" s="20">
        <f>K285-K292-K289-K290-K291-(K287-K288)-K107-K116-K349</f>
        <v/>
      </c>
      <c r="L370" s="20">
        <f>L285-L292-L289-L290-L291-(L287-L288)-L107-L116-L349</f>
        <v/>
      </c>
      <c r="M370" s="20">
        <f>M285-M292-M289-M290-M291-(M287-M288)-M107-M116-M349</f>
        <v/>
      </c>
      <c r="N370" s="20">
        <f>N285-N292-N289-N290-N291-(N287-N288)-N107-N116-N349</f>
        <v/>
      </c>
      <c r="O370" s="20">
        <f>O285-O292-O289-O290-O291-(O287-O288)-O107-O116-O349</f>
        <v/>
      </c>
      <c r="P370" s="20">
        <f>P285-P292-P289-P290-P291-(P287-P288)-P107-P116-P349</f>
        <v/>
      </c>
      <c r="Q370" s="20">
        <f>Q285-Q292-Q289-Q290-Q291-(Q287-Q288)-Q107-Q116-Q349</f>
        <v/>
      </c>
      <c r="R370" s="20">
        <f>R285-R292-R289-R290-R291-(R287-R288)-R107-R116-R349</f>
        <v/>
      </c>
      <c r="S370" s="20">
        <f>S285-S292-S289-S290-S291-(S287-S288)-S107-S116-S349</f>
        <v/>
      </c>
      <c r="T370" s="20">
        <f>T285-T292-T289-T290-T291-(T287-T288)-T107-T116-T349</f>
        <v/>
      </c>
      <c r="U370" s="20">
        <f>U285-U292-U289-U290-U291-(U287-U288)-U107-U116-U349</f>
        <v/>
      </c>
      <c r="V370" s="20">
        <f>V285-V292-V289-V290-V291-(V287-V288)-V107-V116-V349</f>
        <v/>
      </c>
      <c r="W370" s="20">
        <f>W285-W292-W289-W290-W291-(W287-W288)-W107-W116-W349</f>
        <v/>
      </c>
      <c r="X370" s="20">
        <f>X285-X292-X289-X290-X291-(X287-X288)-X107-X116-X349</f>
        <v/>
      </c>
      <c r="Y370" s="20">
        <f>Y285-Y292-Y289-Y290-Y291-(Y287-Y288)-Y107-Y116-Y349</f>
        <v/>
      </c>
      <c r="Z370" s="20">
        <f>Z285-Z292-Z289-Z290-Z291-(Z287-Z288)-Z107-Z116-Z349</f>
        <v/>
      </c>
      <c r="AA370" s="20">
        <f>AA285-AA292-AA289-AA290-AA291-(AA287-AA288)-AA107-AA116-AA349</f>
        <v/>
      </c>
      <c r="AB370" s="20">
        <f>AB285-AB292-AB289-AB290-AB291-(AB287-AB288)-AB107-AB116-AB349</f>
        <v/>
      </c>
      <c r="AC370" s="20">
        <f>AC285-AC292-AC289-AC290-AC291-(AC287-AC288)-AC107-AC116-AC349</f>
        <v/>
      </c>
      <c r="AD370" s="20">
        <f>AD285-AD292-AD289-AD290-AD291-(AD287-AD288)-AD107-AD116-AD349</f>
        <v/>
      </c>
      <c r="AE370" s="20">
        <f>AE285-AE292-AE289-AE290-AE291-(AE287-AE288)-AE107-AE116-AE349</f>
        <v/>
      </c>
      <c r="AF370" s="20">
        <f>AF285-AF292-AF289-AF290-AF291-(AF287-AF288)-AF107-AF116-AF349</f>
        <v/>
      </c>
    </row>
    <row r="372">
      <c r="A372" s="10" t="inlineStr">
        <is>
          <t>Sintesi dello scenario</t>
        </is>
      </c>
    </row>
    <row r="373">
      <c r="A373" s="3" t="inlineStr">
        <is>
          <t>Cassa minima</t>
        </is>
      </c>
      <c r="C373" s="27">
        <f>MIN($C$368:$AF$368)</f>
        <v/>
      </c>
    </row>
    <row r="374">
      <c r="A374" s="3" t="inlineStr">
        <is>
          <t>Mese della cassa minima</t>
        </is>
      </c>
      <c r="C374" s="28">
        <f>INDEX($C$105:$AF$105,1,MATCH(MIN($C$368:$AF$368),$C$368:$AF$368,0))</f>
        <v/>
      </c>
    </row>
    <row r="375">
      <c r="A375" s="3" t="inlineStr">
        <is>
          <t>Capitale assorbito fino al minimo (versato meno cassa minima)</t>
        </is>
      </c>
      <c r="C375" s="27">
        <f>SUM($C$365:$AF$365)-MIN($C$368:$AF$368)</f>
        <v/>
      </c>
    </row>
    <row r="376">
      <c r="A376" s="3" t="inlineStr">
        <is>
          <t>Cassa al mese 24</t>
        </is>
      </c>
      <c r="C376" s="27">
        <f>$Z$368</f>
        <v/>
      </c>
    </row>
    <row r="377">
      <c r="A377" s="3" t="inlineStr">
        <is>
          <t>Cassa al mese 30</t>
        </is>
      </c>
      <c r="C377" s="27">
        <f>$AF$368</f>
        <v/>
      </c>
    </row>
    <row r="378">
      <c r="A378" s="3" t="inlineStr">
        <is>
          <t>Nuovi clienti fino al mese 30</t>
        </is>
      </c>
      <c r="C378" s="29">
        <f>SUM($C$111:$AF$111)</f>
        <v/>
      </c>
    </row>
    <row r="379">
      <c r="A379" s="3" t="inlineStr">
        <is>
          <t>di cui da pubblicità</t>
        </is>
      </c>
      <c r="C379" s="29">
        <f>SUM($C$109:$AF$109)</f>
        <v/>
      </c>
    </row>
    <row r="380">
      <c r="A380" s="3" t="inlineStr">
        <is>
          <t>Pubblicità fino al mese 30</t>
        </is>
      </c>
      <c r="C380" s="27">
        <f>SUM($C$107:$AF$107)</f>
        <v/>
      </c>
    </row>
    <row r="381">
      <c r="A381" s="3" t="inlineStr">
        <is>
          <t>Ricavi netti fino al mese 30</t>
        </is>
      </c>
      <c r="C381" s="27">
        <f>SUM($C$285:$AF$285)</f>
        <v/>
      </c>
    </row>
    <row r="382">
      <c r="A382" s="3" t="inlineStr">
        <is>
          <t>Rimborsi di garanzia pagati fino al mese 30</t>
        </is>
      </c>
      <c r="C382" s="27">
        <f>SUM($C$287:$AF$287)</f>
        <v/>
      </c>
    </row>
    <row r="383">
      <c r="A383" s="3" t="inlineStr">
        <is>
          <t>Lotti ordinati</t>
        </is>
      </c>
      <c r="C383" s="28">
        <f>SUM($C$345:$AF$345)/$C$61</f>
        <v/>
      </c>
    </row>
    <row r="384">
      <c r="A384" s="3" t="inlineStr">
        <is>
          <t>Credito IVA massimo</t>
        </is>
      </c>
      <c r="C384" s="27">
        <f>MAX($C$362:$AF$362)</f>
        <v/>
      </c>
    </row>
    <row r="385">
      <c r="A385" s="3" t="inlineStr">
        <is>
          <t>Esposizione di garanzia massima</t>
        </is>
      </c>
      <c r="C385" s="27">
        <f>MAX($C$369:$AF$369)</f>
        <v/>
      </c>
    </row>
    <row r="386">
      <c r="A386" s="3" t="inlineStr">
        <is>
          <t>Valore del cliente medio a 6 mesi</t>
        </is>
      </c>
      <c r="C386" s="30">
        <f>$H$102</f>
        <v/>
      </c>
    </row>
    <row r="387">
      <c r="A387" s="3" t="inlineStr">
        <is>
          <t>Valore del cliente medio a 12 mesi</t>
        </is>
      </c>
      <c r="C387" s="30">
        <f>$N$102</f>
        <v/>
      </c>
    </row>
    <row r="388">
      <c r="A388" s="3" t="inlineStr">
        <is>
          <t>Valore del cliente medio a 24 mesi</t>
        </is>
      </c>
      <c r="C388" s="30">
        <f>$Z$102</f>
        <v/>
      </c>
    </row>
    <row r="389">
      <c r="A389" s="3" t="inlineStr">
        <is>
          <t>CAC massimo con la regola 2:1 sul valore a 24 mesi</t>
        </is>
      </c>
      <c r="C389" s="30">
        <f>$Z$102/2</f>
        <v/>
      </c>
    </row>
    <row r="390">
      <c r="A390" s="3" t="inlineStr">
        <is>
          <t>Contribuzione media del primo ordine</t>
        </is>
      </c>
      <c r="C390" s="30">
        <f>$C$102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Scenario 3: Avverso senza arresto</t>
        </is>
      </c>
    </row>
    <row r="2">
      <c r="A2" s="4" t="inlineStr">
        <is>
          <t>Indice dello scenario (colonna di Parametri)</t>
        </is>
      </c>
      <c r="C2" s="2" t="n">
        <v>3</v>
      </c>
    </row>
    <row r="5">
      <c r="A5" s="10" t="inlineStr">
        <is>
          <t>Parametri dello scenario (da Parametri)</t>
        </is>
      </c>
    </row>
    <row r="6">
      <c r="A6" s="3" t="inlineStr">
        <is>
          <t>Mese del lancio</t>
        </is>
      </c>
      <c r="B6" s="4" t="inlineStr">
        <is>
          <t>mese</t>
        </is>
      </c>
      <c r="C6" s="21">
        <f>INDEX(Parametri!$D$5:$H$5,1,$C$2)</f>
        <v/>
      </c>
    </row>
    <row r="7">
      <c r="A7" s="3" t="inlineStr">
        <is>
          <t>Costo industriale per flacone</t>
        </is>
      </c>
      <c r="B7" s="4" t="inlineStr">
        <is>
          <t>€</t>
        </is>
      </c>
      <c r="C7" s="9">
        <f>INDEX(Parametri!$D$6:$H$6,1,$C$2)</f>
        <v/>
      </c>
    </row>
    <row r="8">
      <c r="A8" s="3" t="inlineStr">
        <is>
          <t>Quota nuovi clienti: percorso da 6</t>
        </is>
      </c>
      <c r="B8" s="4" t="inlineStr">
        <is>
          <t>%</t>
        </is>
      </c>
      <c r="C8" s="22">
        <f>INDEX(Parametri!$D$7:$H$7,1,$C$2)</f>
        <v/>
      </c>
    </row>
    <row r="9">
      <c r="A9" s="3" t="inlineStr">
        <is>
          <t>Quota nuovi clienti: percorso da 3</t>
        </is>
      </c>
      <c r="B9" s="4" t="inlineStr">
        <is>
          <t>%</t>
        </is>
      </c>
      <c r="C9" s="22">
        <f>INDEX(Parametri!$D$8:$H$8,1,$C$2)</f>
        <v/>
      </c>
    </row>
    <row r="10">
      <c r="A10" s="3" t="inlineStr">
        <is>
          <t>Quota nuovi clienti: abbonamento</t>
        </is>
      </c>
      <c r="B10" s="4" t="inlineStr">
        <is>
          <t>%</t>
        </is>
      </c>
      <c r="C10" s="22">
        <f>INDEX(Parametri!$D$9:$H$9,1,$C$2)</f>
        <v/>
      </c>
    </row>
    <row r="11">
      <c r="A11" s="3" t="inlineStr">
        <is>
          <t>Quota nuovi clienti: flacone singolo</t>
        </is>
      </c>
      <c r="B11" s="4" t="inlineStr">
        <is>
          <t>%</t>
        </is>
      </c>
      <c r="C11" s="22">
        <f>INDEX(Parametri!$D$10:$H$10,1,$C$2)</f>
        <v/>
      </c>
    </row>
    <row r="12">
      <c r="A12" s="3" t="inlineStr">
        <is>
          <t>Percorso da 6: quota che lo completa</t>
        </is>
      </c>
      <c r="B12" s="4" t="inlineStr">
        <is>
          <t>%</t>
        </is>
      </c>
      <c r="C12" s="22">
        <f>INDEX(Parametri!$D$11:$H$11,1,$C$2)</f>
        <v/>
      </c>
    </row>
    <row r="13">
      <c r="A13" s="3" t="inlineStr">
        <is>
          <t>Percorso da 6: chi completa e chiede il rimborso</t>
        </is>
      </c>
      <c r="B13" s="4" t="inlineStr">
        <is>
          <t>%</t>
        </is>
      </c>
      <c r="C13" s="22">
        <f>INDEX(Parametri!$D$12:$H$12,1,$C$2)</f>
        <v/>
      </c>
    </row>
    <row r="14">
      <c r="A14" s="3" t="inlineStr">
        <is>
          <t>Percorso da 6: riacquisto di chi completa senza rimborso</t>
        </is>
      </c>
      <c r="B14" s="4" t="inlineStr">
        <is>
          <t>%</t>
        </is>
      </c>
      <c r="C14" s="22">
        <f>INDEX(Parametri!$D$13:$H$13,1,$C$2)</f>
        <v/>
      </c>
    </row>
    <row r="15">
      <c r="A15" s="3" t="inlineStr">
        <is>
          <t>Percorso da 6: riacquisti successivi</t>
        </is>
      </c>
      <c r="B15" s="4" t="inlineStr">
        <is>
          <t>%</t>
        </is>
      </c>
      <c r="C15" s="22">
        <f>INDEX(Parametri!$D$14:$H$14,1,$C$2)</f>
        <v/>
      </c>
    </row>
    <row r="16">
      <c r="A16" s="3" t="inlineStr">
        <is>
          <t>Percorso da 3: riacquisto a 3 mesi</t>
        </is>
      </c>
      <c r="B16" s="4" t="inlineStr">
        <is>
          <t>%</t>
        </is>
      </c>
      <c r="C16" s="22">
        <f>INDEX(Parametri!$D$15:$H$15,1,$C$2)</f>
        <v/>
      </c>
    </row>
    <row r="17">
      <c r="A17" s="3" t="inlineStr">
        <is>
          <t>Percorso da 3: riacquisti successivi</t>
        </is>
      </c>
      <c r="B17" s="4" t="inlineStr">
        <is>
          <t>%</t>
        </is>
      </c>
      <c r="C17" s="22">
        <f>INDEX(Parametri!$D$16:$H$16,1,$C$2)</f>
        <v/>
      </c>
    </row>
    <row r="18">
      <c r="A18" s="3" t="inlineStr">
        <is>
          <t>Abbonamento: rinnovo dopo il 1° invio</t>
        </is>
      </c>
      <c r="B18" s="4" t="inlineStr">
        <is>
          <t>%</t>
        </is>
      </c>
      <c r="C18" s="22">
        <f>INDEX(Parametri!$D$17:$H$17,1,$C$2)</f>
        <v/>
      </c>
    </row>
    <row r="19">
      <c r="A19" s="3" t="inlineStr">
        <is>
          <t>Abbonamento: rinnovo dopo il 2° invio</t>
        </is>
      </c>
      <c r="B19" s="4" t="inlineStr">
        <is>
          <t>%</t>
        </is>
      </c>
      <c r="C19" s="22">
        <f>INDEX(Parametri!$D$18:$H$18,1,$C$2)</f>
        <v/>
      </c>
    </row>
    <row r="20">
      <c r="A20" s="3" t="inlineStr">
        <is>
          <t>Abbonamento: rinnovo dopo il 3° invio</t>
        </is>
      </c>
      <c r="B20" s="4" t="inlineStr">
        <is>
          <t>%</t>
        </is>
      </c>
      <c r="C20" s="22">
        <f>INDEX(Parametri!$D$19:$H$19,1,$C$2)</f>
        <v/>
      </c>
    </row>
    <row r="21">
      <c r="A21" s="3" t="inlineStr">
        <is>
          <t>Abbonamento: rinnovo dopo il 4° invio</t>
        </is>
      </c>
      <c r="B21" s="4" t="inlineStr">
        <is>
          <t>%</t>
        </is>
      </c>
      <c r="C21" s="22">
        <f>INDEX(Parametri!$D$20:$H$20,1,$C$2)</f>
        <v/>
      </c>
    </row>
    <row r="22">
      <c r="A22" s="3" t="inlineStr">
        <is>
          <t>Abbonamento: rinnovo dopo il 5° invio</t>
        </is>
      </c>
      <c r="B22" s="4" t="inlineStr">
        <is>
          <t>%</t>
        </is>
      </c>
      <c r="C22" s="22">
        <f>INDEX(Parametri!$D$21:$H$21,1,$C$2)</f>
        <v/>
      </c>
    </row>
    <row r="23">
      <c r="A23" s="3" t="inlineStr">
        <is>
          <t>Abbonamento: rinnovo dal 6° invio in poi</t>
        </is>
      </c>
      <c r="B23" s="4" t="inlineStr">
        <is>
          <t>%</t>
        </is>
      </c>
      <c r="C23" s="22">
        <f>INDEX(Parametri!$D$22:$H$22,1,$C$2)</f>
        <v/>
      </c>
    </row>
    <row r="24">
      <c r="A24" s="3" t="inlineStr">
        <is>
          <t>Flacone singolo: probabilità di un nuovo acquisto</t>
        </is>
      </c>
      <c r="B24" s="4" t="inlineStr">
        <is>
          <t>%</t>
        </is>
      </c>
      <c r="C24" s="22">
        <f>INDEX(Parametri!$D$23:$H$23,1,$C$2)</f>
        <v/>
      </c>
    </row>
    <row r="25">
      <c r="A25" s="3" t="inlineStr">
        <is>
          <t>Sconto medio sul primo ordine</t>
        </is>
      </c>
      <c r="B25" s="4" t="inlineStr">
        <is>
          <t>%</t>
        </is>
      </c>
      <c r="C25" s="22">
        <f>INDEX(Parametri!$D$24:$H$24,1,$C$2)</f>
        <v/>
      </c>
    </row>
    <row r="26">
      <c r="A26" s="3" t="inlineStr">
        <is>
          <t>Clienti da canali non pagati, al mese</t>
        </is>
      </c>
      <c r="B26" s="4" t="inlineStr">
        <is>
          <t>clienti</t>
        </is>
      </c>
      <c r="C26" s="21">
        <f>INDEX(Parametri!$D$25:$H$25,1,$C$2)</f>
        <v/>
      </c>
    </row>
    <row r="27">
      <c r="A27" s="3" t="inlineStr">
        <is>
          <t>Pubblicità tranche 1 (totale)</t>
        </is>
      </c>
      <c r="B27" s="4" t="inlineStr">
        <is>
          <t>€</t>
        </is>
      </c>
      <c r="C27" s="9">
        <f>INDEX(Parametri!$D$26:$H$26,1,$C$2)</f>
        <v/>
      </c>
    </row>
    <row r="28">
      <c r="A28" s="3" t="inlineStr">
        <is>
          <t>Tranche 1: durata</t>
        </is>
      </c>
      <c r="B28" s="4" t="inlineStr">
        <is>
          <t>mesi</t>
        </is>
      </c>
      <c r="C28" s="21">
        <f>INDEX(Parametri!$D$27:$H$27,1,$C$2)</f>
        <v/>
      </c>
    </row>
    <row r="29">
      <c r="A29" s="3" t="inlineStr">
        <is>
          <t>CAC pubblicitario tranche 1</t>
        </is>
      </c>
      <c r="B29" s="4" t="inlineStr">
        <is>
          <t>€</t>
        </is>
      </c>
      <c r="C29" s="9">
        <f>INDEX(Parametri!$D$28:$H$28,1,$C$2)</f>
        <v/>
      </c>
    </row>
    <row r="30">
      <c r="A30" s="3" t="inlineStr">
        <is>
          <t>Pubblicità tranche 2 (totale)</t>
        </is>
      </c>
      <c r="B30" s="4" t="inlineStr">
        <is>
          <t>€</t>
        </is>
      </c>
      <c r="C30" s="9">
        <f>INDEX(Parametri!$D$29:$H$29,1,$C$2)</f>
        <v/>
      </c>
    </row>
    <row r="31">
      <c r="A31" s="3" t="inlineStr">
        <is>
          <t>Tranche 2: durata</t>
        </is>
      </c>
      <c r="B31" s="4" t="inlineStr">
        <is>
          <t>mesi</t>
        </is>
      </c>
      <c r="C31" s="21">
        <f>INDEX(Parametri!$D$30:$H$30,1,$C$2)</f>
        <v/>
      </c>
    </row>
    <row r="32">
      <c r="A32" s="3" t="inlineStr">
        <is>
          <t>CAC pubblicitario tranche 2</t>
        </is>
      </c>
      <c r="B32" s="4" t="inlineStr">
        <is>
          <t>€</t>
        </is>
      </c>
      <c r="C32" s="9">
        <f>INDEX(Parametri!$D$31:$H$31,1,$C$2)</f>
        <v/>
      </c>
    </row>
    <row r="33">
      <c r="A33" s="3" t="inlineStr">
        <is>
          <t>Pubblicità tranche 3 (totale)</t>
        </is>
      </c>
      <c r="B33" s="4" t="inlineStr">
        <is>
          <t>€</t>
        </is>
      </c>
      <c r="C33" s="9">
        <f>INDEX(Parametri!$D$32:$H$32,1,$C$2)</f>
        <v/>
      </c>
    </row>
    <row r="34">
      <c r="A34" s="3" t="inlineStr">
        <is>
          <t>Tranche 3: durata</t>
        </is>
      </c>
      <c r="B34" s="4" t="inlineStr">
        <is>
          <t>mesi</t>
        </is>
      </c>
      <c r="C34" s="21">
        <f>INDEX(Parametri!$D$33:$H$33,1,$C$2)</f>
        <v/>
      </c>
    </row>
    <row r="35">
      <c r="A35" s="3" t="inlineStr">
        <is>
          <t>CAC pubblicitario tranche 3 (marginale)</t>
        </is>
      </c>
      <c r="B35" s="4" t="inlineStr">
        <is>
          <t>€</t>
        </is>
      </c>
      <c r="C35" s="9">
        <f>INDEX(Parametri!$D$34:$H$34,1,$C$2)</f>
        <v/>
      </c>
    </row>
    <row r="36">
      <c r="A36" s="3" t="inlineStr">
        <is>
          <t>Pubblicità mensile dopo le tranche</t>
        </is>
      </c>
      <c r="B36" s="4" t="inlineStr">
        <is>
          <t>€/mese</t>
        </is>
      </c>
      <c r="C36" s="9">
        <f>INDEX(Parametri!$D$35:$H$35,1,$C$2)</f>
        <v/>
      </c>
    </row>
    <row r="37">
      <c r="A37" s="3" t="inlineStr">
        <is>
          <t>CAC dopo le tranche</t>
        </is>
      </c>
      <c r="B37" s="4" t="inlineStr">
        <is>
          <t>€</t>
        </is>
      </c>
      <c r="C37" s="9">
        <f>INDEX(Parametri!$D$36:$H$36,1,$C$2)</f>
        <v/>
      </c>
    </row>
    <row r="38">
      <c r="A38" s="3" t="inlineStr">
        <is>
          <t>Creatività e gestione campagne</t>
        </is>
      </c>
      <c r="B38" s="4" t="inlineStr">
        <is>
          <t>€/mese</t>
        </is>
      </c>
      <c r="C38" s="9">
        <f>INDEX(Parametri!$D$37:$H$37,1,$C$2)</f>
        <v/>
      </c>
    </row>
    <row r="39">
      <c r="A39" s="3" t="inlineStr">
        <is>
          <t>Ciclo di laboratorio aggiuntivo, mese 10</t>
        </is>
      </c>
      <c r="B39" s="4" t="inlineStr">
        <is>
          <t>€</t>
        </is>
      </c>
      <c r="C39" s="9">
        <f>INDEX(Parametri!$D$38:$H$38,1,$C$2)</f>
        <v/>
      </c>
    </row>
    <row r="40">
      <c r="A40" s="3" t="inlineStr">
        <is>
          <t>Ciclo di laboratorio aggiuntivo, mese 11</t>
        </is>
      </c>
      <c r="B40" s="4" t="inlineStr">
        <is>
          <t>€</t>
        </is>
      </c>
      <c r="C40" s="9">
        <f>INDEX(Parametri!$D$39:$H$39,1,$C$2)</f>
        <v/>
      </c>
    </row>
    <row r="41">
      <c r="A41" s="3" t="inlineStr">
        <is>
          <t>Capitale versato al mese 1</t>
        </is>
      </c>
      <c r="B41" s="4" t="inlineStr">
        <is>
          <t>€</t>
        </is>
      </c>
      <c r="C41" s="9">
        <f>INDEX(Parametri!$D$40:$H$40,1,$C$2)</f>
        <v/>
      </c>
    </row>
    <row r="42">
      <c r="A42" s="3" t="inlineStr">
        <is>
          <t>Mese della seconda tranche di capitale</t>
        </is>
      </c>
      <c r="B42" s="4" t="inlineStr">
        <is>
          <t>mese</t>
        </is>
      </c>
      <c r="C42" s="21">
        <f>INDEX(Parametri!$D$41:$H$41,1,$C$2)</f>
        <v/>
      </c>
    </row>
    <row r="43">
      <c r="A43" s="3" t="inlineStr">
        <is>
          <t>Seconda tranche di capitale</t>
        </is>
      </c>
      <c r="B43" s="4" t="inlineStr">
        <is>
          <t>€</t>
        </is>
      </c>
      <c r="C43" s="9">
        <f>INDEX(Parametri!$D$42:$H$42,1,$C$2)</f>
        <v/>
      </c>
    </row>
    <row r="44">
      <c r="A44" s="3" t="inlineStr">
        <is>
          <t>Aliquota IVA</t>
        </is>
      </c>
      <c r="B44" s="4" t="inlineStr">
        <is>
          <t>%</t>
        </is>
      </c>
      <c r="C44" s="22">
        <f>Parametri!$D$45</f>
        <v/>
      </c>
    </row>
    <row r="45">
      <c r="A45" s="3" t="inlineStr">
        <is>
          <t>Prezzo percorso da 6 flaconi</t>
        </is>
      </c>
      <c r="B45" s="4" t="inlineStr">
        <is>
          <t>€ IVA incl.</t>
        </is>
      </c>
      <c r="C45" s="21">
        <f>Parametri!$D$46</f>
        <v/>
      </c>
    </row>
    <row r="46">
      <c r="A46" s="3" t="inlineStr">
        <is>
          <t>Prezzo percorso da 3 flaconi</t>
        </is>
      </c>
      <c r="B46" s="4" t="inlineStr">
        <is>
          <t>€ IVA incl.</t>
        </is>
      </c>
      <c r="C46" s="21">
        <f>Parametri!$D$47</f>
        <v/>
      </c>
    </row>
    <row r="47">
      <c r="A47" s="3" t="inlineStr">
        <is>
          <t>Prezzo abbonamento, ogni 28 giorni</t>
        </is>
      </c>
      <c r="B47" s="4" t="inlineStr">
        <is>
          <t>€ IVA incl.</t>
        </is>
      </c>
      <c r="C47" s="21">
        <f>Parametri!$D$48</f>
        <v/>
      </c>
    </row>
    <row r="48">
      <c r="A48" s="3" t="inlineStr">
        <is>
          <t>Prezzo flacone singolo</t>
        </is>
      </c>
      <c r="B48" s="4" t="inlineStr">
        <is>
          <t>€ IVA incl.</t>
        </is>
      </c>
      <c r="C48" s="21">
        <f>Parametri!$D$49</f>
        <v/>
      </c>
    </row>
    <row r="49">
      <c r="A49" s="3" t="inlineStr">
        <is>
          <t>Flaconi: percorso da 6</t>
        </is>
      </c>
      <c r="B49" s="4" t="inlineStr">
        <is>
          <t>n</t>
        </is>
      </c>
      <c r="C49" s="21">
        <f>Parametri!$D$50</f>
        <v/>
      </c>
    </row>
    <row r="50">
      <c r="A50" s="3" t="inlineStr">
        <is>
          <t>Flaconi: percorso da 3</t>
        </is>
      </c>
      <c r="B50" s="4" t="inlineStr">
        <is>
          <t>n</t>
        </is>
      </c>
      <c r="C50" s="21">
        <f>Parametri!$D$51</f>
        <v/>
      </c>
    </row>
    <row r="51">
      <c r="A51" s="3" t="inlineStr">
        <is>
          <t>Flaconi: abbonamento</t>
        </is>
      </c>
      <c r="B51" s="4" t="inlineStr">
        <is>
          <t>n</t>
        </is>
      </c>
      <c r="C51" s="21">
        <f>Parametri!$D$52</f>
        <v/>
      </c>
    </row>
    <row r="52">
      <c r="A52" s="3" t="inlineStr">
        <is>
          <t>Flaconi: singolo</t>
        </is>
      </c>
      <c r="B52" s="4" t="inlineStr">
        <is>
          <t>n</t>
        </is>
      </c>
      <c r="C52" s="21">
        <f>Parametri!$D$53</f>
        <v/>
      </c>
    </row>
    <row r="53">
      <c r="A53" s="3" t="inlineStr">
        <is>
          <t>Corriere: 6 flaconi</t>
        </is>
      </c>
      <c r="B53" s="4" t="inlineStr">
        <is>
          <t>€</t>
        </is>
      </c>
      <c r="C53" s="21">
        <f>Parametri!$D$54</f>
        <v/>
      </c>
    </row>
    <row r="54">
      <c r="A54" s="3" t="inlineStr">
        <is>
          <t>Corriere: 3 flaconi</t>
        </is>
      </c>
      <c r="B54" s="4" t="inlineStr">
        <is>
          <t>€</t>
        </is>
      </c>
      <c r="C54" s="21">
        <f>Parametri!$D$55</f>
        <v/>
      </c>
    </row>
    <row r="55">
      <c r="A55" s="3" t="inlineStr">
        <is>
          <t>Corriere: 1 flacone (abbonamento)</t>
        </is>
      </c>
      <c r="B55" s="4" t="inlineStr">
        <is>
          <t>€</t>
        </is>
      </c>
      <c r="C55" s="21">
        <f>Parametri!$D$56</f>
        <v/>
      </c>
    </row>
    <row r="56">
      <c r="A56" s="3" t="inlineStr">
        <is>
          <t>Corriere: 1 flacone (singolo)</t>
        </is>
      </c>
      <c r="B56" s="4" t="inlineStr">
        <is>
          <t>€</t>
        </is>
      </c>
      <c r="C56" s="21">
        <f>Parametri!$D$57</f>
        <v/>
      </c>
    </row>
    <row r="57">
      <c r="A57" s="3" t="inlineStr">
        <is>
          <t>Prelievo e imballo per ordine</t>
        </is>
      </c>
      <c r="B57" s="4" t="inlineStr">
        <is>
          <t>€</t>
        </is>
      </c>
      <c r="C57" s="21">
        <f>Parametri!$D$58</f>
        <v/>
      </c>
    </row>
    <row r="58">
      <c r="A58" s="3" t="inlineStr">
        <is>
          <t>Commissione di incasso, percentuale</t>
        </is>
      </c>
      <c r="B58" s="4" t="inlineStr">
        <is>
          <t>%</t>
        </is>
      </c>
      <c r="C58" s="22">
        <f>Parametri!$D$59</f>
        <v/>
      </c>
    </row>
    <row r="59">
      <c r="A59" s="3" t="inlineStr">
        <is>
          <t>Commissione di incasso, fissa</t>
        </is>
      </c>
      <c r="B59" s="4" t="inlineStr">
        <is>
          <t>€</t>
        </is>
      </c>
      <c r="C59" s="21">
        <f>Parametri!$D$60</f>
        <v/>
      </c>
    </row>
    <row r="60">
      <c r="A60" s="3" t="inlineStr">
        <is>
          <t>Assistenza, resi ordinari, sostituzioni</t>
        </is>
      </c>
      <c r="B60" s="4" t="inlineStr">
        <is>
          <t>% ricavo netto</t>
        </is>
      </c>
      <c r="C60" s="22">
        <f>Parametri!$D$61</f>
        <v/>
      </c>
    </row>
    <row r="61">
      <c r="A61" s="3" t="inlineStr">
        <is>
          <t>Lotto di produzione</t>
        </is>
      </c>
      <c r="B61" s="4" t="inlineStr">
        <is>
          <t>flaconi</t>
        </is>
      </c>
      <c r="C61" s="21">
        <f>Parametri!$D$62</f>
        <v/>
      </c>
    </row>
    <row r="62">
      <c r="A62" s="3" t="inlineStr">
        <is>
          <t>Acconto all'ordine del lotto</t>
        </is>
      </c>
      <c r="B62" s="4" t="inlineStr">
        <is>
          <t>%</t>
        </is>
      </c>
      <c r="C62" s="22">
        <f>Parametri!$D$63</f>
        <v/>
      </c>
    </row>
    <row r="63">
      <c r="A63" s="3" t="inlineStr">
        <is>
          <t>Tempo di fornitura</t>
        </is>
      </c>
      <c r="B63" s="4" t="inlineStr">
        <is>
          <t>mesi</t>
        </is>
      </c>
      <c r="C63" s="21">
        <f>Parametri!$D$64</f>
        <v/>
      </c>
    </row>
    <row r="64">
      <c r="A64" s="3" t="inlineStr">
        <is>
          <t>Scorta di sicurezza</t>
        </is>
      </c>
      <c r="B64" s="4" t="inlineStr">
        <is>
          <t>mesi di consumo</t>
        </is>
      </c>
      <c r="C64" s="21">
        <f>Parametri!$D$65</f>
        <v/>
      </c>
    </row>
    <row r="65">
      <c r="A65" s="3" t="inlineStr">
        <is>
          <t>Scarto di produzione</t>
        </is>
      </c>
      <c r="B65" s="4" t="inlineStr">
        <is>
          <t>%</t>
        </is>
      </c>
      <c r="C65" s="22">
        <f>Parametri!$D$66</f>
        <v/>
      </c>
    </row>
    <row r="66">
      <c r="A66" s="3" t="inlineStr">
        <is>
          <t>Flaconi trattenuti per lotto (analisi e campioni di riserva)</t>
        </is>
      </c>
      <c r="B66" s="4" t="inlineStr">
        <is>
          <t>flaconi</t>
        </is>
      </c>
      <c r="C66" s="21">
        <f>Parametri!$D$67</f>
        <v/>
      </c>
    </row>
    <row r="67">
      <c r="A67" s="3" t="inlineStr">
        <is>
          <t>Campioni al lancio</t>
        </is>
      </c>
      <c r="B67" s="4" t="inlineStr">
        <is>
          <t>flaconi</t>
        </is>
      </c>
      <c r="C67" s="21">
        <f>Parametri!$D$68</f>
        <v/>
      </c>
    </row>
    <row r="68">
      <c r="A68" s="3" t="inlineStr">
        <is>
          <t>Campioni al mese dopo il lancio</t>
        </is>
      </c>
      <c r="B68" s="4" t="inlineStr">
        <is>
          <t>flaconi</t>
        </is>
      </c>
      <c r="C68" s="21">
        <f>Parametri!$D$69</f>
        <v/>
      </c>
    </row>
    <row r="69">
      <c r="A69" s="3" t="inlineStr">
        <is>
          <t>Sostituzioni fisiche</t>
        </is>
      </c>
      <c r="B69" s="4" t="inlineStr">
        <is>
          <t>% flaconi spediti</t>
        </is>
      </c>
      <c r="C69" s="22">
        <f>Parametri!$D$70</f>
        <v/>
      </c>
    </row>
    <row r="70">
      <c r="A70" s="3" t="inlineStr">
        <is>
          <t>Intervallo abbonamento</t>
        </is>
      </c>
      <c r="B70" s="4" t="inlineStr">
        <is>
          <t>giorni</t>
        </is>
      </c>
      <c r="C70" s="21">
        <f>Parametri!$D$71</f>
        <v/>
      </c>
    </row>
    <row r="71">
      <c r="A71" s="3" t="inlineStr">
        <is>
          <t>Durata di un flacone</t>
        </is>
      </c>
      <c r="B71" s="4" t="inlineStr">
        <is>
          <t>giorni</t>
        </is>
      </c>
      <c r="C71" s="21">
        <f>Parametri!$D$72</f>
        <v/>
      </c>
    </row>
    <row r="72">
      <c r="A72" s="3" t="inlineStr">
        <is>
          <t>Giorni per mese</t>
        </is>
      </c>
      <c r="B72" s="4" t="inlineStr">
        <is>
          <t>giorni</t>
        </is>
      </c>
      <c r="C72" s="21">
        <f>Parametri!$D$73</f>
        <v/>
      </c>
    </row>
    <row r="74">
      <c r="A74" s="10" t="inlineStr">
        <is>
          <t>Economia per ordine (colonne C-F ordini successivi, H-K primo ordine con sconto)</t>
        </is>
      </c>
    </row>
    <row r="75">
      <c r="C75" s="2" t="inlineStr">
        <is>
          <t>Percorso 6</t>
        </is>
      </c>
      <c r="D75" s="2" t="inlineStr">
        <is>
          <t>Percorso 3</t>
        </is>
      </c>
      <c r="E75" s="2" t="inlineStr">
        <is>
          <t>Abbonamento</t>
        </is>
      </c>
      <c r="F75" s="2" t="inlineStr">
        <is>
          <t>Singolo</t>
        </is>
      </c>
      <c r="H75" s="2" t="inlineStr">
        <is>
          <t>Percorso 6, 1° ord.</t>
        </is>
      </c>
      <c r="I75" s="2" t="inlineStr">
        <is>
          <t>Percorso 3, 1° ord.</t>
        </is>
      </c>
      <c r="J75" s="2" t="inlineStr">
        <is>
          <t>Abbonamento, 1° ord.</t>
        </is>
      </c>
      <c r="K75" s="2" t="inlineStr">
        <is>
          <t>Singolo, 1° ord.</t>
        </is>
      </c>
    </row>
    <row r="76">
      <c r="A76" s="3" t="inlineStr">
        <is>
          <t>Prezzo pagato (IVA incl.)</t>
        </is>
      </c>
      <c r="B76" s="4" t="inlineStr">
        <is>
          <t>€</t>
        </is>
      </c>
      <c r="C76" s="13">
        <f>$C$45*(1-0)</f>
        <v/>
      </c>
      <c r="D76" s="13">
        <f>$C$46*(1-0)</f>
        <v/>
      </c>
      <c r="E76" s="13">
        <f>$C$47*(1-0)</f>
        <v/>
      </c>
      <c r="F76" s="13">
        <f>$C$48*(1-0)</f>
        <v/>
      </c>
      <c r="H76" s="13">
        <f>$C$45*(1-$C$25)</f>
        <v/>
      </c>
      <c r="I76" s="13">
        <f>$C$46*(1-$C$25)</f>
        <v/>
      </c>
      <c r="J76" s="13">
        <f>$C$47*(1-$C$25)</f>
        <v/>
      </c>
      <c r="K76" s="13">
        <f>$C$48*(1-$C$25)</f>
        <v/>
      </c>
    </row>
    <row r="77">
      <c r="A77" s="3" t="inlineStr">
        <is>
          <t>Ricavo netto IVA</t>
        </is>
      </c>
      <c r="B77" s="4" t="inlineStr">
        <is>
          <t>€</t>
        </is>
      </c>
      <c r="C77" s="13">
        <f>C76/(1+$C$44)</f>
        <v/>
      </c>
      <c r="D77" s="13">
        <f>D76/(1+$C$44)</f>
        <v/>
      </c>
      <c r="E77" s="13">
        <f>E76/(1+$C$44)</f>
        <v/>
      </c>
      <c r="F77" s="13">
        <f>F76/(1+$C$44)</f>
        <v/>
      </c>
      <c r="H77" s="13">
        <f>H76/(1+$C$44)</f>
        <v/>
      </c>
      <c r="I77" s="13">
        <f>I76/(1+$C$44)</f>
        <v/>
      </c>
      <c r="J77" s="13">
        <f>J76/(1+$C$44)</f>
        <v/>
      </c>
      <c r="K77" s="13">
        <f>K76/(1+$C$44)</f>
        <v/>
      </c>
    </row>
    <row r="78">
      <c r="A78" s="3" t="inlineStr">
        <is>
          <t>Costo del prodotto</t>
        </is>
      </c>
      <c r="B78" s="4" t="inlineStr">
        <is>
          <t>€</t>
        </is>
      </c>
      <c r="C78" s="13">
        <f>$C$7*$C$49</f>
        <v/>
      </c>
      <c r="D78" s="13">
        <f>$C$7*$C$50</f>
        <v/>
      </c>
      <c r="E78" s="13">
        <f>$C$7*$C$51</f>
        <v/>
      </c>
      <c r="F78" s="13">
        <f>$C$7*$C$52</f>
        <v/>
      </c>
      <c r="H78" s="13">
        <f>$C$7*$C$49</f>
        <v/>
      </c>
      <c r="I78" s="13">
        <f>$C$7*$C$50</f>
        <v/>
      </c>
      <c r="J78" s="13">
        <f>$C$7*$C$51</f>
        <v/>
      </c>
      <c r="K78" s="13">
        <f>$C$7*$C$52</f>
        <v/>
      </c>
    </row>
    <row r="79">
      <c r="A79" s="3" t="inlineStr">
        <is>
          <t>Logistica</t>
        </is>
      </c>
      <c r="B79" s="4" t="inlineStr">
        <is>
          <t>€</t>
        </is>
      </c>
      <c r="C79" s="13">
        <f>$C$57+$C$53</f>
        <v/>
      </c>
      <c r="D79" s="13">
        <f>$C$57+$C$54</f>
        <v/>
      </c>
      <c r="E79" s="13">
        <f>$C$57+$C$55</f>
        <v/>
      </c>
      <c r="F79" s="13">
        <f>$C$57+$C$56</f>
        <v/>
      </c>
      <c r="H79" s="13">
        <f>$C$57+$C$53</f>
        <v/>
      </c>
      <c r="I79" s="13">
        <f>$C$57+$C$54</f>
        <v/>
      </c>
      <c r="J79" s="13">
        <f>$C$57+$C$55</f>
        <v/>
      </c>
      <c r="K79" s="13">
        <f>$C$57+$C$56</f>
        <v/>
      </c>
    </row>
    <row r="80">
      <c r="A80" s="3" t="inlineStr">
        <is>
          <t>Commissione di incasso</t>
        </is>
      </c>
      <c r="B80" s="4" t="inlineStr">
        <is>
          <t>€</t>
        </is>
      </c>
      <c r="C80" s="13">
        <f>C76*$C$58+$C$59</f>
        <v/>
      </c>
      <c r="D80" s="13">
        <f>D76*$C$58+$C$59</f>
        <v/>
      </c>
      <c r="E80" s="13">
        <f>E76*$C$58+$C$59</f>
        <v/>
      </c>
      <c r="F80" s="13">
        <f>F76*$C$58+$C$59</f>
        <v/>
      </c>
      <c r="H80" s="13">
        <f>H76*$C$58+$C$59</f>
        <v/>
      </c>
      <c r="I80" s="13">
        <f>I76*$C$58+$C$59</f>
        <v/>
      </c>
      <c r="J80" s="13">
        <f>J76*$C$58+$C$59</f>
        <v/>
      </c>
      <c r="K80" s="13">
        <f>K76*$C$58+$C$59</f>
        <v/>
      </c>
    </row>
    <row r="81">
      <c r="A81" s="3" t="inlineStr">
        <is>
          <t>Assistenza e resi ordinari</t>
        </is>
      </c>
      <c r="B81" s="4" t="inlineStr">
        <is>
          <t>€</t>
        </is>
      </c>
      <c r="C81" s="13">
        <f>C77*$C$60</f>
        <v/>
      </c>
      <c r="D81" s="13">
        <f>D77*$C$60</f>
        <v/>
      </c>
      <c r="E81" s="13">
        <f>E77*$C$60</f>
        <v/>
      </c>
      <c r="F81" s="13">
        <f>F77*$C$60</f>
        <v/>
      </c>
      <c r="H81" s="13">
        <f>H77*$C$60</f>
        <v/>
      </c>
      <c r="I81" s="13">
        <f>I77*$C$60</f>
        <v/>
      </c>
      <c r="J81" s="13">
        <f>J77*$C$60</f>
        <v/>
      </c>
      <c r="K81" s="13">
        <f>K77*$C$60</f>
        <v/>
      </c>
    </row>
    <row r="82">
      <c r="A82" s="3" t="inlineStr">
        <is>
          <t>Contribuzione per ordine</t>
        </is>
      </c>
      <c r="B82" s="4" t="inlineStr">
        <is>
          <t>€</t>
        </is>
      </c>
      <c r="C82" s="13">
        <f>C77-C78-C79-C80-C81</f>
        <v/>
      </c>
      <c r="D82" s="13">
        <f>D77-D78-D79-D80-D81</f>
        <v/>
      </c>
      <c r="E82" s="13">
        <f>E77-E78-E79-E80-E81</f>
        <v/>
      </c>
      <c r="F82" s="13">
        <f>F77-F78-F79-F80-F81</f>
        <v/>
      </c>
      <c r="H82" s="13">
        <f>H77-H78-H79-H80-H81</f>
        <v/>
      </c>
      <c r="I82" s="13">
        <f>I77-I78-I79-I80-I81</f>
        <v/>
      </c>
      <c r="J82" s="13">
        <f>J77-J78-J79-J80-J81</f>
        <v/>
      </c>
      <c r="K82" s="13">
        <f>K77-K78-K79-K80-K81</f>
        <v/>
      </c>
    </row>
    <row r="84">
      <c r="A84" s="10" t="inlineStr">
        <is>
          <t>Sequenza degli invii: abbonamento e flacone singolo (colonna = invio k)</t>
        </is>
      </c>
    </row>
    <row r="85">
      <c r="A85" s="3" t="inlineStr">
        <is>
          <t>Invio k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  <c r="J85" t="n">
        <v>8</v>
      </c>
      <c r="K85" t="n">
        <v>9</v>
      </c>
      <c r="L85" t="n">
        <v>10</v>
      </c>
      <c r="M85" t="n">
        <v>11</v>
      </c>
      <c r="N85" t="n">
        <v>12</v>
      </c>
      <c r="O85" t="n">
        <v>13</v>
      </c>
      <c r="P85" t="n">
        <v>14</v>
      </c>
      <c r="Q85" t="n">
        <v>15</v>
      </c>
      <c r="R85" t="n">
        <v>16</v>
      </c>
      <c r="S85" t="n">
        <v>17</v>
      </c>
      <c r="T85" t="n">
        <v>18</v>
      </c>
      <c r="U85" t="n">
        <v>19</v>
      </c>
      <c r="V85" t="n">
        <v>20</v>
      </c>
      <c r="W85" t="n">
        <v>21</v>
      </c>
      <c r="X85" t="n">
        <v>22</v>
      </c>
      <c r="Y85" t="n">
        <v>23</v>
      </c>
      <c r="Z85" t="n">
        <v>24</v>
      </c>
      <c r="AA85" t="n">
        <v>25</v>
      </c>
      <c r="AB85" t="n">
        <v>26</v>
      </c>
      <c r="AC85" t="n">
        <v>27</v>
      </c>
      <c r="AD85" t="n">
        <v>28</v>
      </c>
      <c r="AE85" t="n">
        <v>29</v>
      </c>
      <c r="AF85" t="n">
        <v>30</v>
      </c>
      <c r="AG85" t="n">
        <v>31</v>
      </c>
      <c r="AH85" t="n">
        <v>32</v>
      </c>
      <c r="AI85" t="n">
        <v>33</v>
      </c>
      <c r="AJ85" t="n">
        <v>34</v>
      </c>
      <c r="AK85" t="n">
        <v>35</v>
      </c>
      <c r="AL85" t="n">
        <v>36</v>
      </c>
      <c r="AM85" t="n">
        <v>37</v>
      </c>
      <c r="AN85" t="n">
        <v>38</v>
      </c>
      <c r="AO85" t="n">
        <v>39</v>
      </c>
      <c r="AP85" t="n">
        <v>40</v>
      </c>
      <c r="AQ85" t="n">
        <v>41</v>
      </c>
      <c r="AR85" t="n">
        <v>42</v>
      </c>
      <c r="AS85" t="n">
        <v>43</v>
      </c>
      <c r="AT85" t="n">
        <v>44</v>
      </c>
      <c r="AU85" t="n">
        <v>45</v>
      </c>
    </row>
    <row r="86">
      <c r="A86" s="3" t="inlineStr">
        <is>
          <t>Abbonamento: mese di età dell'invio</t>
        </is>
      </c>
      <c r="C86">
        <f>INT($C$70*(C85-1)/$C$72+0.5)</f>
        <v/>
      </c>
      <c r="D86">
        <f>INT($C$70*(D85-1)/$C$72+0.5)</f>
        <v/>
      </c>
      <c r="E86">
        <f>INT($C$70*(E85-1)/$C$72+0.5)</f>
        <v/>
      </c>
      <c r="F86">
        <f>INT($C$70*(F85-1)/$C$72+0.5)</f>
        <v/>
      </c>
      <c r="G86">
        <f>INT($C$70*(G85-1)/$C$72+0.5)</f>
        <v/>
      </c>
      <c r="H86">
        <f>INT($C$70*(H85-1)/$C$72+0.5)</f>
        <v/>
      </c>
      <c r="I86">
        <f>INT($C$70*(I85-1)/$C$72+0.5)</f>
        <v/>
      </c>
      <c r="J86">
        <f>INT($C$70*(J85-1)/$C$72+0.5)</f>
        <v/>
      </c>
      <c r="K86">
        <f>INT($C$70*(K85-1)/$C$72+0.5)</f>
        <v/>
      </c>
      <c r="L86">
        <f>INT($C$70*(L85-1)/$C$72+0.5)</f>
        <v/>
      </c>
      <c r="M86">
        <f>INT($C$70*(M85-1)/$C$72+0.5)</f>
        <v/>
      </c>
      <c r="N86">
        <f>INT($C$70*(N85-1)/$C$72+0.5)</f>
        <v/>
      </c>
      <c r="O86">
        <f>INT($C$70*(O85-1)/$C$72+0.5)</f>
        <v/>
      </c>
      <c r="P86">
        <f>INT($C$70*(P85-1)/$C$72+0.5)</f>
        <v/>
      </c>
      <c r="Q86">
        <f>INT($C$70*(Q85-1)/$C$72+0.5)</f>
        <v/>
      </c>
      <c r="R86">
        <f>INT($C$70*(R85-1)/$C$72+0.5)</f>
        <v/>
      </c>
      <c r="S86">
        <f>INT($C$70*(S85-1)/$C$72+0.5)</f>
        <v/>
      </c>
      <c r="T86">
        <f>INT($C$70*(T85-1)/$C$72+0.5)</f>
        <v/>
      </c>
      <c r="U86">
        <f>INT($C$70*(U85-1)/$C$72+0.5)</f>
        <v/>
      </c>
      <c r="V86">
        <f>INT($C$70*(V85-1)/$C$72+0.5)</f>
        <v/>
      </c>
      <c r="W86">
        <f>INT($C$70*(W85-1)/$C$72+0.5)</f>
        <v/>
      </c>
      <c r="X86">
        <f>INT($C$70*(X85-1)/$C$72+0.5)</f>
        <v/>
      </c>
      <c r="Y86">
        <f>INT($C$70*(Y85-1)/$C$72+0.5)</f>
        <v/>
      </c>
      <c r="Z86">
        <f>INT($C$70*(Z85-1)/$C$72+0.5)</f>
        <v/>
      </c>
      <c r="AA86">
        <f>INT($C$70*(AA85-1)/$C$72+0.5)</f>
        <v/>
      </c>
      <c r="AB86">
        <f>INT($C$70*(AB85-1)/$C$72+0.5)</f>
        <v/>
      </c>
      <c r="AC86">
        <f>INT($C$70*(AC85-1)/$C$72+0.5)</f>
        <v/>
      </c>
      <c r="AD86">
        <f>INT($C$70*(AD85-1)/$C$72+0.5)</f>
        <v/>
      </c>
      <c r="AE86">
        <f>INT($C$70*(AE85-1)/$C$72+0.5)</f>
        <v/>
      </c>
      <c r="AF86">
        <f>INT($C$70*(AF85-1)/$C$72+0.5)</f>
        <v/>
      </c>
      <c r="AG86">
        <f>INT($C$70*(AG85-1)/$C$72+0.5)</f>
        <v/>
      </c>
      <c r="AH86">
        <f>INT($C$70*(AH85-1)/$C$72+0.5)</f>
        <v/>
      </c>
      <c r="AI86">
        <f>INT($C$70*(AI85-1)/$C$72+0.5)</f>
        <v/>
      </c>
      <c r="AJ86">
        <f>INT($C$70*(AJ85-1)/$C$72+0.5)</f>
        <v/>
      </c>
      <c r="AK86">
        <f>INT($C$70*(AK85-1)/$C$72+0.5)</f>
        <v/>
      </c>
      <c r="AL86">
        <f>INT($C$70*(AL85-1)/$C$72+0.5)</f>
        <v/>
      </c>
      <c r="AM86">
        <f>INT($C$70*(AM85-1)/$C$72+0.5)</f>
        <v/>
      </c>
      <c r="AN86">
        <f>INT($C$70*(AN85-1)/$C$72+0.5)</f>
        <v/>
      </c>
      <c r="AO86">
        <f>INT($C$70*(AO85-1)/$C$72+0.5)</f>
        <v/>
      </c>
      <c r="AP86">
        <f>INT($C$70*(AP85-1)/$C$72+0.5)</f>
        <v/>
      </c>
      <c r="AQ86">
        <f>INT($C$70*(AQ85-1)/$C$72+0.5)</f>
        <v/>
      </c>
      <c r="AR86">
        <f>INT($C$70*(AR85-1)/$C$72+0.5)</f>
        <v/>
      </c>
      <c r="AS86">
        <f>INT($C$70*(AS85-1)/$C$72+0.5)</f>
        <v/>
      </c>
      <c r="AT86">
        <f>INT($C$70*(AT85-1)/$C$72+0.5)</f>
        <v/>
      </c>
      <c r="AU86">
        <f>INT($C$70*(AU85-1)/$C$72+0.5)</f>
        <v/>
      </c>
    </row>
    <row r="87">
      <c r="A87" s="3" t="inlineStr">
        <is>
          <t>Abbonamento: clienti ancora attivi</t>
        </is>
      </c>
      <c r="C87" s="23" t="n">
        <v>1</v>
      </c>
      <c r="D87" s="23">
        <f>C87*$C$18</f>
        <v/>
      </c>
      <c r="E87" s="23">
        <f>D87*$C$19</f>
        <v/>
      </c>
      <c r="F87" s="23">
        <f>E87*$C$20</f>
        <v/>
      </c>
      <c r="G87" s="23">
        <f>F87*$C$21</f>
        <v/>
      </c>
      <c r="H87" s="23">
        <f>G87*$C$22</f>
        <v/>
      </c>
      <c r="I87" s="23">
        <f>H87*$C$23</f>
        <v/>
      </c>
      <c r="J87" s="23">
        <f>I87*$C$23</f>
        <v/>
      </c>
      <c r="K87" s="23">
        <f>J87*$C$23</f>
        <v/>
      </c>
      <c r="L87" s="23">
        <f>K87*$C$23</f>
        <v/>
      </c>
      <c r="M87" s="23">
        <f>L87*$C$23</f>
        <v/>
      </c>
      <c r="N87" s="23">
        <f>M87*$C$23</f>
        <v/>
      </c>
      <c r="O87" s="23">
        <f>N87*$C$23</f>
        <v/>
      </c>
      <c r="P87" s="23">
        <f>O87*$C$23</f>
        <v/>
      </c>
      <c r="Q87" s="23">
        <f>P87*$C$23</f>
        <v/>
      </c>
      <c r="R87" s="23">
        <f>Q87*$C$23</f>
        <v/>
      </c>
      <c r="S87" s="23">
        <f>R87*$C$23</f>
        <v/>
      </c>
      <c r="T87" s="23">
        <f>S87*$C$23</f>
        <v/>
      </c>
      <c r="U87" s="23">
        <f>T87*$C$23</f>
        <v/>
      </c>
      <c r="V87" s="23">
        <f>U87*$C$23</f>
        <v/>
      </c>
      <c r="W87" s="23">
        <f>V87*$C$23</f>
        <v/>
      </c>
      <c r="X87" s="23">
        <f>W87*$C$23</f>
        <v/>
      </c>
      <c r="Y87" s="23">
        <f>X87*$C$23</f>
        <v/>
      </c>
      <c r="Z87" s="23">
        <f>Y87*$C$23</f>
        <v/>
      </c>
      <c r="AA87" s="23">
        <f>Z87*$C$23</f>
        <v/>
      </c>
      <c r="AB87" s="23">
        <f>AA87*$C$23</f>
        <v/>
      </c>
      <c r="AC87" s="23">
        <f>AB87*$C$23</f>
        <v/>
      </c>
      <c r="AD87" s="23">
        <f>AC87*$C$23</f>
        <v/>
      </c>
      <c r="AE87" s="23">
        <f>AD87*$C$23</f>
        <v/>
      </c>
      <c r="AF87" s="23">
        <f>AE87*$C$23</f>
        <v/>
      </c>
      <c r="AG87" s="23">
        <f>AF87*$C$23</f>
        <v/>
      </c>
      <c r="AH87" s="23">
        <f>AG87*$C$23</f>
        <v/>
      </c>
      <c r="AI87" s="23">
        <f>AH87*$C$23</f>
        <v/>
      </c>
      <c r="AJ87" s="23">
        <f>AI87*$C$23</f>
        <v/>
      </c>
      <c r="AK87" s="23">
        <f>AJ87*$C$23</f>
        <v/>
      </c>
      <c r="AL87" s="23">
        <f>AK87*$C$23</f>
        <v/>
      </c>
      <c r="AM87" s="23">
        <f>AL87*$C$23</f>
        <v/>
      </c>
      <c r="AN87" s="23">
        <f>AM87*$C$23</f>
        <v/>
      </c>
      <c r="AO87" s="23">
        <f>AN87*$C$23</f>
        <v/>
      </c>
      <c r="AP87" s="23">
        <f>AO87*$C$23</f>
        <v/>
      </c>
      <c r="AQ87" s="23">
        <f>AP87*$C$23</f>
        <v/>
      </c>
      <c r="AR87" s="23">
        <f>AQ87*$C$23</f>
        <v/>
      </c>
      <c r="AS87" s="23">
        <f>AR87*$C$23</f>
        <v/>
      </c>
      <c r="AT87" s="23">
        <f>AS87*$C$23</f>
        <v/>
      </c>
      <c r="AU87" s="23">
        <f>AT87*$C$23</f>
        <v/>
      </c>
    </row>
    <row r="88">
      <c r="A88" s="3" t="inlineStr">
        <is>
          <t>Singolo: mese di età dell'acquisto</t>
        </is>
      </c>
      <c r="C88">
        <f>INT($C$71*(C85-1)/$C$72+0.5)</f>
        <v/>
      </c>
      <c r="D88">
        <f>INT($C$71*(D85-1)/$C$72+0.5)</f>
        <v/>
      </c>
      <c r="E88">
        <f>INT($C$71*(E85-1)/$C$72+0.5)</f>
        <v/>
      </c>
      <c r="F88">
        <f>INT($C$71*(F85-1)/$C$72+0.5)</f>
        <v/>
      </c>
      <c r="G88">
        <f>INT($C$71*(G85-1)/$C$72+0.5)</f>
        <v/>
      </c>
      <c r="H88">
        <f>INT($C$71*(H85-1)/$C$72+0.5)</f>
        <v/>
      </c>
      <c r="I88">
        <f>INT($C$71*(I85-1)/$C$72+0.5)</f>
        <v/>
      </c>
      <c r="J88">
        <f>INT($C$71*(J85-1)/$C$72+0.5)</f>
        <v/>
      </c>
      <c r="K88">
        <f>INT($C$71*(K85-1)/$C$72+0.5)</f>
        <v/>
      </c>
      <c r="L88">
        <f>INT($C$71*(L85-1)/$C$72+0.5)</f>
        <v/>
      </c>
      <c r="M88">
        <f>INT($C$71*(M85-1)/$C$72+0.5)</f>
        <v/>
      </c>
      <c r="N88">
        <f>INT($C$71*(N85-1)/$C$72+0.5)</f>
        <v/>
      </c>
      <c r="O88">
        <f>INT($C$71*(O85-1)/$C$72+0.5)</f>
        <v/>
      </c>
      <c r="P88">
        <f>INT($C$71*(P85-1)/$C$72+0.5)</f>
        <v/>
      </c>
      <c r="Q88">
        <f>INT($C$71*(Q85-1)/$C$72+0.5)</f>
        <v/>
      </c>
      <c r="R88">
        <f>INT($C$71*(R85-1)/$C$72+0.5)</f>
        <v/>
      </c>
      <c r="S88">
        <f>INT($C$71*(S85-1)/$C$72+0.5)</f>
        <v/>
      </c>
      <c r="T88">
        <f>INT($C$71*(T85-1)/$C$72+0.5)</f>
        <v/>
      </c>
      <c r="U88">
        <f>INT($C$71*(U85-1)/$C$72+0.5)</f>
        <v/>
      </c>
      <c r="V88">
        <f>INT($C$71*(V85-1)/$C$72+0.5)</f>
        <v/>
      </c>
      <c r="W88">
        <f>INT($C$71*(W85-1)/$C$72+0.5)</f>
        <v/>
      </c>
      <c r="X88">
        <f>INT($C$71*(X85-1)/$C$72+0.5)</f>
        <v/>
      </c>
      <c r="Y88">
        <f>INT($C$71*(Y85-1)/$C$72+0.5)</f>
        <v/>
      </c>
      <c r="Z88">
        <f>INT($C$71*(Z85-1)/$C$72+0.5)</f>
        <v/>
      </c>
      <c r="AA88">
        <f>INT($C$71*(AA85-1)/$C$72+0.5)</f>
        <v/>
      </c>
      <c r="AB88">
        <f>INT($C$71*(AB85-1)/$C$72+0.5)</f>
        <v/>
      </c>
      <c r="AC88">
        <f>INT($C$71*(AC85-1)/$C$72+0.5)</f>
        <v/>
      </c>
      <c r="AD88">
        <f>INT($C$71*(AD85-1)/$C$72+0.5)</f>
        <v/>
      </c>
      <c r="AE88">
        <f>INT($C$71*(AE85-1)/$C$72+0.5)</f>
        <v/>
      </c>
      <c r="AF88">
        <f>INT($C$71*(AF85-1)/$C$72+0.5)</f>
        <v/>
      </c>
      <c r="AG88">
        <f>INT($C$71*(AG85-1)/$C$72+0.5)</f>
        <v/>
      </c>
      <c r="AH88">
        <f>INT($C$71*(AH85-1)/$C$72+0.5)</f>
        <v/>
      </c>
      <c r="AI88">
        <f>INT($C$71*(AI85-1)/$C$72+0.5)</f>
        <v/>
      </c>
      <c r="AJ88">
        <f>INT($C$71*(AJ85-1)/$C$72+0.5)</f>
        <v/>
      </c>
      <c r="AK88">
        <f>INT($C$71*(AK85-1)/$C$72+0.5)</f>
        <v/>
      </c>
      <c r="AL88">
        <f>INT($C$71*(AL85-1)/$C$72+0.5)</f>
        <v/>
      </c>
      <c r="AM88">
        <f>INT($C$71*(AM85-1)/$C$72+0.5)</f>
        <v/>
      </c>
      <c r="AN88">
        <f>INT($C$71*(AN85-1)/$C$72+0.5)</f>
        <v/>
      </c>
      <c r="AO88">
        <f>INT($C$71*(AO85-1)/$C$72+0.5)</f>
        <v/>
      </c>
      <c r="AP88">
        <f>INT($C$71*(AP85-1)/$C$72+0.5)</f>
        <v/>
      </c>
      <c r="AQ88">
        <f>INT($C$71*(AQ85-1)/$C$72+0.5)</f>
        <v/>
      </c>
      <c r="AR88">
        <f>INT($C$71*(AR85-1)/$C$72+0.5)</f>
        <v/>
      </c>
      <c r="AS88">
        <f>INT($C$71*(AS85-1)/$C$72+0.5)</f>
        <v/>
      </c>
      <c r="AT88">
        <f>INT($C$71*(AT85-1)/$C$72+0.5)</f>
        <v/>
      </c>
      <c r="AU88">
        <f>INT($C$71*(AU85-1)/$C$72+0.5)</f>
        <v/>
      </c>
    </row>
    <row r="89">
      <c r="A89" s="3" t="inlineStr">
        <is>
          <t>Singolo: probabilità dell'acquisto</t>
        </is>
      </c>
      <c r="C89" s="23" t="n">
        <v>1</v>
      </c>
      <c r="D89" s="23">
        <f>C89*$C$24</f>
        <v/>
      </c>
      <c r="E89" s="23">
        <f>D89*$C$24</f>
        <v/>
      </c>
      <c r="F89" s="23">
        <f>E89*$C$24</f>
        <v/>
      </c>
      <c r="G89" s="23">
        <f>F89*$C$24</f>
        <v/>
      </c>
      <c r="H89" s="23">
        <f>G89*$C$24</f>
        <v/>
      </c>
      <c r="I89" s="23">
        <f>H89*$C$24</f>
        <v/>
      </c>
      <c r="J89" s="23">
        <f>I89*$C$24</f>
        <v/>
      </c>
      <c r="K89" s="23">
        <f>J89*$C$24</f>
        <v/>
      </c>
      <c r="L89" s="23">
        <f>K89*$C$24</f>
        <v/>
      </c>
      <c r="M89" s="23">
        <f>L89*$C$24</f>
        <v/>
      </c>
      <c r="N89" s="23">
        <f>M89*$C$24</f>
        <v/>
      </c>
      <c r="O89" s="23">
        <f>N89*$C$24</f>
        <v/>
      </c>
      <c r="P89" s="23">
        <f>O89*$C$24</f>
        <v/>
      </c>
      <c r="Q89" s="23">
        <f>P89*$C$24</f>
        <v/>
      </c>
      <c r="R89" s="23">
        <f>Q89*$C$24</f>
        <v/>
      </c>
      <c r="S89" s="23">
        <f>R89*$C$24</f>
        <v/>
      </c>
      <c r="T89" s="23">
        <f>S89*$C$24</f>
        <v/>
      </c>
      <c r="U89" s="23">
        <f>T89*$C$24</f>
        <v/>
      </c>
      <c r="V89" s="23">
        <f>U89*$C$24</f>
        <v/>
      </c>
      <c r="W89" s="23">
        <f>V89*$C$24</f>
        <v/>
      </c>
      <c r="X89" s="23">
        <f>W89*$C$24</f>
        <v/>
      </c>
      <c r="Y89" s="23">
        <f>X89*$C$24</f>
        <v/>
      </c>
      <c r="Z89" s="23">
        <f>Y89*$C$24</f>
        <v/>
      </c>
      <c r="AA89" s="23">
        <f>Z89*$C$24</f>
        <v/>
      </c>
      <c r="AB89" s="23">
        <f>AA89*$C$24</f>
        <v/>
      </c>
      <c r="AC89" s="23">
        <f>AB89*$C$24</f>
        <v/>
      </c>
      <c r="AD89" s="23">
        <f>AC89*$C$24</f>
        <v/>
      </c>
      <c r="AE89" s="23">
        <f>AD89*$C$24</f>
        <v/>
      </c>
      <c r="AF89" s="23">
        <f>AE89*$C$24</f>
        <v/>
      </c>
      <c r="AG89" s="23">
        <f>AF89*$C$24</f>
        <v/>
      </c>
      <c r="AH89" s="23">
        <f>AG89*$C$24</f>
        <v/>
      </c>
      <c r="AI89" s="23">
        <f>AH89*$C$24</f>
        <v/>
      </c>
      <c r="AJ89" s="23">
        <f>AI89*$C$24</f>
        <v/>
      </c>
      <c r="AK89" s="23">
        <f>AJ89*$C$24</f>
        <v/>
      </c>
      <c r="AL89" s="23">
        <f>AK89*$C$24</f>
        <v/>
      </c>
      <c r="AM89" s="23">
        <f>AL89*$C$24</f>
        <v/>
      </c>
      <c r="AN89" s="23">
        <f>AM89*$C$24</f>
        <v/>
      </c>
      <c r="AO89" s="23">
        <f>AN89*$C$24</f>
        <v/>
      </c>
      <c r="AP89" s="23">
        <f>AO89*$C$24</f>
        <v/>
      </c>
      <c r="AQ89" s="23">
        <f>AP89*$C$24</f>
        <v/>
      </c>
      <c r="AR89" s="23">
        <f>AQ89*$C$24</f>
        <v/>
      </c>
      <c r="AS89" s="23">
        <f>AR89*$C$24</f>
        <v/>
      </c>
      <c r="AT89" s="23">
        <f>AS89*$C$24</f>
        <v/>
      </c>
      <c r="AU89" s="23">
        <f>AT89*$C$24</f>
        <v/>
      </c>
    </row>
    <row r="91">
      <c r="A91" s="10" t="inlineStr">
        <is>
          <t>Ordini e rimborsi per cliente iniziale, per mese di età (0 = mese dell'acquisto)</t>
        </is>
      </c>
    </row>
    <row r="92">
      <c r="A92" s="3" t="inlineStr">
        <is>
          <t>Età (mesi)</t>
        </is>
      </c>
      <c r="C92" t="n">
        <v>0</v>
      </c>
      <c r="D92" t="n">
        <v>1</v>
      </c>
      <c r="E92" t="n">
        <v>2</v>
      </c>
      <c r="F92" t="n">
        <v>3</v>
      </c>
      <c r="G92" t="n">
        <v>4</v>
      </c>
      <c r="H92" t="n">
        <v>5</v>
      </c>
      <c r="I92" t="n">
        <v>6</v>
      </c>
      <c r="J92" t="n">
        <v>7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13</v>
      </c>
      <c r="Q92" t="n">
        <v>14</v>
      </c>
      <c r="R92" t="n">
        <v>15</v>
      </c>
      <c r="S92" t="n">
        <v>16</v>
      </c>
      <c r="T92" t="n">
        <v>17</v>
      </c>
      <c r="U92" t="n">
        <v>18</v>
      </c>
      <c r="V92" t="n">
        <v>19</v>
      </c>
      <c r="W92" t="n">
        <v>20</v>
      </c>
      <c r="X92" t="n">
        <v>21</v>
      </c>
      <c r="Y92" t="n">
        <v>22</v>
      </c>
      <c r="Z92" t="n">
        <v>23</v>
      </c>
      <c r="AA92" t="n">
        <v>24</v>
      </c>
      <c r="AB92" t="n">
        <v>25</v>
      </c>
      <c r="AC92" t="n">
        <v>26</v>
      </c>
      <c r="AD92" t="n">
        <v>27</v>
      </c>
      <c r="AE92" t="n">
        <v>28</v>
      </c>
      <c r="AF92" t="n">
        <v>29</v>
      </c>
      <c r="AG92" t="n">
        <v>30</v>
      </c>
      <c r="AH92" t="n">
        <v>31</v>
      </c>
      <c r="AI92" t="n">
        <v>32</v>
      </c>
      <c r="AJ92" t="n">
        <v>33</v>
      </c>
      <c r="AK92" t="n">
        <v>34</v>
      </c>
      <c r="AL92" t="n">
        <v>35</v>
      </c>
    </row>
    <row r="93">
      <c r="A93" s="3" t="inlineStr">
        <is>
          <t>Percorso 6: ordini</t>
        </is>
      </c>
      <c r="C93" s="23">
        <f>IF(C92=0,1,IF(MOD(C92,6)=0,$C$12*(1-$C$13)*$C$14*$C$15^(C92/6-1),0))</f>
        <v/>
      </c>
      <c r="D93" s="23">
        <f>IF(D92=0,1,IF(MOD(D92,6)=0,$C$12*(1-$C$13)*$C$14*$C$15^(D92/6-1),0))</f>
        <v/>
      </c>
      <c r="E93" s="23">
        <f>IF(E92=0,1,IF(MOD(E92,6)=0,$C$12*(1-$C$13)*$C$14*$C$15^(E92/6-1),0))</f>
        <v/>
      </c>
      <c r="F93" s="23">
        <f>IF(F92=0,1,IF(MOD(F92,6)=0,$C$12*(1-$C$13)*$C$14*$C$15^(F92/6-1),0))</f>
        <v/>
      </c>
      <c r="G93" s="23">
        <f>IF(G92=0,1,IF(MOD(G92,6)=0,$C$12*(1-$C$13)*$C$14*$C$15^(G92/6-1),0))</f>
        <v/>
      </c>
      <c r="H93" s="23">
        <f>IF(H92=0,1,IF(MOD(H92,6)=0,$C$12*(1-$C$13)*$C$14*$C$15^(H92/6-1),0))</f>
        <v/>
      </c>
      <c r="I93" s="23">
        <f>IF(I92=0,1,IF(MOD(I92,6)=0,$C$12*(1-$C$13)*$C$14*$C$15^(I92/6-1),0))</f>
        <v/>
      </c>
      <c r="J93" s="23">
        <f>IF(J92=0,1,IF(MOD(J92,6)=0,$C$12*(1-$C$13)*$C$14*$C$15^(J92/6-1),0))</f>
        <v/>
      </c>
      <c r="K93" s="23">
        <f>IF(K92=0,1,IF(MOD(K92,6)=0,$C$12*(1-$C$13)*$C$14*$C$15^(K92/6-1),0))</f>
        <v/>
      </c>
      <c r="L93" s="23">
        <f>IF(L92=0,1,IF(MOD(L92,6)=0,$C$12*(1-$C$13)*$C$14*$C$15^(L92/6-1),0))</f>
        <v/>
      </c>
      <c r="M93" s="23">
        <f>IF(M92=0,1,IF(MOD(M92,6)=0,$C$12*(1-$C$13)*$C$14*$C$15^(M92/6-1),0))</f>
        <v/>
      </c>
      <c r="N93" s="23">
        <f>IF(N92=0,1,IF(MOD(N92,6)=0,$C$12*(1-$C$13)*$C$14*$C$15^(N92/6-1),0))</f>
        <v/>
      </c>
      <c r="O93" s="23">
        <f>IF(O92=0,1,IF(MOD(O92,6)=0,$C$12*(1-$C$13)*$C$14*$C$15^(O92/6-1),0))</f>
        <v/>
      </c>
      <c r="P93" s="23">
        <f>IF(P92=0,1,IF(MOD(P92,6)=0,$C$12*(1-$C$13)*$C$14*$C$15^(P92/6-1),0))</f>
        <v/>
      </c>
      <c r="Q93" s="23">
        <f>IF(Q92=0,1,IF(MOD(Q92,6)=0,$C$12*(1-$C$13)*$C$14*$C$15^(Q92/6-1),0))</f>
        <v/>
      </c>
      <c r="R93" s="23">
        <f>IF(R92=0,1,IF(MOD(R92,6)=0,$C$12*(1-$C$13)*$C$14*$C$15^(R92/6-1),0))</f>
        <v/>
      </c>
      <c r="S93" s="23">
        <f>IF(S92=0,1,IF(MOD(S92,6)=0,$C$12*(1-$C$13)*$C$14*$C$15^(S92/6-1),0))</f>
        <v/>
      </c>
      <c r="T93" s="23">
        <f>IF(T92=0,1,IF(MOD(T92,6)=0,$C$12*(1-$C$13)*$C$14*$C$15^(T92/6-1),0))</f>
        <v/>
      </c>
      <c r="U93" s="23">
        <f>IF(U92=0,1,IF(MOD(U92,6)=0,$C$12*(1-$C$13)*$C$14*$C$15^(U92/6-1),0))</f>
        <v/>
      </c>
      <c r="V93" s="23">
        <f>IF(V92=0,1,IF(MOD(V92,6)=0,$C$12*(1-$C$13)*$C$14*$C$15^(V92/6-1),0))</f>
        <v/>
      </c>
      <c r="W93" s="23">
        <f>IF(W92=0,1,IF(MOD(W92,6)=0,$C$12*(1-$C$13)*$C$14*$C$15^(W92/6-1),0))</f>
        <v/>
      </c>
      <c r="X93" s="23">
        <f>IF(X92=0,1,IF(MOD(X92,6)=0,$C$12*(1-$C$13)*$C$14*$C$15^(X92/6-1),0))</f>
        <v/>
      </c>
      <c r="Y93" s="23">
        <f>IF(Y92=0,1,IF(MOD(Y92,6)=0,$C$12*(1-$C$13)*$C$14*$C$15^(Y92/6-1),0))</f>
        <v/>
      </c>
      <c r="Z93" s="23">
        <f>IF(Z92=0,1,IF(MOD(Z92,6)=0,$C$12*(1-$C$13)*$C$14*$C$15^(Z92/6-1),0))</f>
        <v/>
      </c>
      <c r="AA93" s="23">
        <f>IF(AA92=0,1,IF(MOD(AA92,6)=0,$C$12*(1-$C$13)*$C$14*$C$15^(AA92/6-1),0))</f>
        <v/>
      </c>
      <c r="AB93" s="23">
        <f>IF(AB92=0,1,IF(MOD(AB92,6)=0,$C$12*(1-$C$13)*$C$14*$C$15^(AB92/6-1),0))</f>
        <v/>
      </c>
      <c r="AC93" s="23">
        <f>IF(AC92=0,1,IF(MOD(AC92,6)=0,$C$12*(1-$C$13)*$C$14*$C$15^(AC92/6-1),0))</f>
        <v/>
      </c>
      <c r="AD93" s="23">
        <f>IF(AD92=0,1,IF(MOD(AD92,6)=0,$C$12*(1-$C$13)*$C$14*$C$15^(AD92/6-1),0))</f>
        <v/>
      </c>
      <c r="AE93" s="23">
        <f>IF(AE92=0,1,IF(MOD(AE92,6)=0,$C$12*(1-$C$13)*$C$14*$C$15^(AE92/6-1),0))</f>
        <v/>
      </c>
      <c r="AF93" s="23">
        <f>IF(AF92=0,1,IF(MOD(AF92,6)=0,$C$12*(1-$C$13)*$C$14*$C$15^(AF92/6-1),0))</f>
        <v/>
      </c>
      <c r="AG93" s="23">
        <f>IF(AG92=0,1,IF(MOD(AG92,6)=0,$C$12*(1-$C$13)*$C$14*$C$15^(AG92/6-1),0))</f>
        <v/>
      </c>
      <c r="AH93" s="23">
        <f>IF(AH92=0,1,IF(MOD(AH92,6)=0,$C$12*(1-$C$13)*$C$14*$C$15^(AH92/6-1),0))</f>
        <v/>
      </c>
      <c r="AI93" s="23">
        <f>IF(AI92=0,1,IF(MOD(AI92,6)=0,$C$12*(1-$C$13)*$C$14*$C$15^(AI92/6-1),0))</f>
        <v/>
      </c>
      <c r="AJ93" s="23">
        <f>IF(AJ92=0,1,IF(MOD(AJ92,6)=0,$C$12*(1-$C$13)*$C$14*$C$15^(AJ92/6-1),0))</f>
        <v/>
      </c>
      <c r="AK93" s="23">
        <f>IF(AK92=0,1,IF(MOD(AK92,6)=0,$C$12*(1-$C$13)*$C$14*$C$15^(AK92/6-1),0))</f>
        <v/>
      </c>
      <c r="AL93" s="23">
        <f>IF(AL92=0,1,IF(MOD(AL92,6)=0,$C$12*(1-$C$13)*$C$14*$C$15^(AL92/6-1),0))</f>
        <v/>
      </c>
    </row>
    <row r="94">
      <c r="A94" s="3" t="inlineStr">
        <is>
          <t>Percorso 6: rimborsi di garanzia</t>
        </is>
      </c>
      <c r="C94" s="23">
        <f>IF(OR(C92=5,C92=6),$C$12*$C$13/2,0)</f>
        <v/>
      </c>
      <c r="D94" s="23">
        <f>IF(OR(D92=5,D92=6),$C$12*$C$13/2,0)</f>
        <v/>
      </c>
      <c r="E94" s="23">
        <f>IF(OR(E92=5,E92=6),$C$12*$C$13/2,0)</f>
        <v/>
      </c>
      <c r="F94" s="23">
        <f>IF(OR(F92=5,F92=6),$C$12*$C$13/2,0)</f>
        <v/>
      </c>
      <c r="G94" s="23">
        <f>IF(OR(G92=5,G92=6),$C$12*$C$13/2,0)</f>
        <v/>
      </c>
      <c r="H94" s="23">
        <f>IF(OR(H92=5,H92=6),$C$12*$C$13/2,0)</f>
        <v/>
      </c>
      <c r="I94" s="23">
        <f>IF(OR(I92=5,I92=6),$C$12*$C$13/2,0)</f>
        <v/>
      </c>
      <c r="J94" s="23">
        <f>IF(OR(J92=5,J92=6),$C$12*$C$13/2,0)</f>
        <v/>
      </c>
      <c r="K94" s="23">
        <f>IF(OR(K92=5,K92=6),$C$12*$C$13/2,0)</f>
        <v/>
      </c>
      <c r="L94" s="23">
        <f>IF(OR(L92=5,L92=6),$C$12*$C$13/2,0)</f>
        <v/>
      </c>
      <c r="M94" s="23">
        <f>IF(OR(M92=5,M92=6),$C$12*$C$13/2,0)</f>
        <v/>
      </c>
      <c r="N94" s="23">
        <f>IF(OR(N92=5,N92=6),$C$12*$C$13/2,0)</f>
        <v/>
      </c>
      <c r="O94" s="23">
        <f>IF(OR(O92=5,O92=6),$C$12*$C$13/2,0)</f>
        <v/>
      </c>
      <c r="P94" s="23">
        <f>IF(OR(P92=5,P92=6),$C$12*$C$13/2,0)</f>
        <v/>
      </c>
      <c r="Q94" s="23">
        <f>IF(OR(Q92=5,Q92=6),$C$12*$C$13/2,0)</f>
        <v/>
      </c>
      <c r="R94" s="23">
        <f>IF(OR(R92=5,R92=6),$C$12*$C$13/2,0)</f>
        <v/>
      </c>
      <c r="S94" s="23">
        <f>IF(OR(S92=5,S92=6),$C$12*$C$13/2,0)</f>
        <v/>
      </c>
      <c r="T94" s="23">
        <f>IF(OR(T92=5,T92=6),$C$12*$C$13/2,0)</f>
        <v/>
      </c>
      <c r="U94" s="23">
        <f>IF(OR(U92=5,U92=6),$C$12*$C$13/2,0)</f>
        <v/>
      </c>
      <c r="V94" s="23">
        <f>IF(OR(V92=5,V92=6),$C$12*$C$13/2,0)</f>
        <v/>
      </c>
      <c r="W94" s="23">
        <f>IF(OR(W92=5,W92=6),$C$12*$C$13/2,0)</f>
        <v/>
      </c>
      <c r="X94" s="23">
        <f>IF(OR(X92=5,X92=6),$C$12*$C$13/2,0)</f>
        <v/>
      </c>
      <c r="Y94" s="23">
        <f>IF(OR(Y92=5,Y92=6),$C$12*$C$13/2,0)</f>
        <v/>
      </c>
      <c r="Z94" s="23">
        <f>IF(OR(Z92=5,Z92=6),$C$12*$C$13/2,0)</f>
        <v/>
      </c>
      <c r="AA94" s="23">
        <f>IF(OR(AA92=5,AA92=6),$C$12*$C$13/2,0)</f>
        <v/>
      </c>
      <c r="AB94" s="23">
        <f>IF(OR(AB92=5,AB92=6),$C$12*$C$13/2,0)</f>
        <v/>
      </c>
      <c r="AC94" s="23">
        <f>IF(OR(AC92=5,AC92=6),$C$12*$C$13/2,0)</f>
        <v/>
      </c>
      <c r="AD94" s="23">
        <f>IF(OR(AD92=5,AD92=6),$C$12*$C$13/2,0)</f>
        <v/>
      </c>
      <c r="AE94" s="23">
        <f>IF(OR(AE92=5,AE92=6),$C$12*$C$13/2,0)</f>
        <v/>
      </c>
      <c r="AF94" s="23">
        <f>IF(OR(AF92=5,AF92=6),$C$12*$C$13/2,0)</f>
        <v/>
      </c>
      <c r="AG94" s="23">
        <f>IF(OR(AG92=5,AG92=6),$C$12*$C$13/2,0)</f>
        <v/>
      </c>
      <c r="AH94" s="23">
        <f>IF(OR(AH92=5,AH92=6),$C$12*$C$13/2,0)</f>
        <v/>
      </c>
      <c r="AI94" s="23">
        <f>IF(OR(AI92=5,AI92=6),$C$12*$C$13/2,0)</f>
        <v/>
      </c>
      <c r="AJ94" s="23">
        <f>IF(OR(AJ92=5,AJ92=6),$C$12*$C$13/2,0)</f>
        <v/>
      </c>
      <c r="AK94" s="23">
        <f>IF(OR(AK92=5,AK92=6),$C$12*$C$13/2,0)</f>
        <v/>
      </c>
      <c r="AL94" s="23">
        <f>IF(OR(AL92=5,AL92=6),$C$12*$C$13/2,0)</f>
        <v/>
      </c>
    </row>
    <row r="95">
      <c r="A95" s="3" t="inlineStr">
        <is>
          <t>Percorso 3: ordini</t>
        </is>
      </c>
      <c r="C95" s="23">
        <f>IF(C92=0,1,IF(MOD(C92,3)=0,$C$16*$C$17^(C92/3-1),0))</f>
        <v/>
      </c>
      <c r="D95" s="23">
        <f>IF(D92=0,1,IF(MOD(D92,3)=0,$C$16*$C$17^(D92/3-1),0))</f>
        <v/>
      </c>
      <c r="E95" s="23">
        <f>IF(E92=0,1,IF(MOD(E92,3)=0,$C$16*$C$17^(E92/3-1),0))</f>
        <v/>
      </c>
      <c r="F95" s="23">
        <f>IF(F92=0,1,IF(MOD(F92,3)=0,$C$16*$C$17^(F92/3-1),0))</f>
        <v/>
      </c>
      <c r="G95" s="23">
        <f>IF(G92=0,1,IF(MOD(G92,3)=0,$C$16*$C$17^(G92/3-1),0))</f>
        <v/>
      </c>
      <c r="H95" s="23">
        <f>IF(H92=0,1,IF(MOD(H92,3)=0,$C$16*$C$17^(H92/3-1),0))</f>
        <v/>
      </c>
      <c r="I95" s="23">
        <f>IF(I92=0,1,IF(MOD(I92,3)=0,$C$16*$C$17^(I92/3-1),0))</f>
        <v/>
      </c>
      <c r="J95" s="23">
        <f>IF(J92=0,1,IF(MOD(J92,3)=0,$C$16*$C$17^(J92/3-1),0))</f>
        <v/>
      </c>
      <c r="K95" s="23">
        <f>IF(K92=0,1,IF(MOD(K92,3)=0,$C$16*$C$17^(K92/3-1),0))</f>
        <v/>
      </c>
      <c r="L95" s="23">
        <f>IF(L92=0,1,IF(MOD(L92,3)=0,$C$16*$C$17^(L92/3-1),0))</f>
        <v/>
      </c>
      <c r="M95" s="23">
        <f>IF(M92=0,1,IF(MOD(M92,3)=0,$C$16*$C$17^(M92/3-1),0))</f>
        <v/>
      </c>
      <c r="N95" s="23">
        <f>IF(N92=0,1,IF(MOD(N92,3)=0,$C$16*$C$17^(N92/3-1),0))</f>
        <v/>
      </c>
      <c r="O95" s="23">
        <f>IF(O92=0,1,IF(MOD(O92,3)=0,$C$16*$C$17^(O92/3-1),0))</f>
        <v/>
      </c>
      <c r="P95" s="23">
        <f>IF(P92=0,1,IF(MOD(P92,3)=0,$C$16*$C$17^(P92/3-1),0))</f>
        <v/>
      </c>
      <c r="Q95" s="23">
        <f>IF(Q92=0,1,IF(MOD(Q92,3)=0,$C$16*$C$17^(Q92/3-1),0))</f>
        <v/>
      </c>
      <c r="R95" s="23">
        <f>IF(R92=0,1,IF(MOD(R92,3)=0,$C$16*$C$17^(R92/3-1),0))</f>
        <v/>
      </c>
      <c r="S95" s="23">
        <f>IF(S92=0,1,IF(MOD(S92,3)=0,$C$16*$C$17^(S92/3-1),0))</f>
        <v/>
      </c>
      <c r="T95" s="23">
        <f>IF(T92=0,1,IF(MOD(T92,3)=0,$C$16*$C$17^(T92/3-1),0))</f>
        <v/>
      </c>
      <c r="U95" s="23">
        <f>IF(U92=0,1,IF(MOD(U92,3)=0,$C$16*$C$17^(U92/3-1),0))</f>
        <v/>
      </c>
      <c r="V95" s="23">
        <f>IF(V92=0,1,IF(MOD(V92,3)=0,$C$16*$C$17^(V92/3-1),0))</f>
        <v/>
      </c>
      <c r="W95" s="23">
        <f>IF(W92=0,1,IF(MOD(W92,3)=0,$C$16*$C$17^(W92/3-1),0))</f>
        <v/>
      </c>
      <c r="X95" s="23">
        <f>IF(X92=0,1,IF(MOD(X92,3)=0,$C$16*$C$17^(X92/3-1),0))</f>
        <v/>
      </c>
      <c r="Y95" s="23">
        <f>IF(Y92=0,1,IF(MOD(Y92,3)=0,$C$16*$C$17^(Y92/3-1),0))</f>
        <v/>
      </c>
      <c r="Z95" s="23">
        <f>IF(Z92=0,1,IF(MOD(Z92,3)=0,$C$16*$C$17^(Z92/3-1),0))</f>
        <v/>
      </c>
      <c r="AA95" s="23">
        <f>IF(AA92=0,1,IF(MOD(AA92,3)=0,$C$16*$C$17^(AA92/3-1),0))</f>
        <v/>
      </c>
      <c r="AB95" s="23">
        <f>IF(AB92=0,1,IF(MOD(AB92,3)=0,$C$16*$C$17^(AB92/3-1),0))</f>
        <v/>
      </c>
      <c r="AC95" s="23">
        <f>IF(AC92=0,1,IF(MOD(AC92,3)=0,$C$16*$C$17^(AC92/3-1),0))</f>
        <v/>
      </c>
      <c r="AD95" s="23">
        <f>IF(AD92=0,1,IF(MOD(AD92,3)=0,$C$16*$C$17^(AD92/3-1),0))</f>
        <v/>
      </c>
      <c r="AE95" s="23">
        <f>IF(AE92=0,1,IF(MOD(AE92,3)=0,$C$16*$C$17^(AE92/3-1),0))</f>
        <v/>
      </c>
      <c r="AF95" s="23">
        <f>IF(AF92=0,1,IF(MOD(AF92,3)=0,$C$16*$C$17^(AF92/3-1),0))</f>
        <v/>
      </c>
      <c r="AG95" s="23">
        <f>IF(AG92=0,1,IF(MOD(AG92,3)=0,$C$16*$C$17^(AG92/3-1),0))</f>
        <v/>
      </c>
      <c r="AH95" s="23">
        <f>IF(AH92=0,1,IF(MOD(AH92,3)=0,$C$16*$C$17^(AH92/3-1),0))</f>
        <v/>
      </c>
      <c r="AI95" s="23">
        <f>IF(AI92=0,1,IF(MOD(AI92,3)=0,$C$16*$C$17^(AI92/3-1),0))</f>
        <v/>
      </c>
      <c r="AJ95" s="23">
        <f>IF(AJ92=0,1,IF(MOD(AJ92,3)=0,$C$16*$C$17^(AJ92/3-1),0))</f>
        <v/>
      </c>
      <c r="AK95" s="23">
        <f>IF(AK92=0,1,IF(MOD(AK92,3)=0,$C$16*$C$17^(AK92/3-1),0))</f>
        <v/>
      </c>
      <c r="AL95" s="23">
        <f>IF(AL92=0,1,IF(MOD(AL92,3)=0,$C$16*$C$17^(AL92/3-1),0))</f>
        <v/>
      </c>
    </row>
    <row r="96">
      <c r="A96" s="3" t="inlineStr">
        <is>
          <t>Abbonamento: ordini</t>
        </is>
      </c>
      <c r="C96" s="23">
        <f>SUMIF($C$86:$AU$86,C92,$C$87:$AU$87)</f>
        <v/>
      </c>
      <c r="D96" s="23">
        <f>SUMIF($C$86:$AU$86,D92,$C$87:$AU$87)</f>
        <v/>
      </c>
      <c r="E96" s="23">
        <f>SUMIF($C$86:$AU$86,E92,$C$87:$AU$87)</f>
        <v/>
      </c>
      <c r="F96" s="23">
        <f>SUMIF($C$86:$AU$86,F92,$C$87:$AU$87)</f>
        <v/>
      </c>
      <c r="G96" s="23">
        <f>SUMIF($C$86:$AU$86,G92,$C$87:$AU$87)</f>
        <v/>
      </c>
      <c r="H96" s="23">
        <f>SUMIF($C$86:$AU$86,H92,$C$87:$AU$87)</f>
        <v/>
      </c>
      <c r="I96" s="23">
        <f>SUMIF($C$86:$AU$86,I92,$C$87:$AU$87)</f>
        <v/>
      </c>
      <c r="J96" s="23">
        <f>SUMIF($C$86:$AU$86,J92,$C$87:$AU$87)</f>
        <v/>
      </c>
      <c r="K96" s="23">
        <f>SUMIF($C$86:$AU$86,K92,$C$87:$AU$87)</f>
        <v/>
      </c>
      <c r="L96" s="23">
        <f>SUMIF($C$86:$AU$86,L92,$C$87:$AU$87)</f>
        <v/>
      </c>
      <c r="M96" s="23">
        <f>SUMIF($C$86:$AU$86,M92,$C$87:$AU$87)</f>
        <v/>
      </c>
      <c r="N96" s="23">
        <f>SUMIF($C$86:$AU$86,N92,$C$87:$AU$87)</f>
        <v/>
      </c>
      <c r="O96" s="23">
        <f>SUMIF($C$86:$AU$86,O92,$C$87:$AU$87)</f>
        <v/>
      </c>
      <c r="P96" s="23">
        <f>SUMIF($C$86:$AU$86,P92,$C$87:$AU$87)</f>
        <v/>
      </c>
      <c r="Q96" s="23">
        <f>SUMIF($C$86:$AU$86,Q92,$C$87:$AU$87)</f>
        <v/>
      </c>
      <c r="R96" s="23">
        <f>SUMIF($C$86:$AU$86,R92,$C$87:$AU$87)</f>
        <v/>
      </c>
      <c r="S96" s="23">
        <f>SUMIF($C$86:$AU$86,S92,$C$87:$AU$87)</f>
        <v/>
      </c>
      <c r="T96" s="23">
        <f>SUMIF($C$86:$AU$86,T92,$C$87:$AU$87)</f>
        <v/>
      </c>
      <c r="U96" s="23">
        <f>SUMIF($C$86:$AU$86,U92,$C$87:$AU$87)</f>
        <v/>
      </c>
      <c r="V96" s="23">
        <f>SUMIF($C$86:$AU$86,V92,$C$87:$AU$87)</f>
        <v/>
      </c>
      <c r="W96" s="23">
        <f>SUMIF($C$86:$AU$86,W92,$C$87:$AU$87)</f>
        <v/>
      </c>
      <c r="X96" s="23">
        <f>SUMIF($C$86:$AU$86,X92,$C$87:$AU$87)</f>
        <v/>
      </c>
      <c r="Y96" s="23">
        <f>SUMIF($C$86:$AU$86,Y92,$C$87:$AU$87)</f>
        <v/>
      </c>
      <c r="Z96" s="23">
        <f>SUMIF($C$86:$AU$86,Z92,$C$87:$AU$87)</f>
        <v/>
      </c>
      <c r="AA96" s="23">
        <f>SUMIF($C$86:$AU$86,AA92,$C$87:$AU$87)</f>
        <v/>
      </c>
      <c r="AB96" s="23">
        <f>SUMIF($C$86:$AU$86,AB92,$C$87:$AU$87)</f>
        <v/>
      </c>
      <c r="AC96" s="23">
        <f>SUMIF($C$86:$AU$86,AC92,$C$87:$AU$87)</f>
        <v/>
      </c>
      <c r="AD96" s="23">
        <f>SUMIF($C$86:$AU$86,AD92,$C$87:$AU$87)</f>
        <v/>
      </c>
      <c r="AE96" s="23">
        <f>SUMIF($C$86:$AU$86,AE92,$C$87:$AU$87)</f>
        <v/>
      </c>
      <c r="AF96" s="23">
        <f>SUMIF($C$86:$AU$86,AF92,$C$87:$AU$87)</f>
        <v/>
      </c>
      <c r="AG96" s="23">
        <f>SUMIF($C$86:$AU$86,AG92,$C$87:$AU$87)</f>
        <v/>
      </c>
      <c r="AH96" s="23">
        <f>SUMIF($C$86:$AU$86,AH92,$C$87:$AU$87)</f>
        <v/>
      </c>
      <c r="AI96" s="23">
        <f>SUMIF($C$86:$AU$86,AI92,$C$87:$AU$87)</f>
        <v/>
      </c>
      <c r="AJ96" s="23">
        <f>SUMIF($C$86:$AU$86,AJ92,$C$87:$AU$87)</f>
        <v/>
      </c>
      <c r="AK96" s="23">
        <f>SUMIF($C$86:$AU$86,AK92,$C$87:$AU$87)</f>
        <v/>
      </c>
      <c r="AL96" s="23">
        <f>SUMIF($C$86:$AU$86,AL92,$C$87:$AU$87)</f>
        <v/>
      </c>
    </row>
    <row r="97">
      <c r="A97" s="3" t="inlineStr">
        <is>
          <t>Singolo: ordini</t>
        </is>
      </c>
      <c r="C97" s="23">
        <f>SUMIF($C$88:$AU$88,C92,$C$89:$AU$89)</f>
        <v/>
      </c>
      <c r="D97" s="23">
        <f>SUMIF($C$88:$AU$88,D92,$C$89:$AU$89)</f>
        <v/>
      </c>
      <c r="E97" s="23">
        <f>SUMIF($C$88:$AU$88,E92,$C$89:$AU$89)</f>
        <v/>
      </c>
      <c r="F97" s="23">
        <f>SUMIF($C$88:$AU$88,F92,$C$89:$AU$89)</f>
        <v/>
      </c>
      <c r="G97" s="23">
        <f>SUMIF($C$88:$AU$88,G92,$C$89:$AU$89)</f>
        <v/>
      </c>
      <c r="H97" s="23">
        <f>SUMIF($C$88:$AU$88,H92,$C$89:$AU$89)</f>
        <v/>
      </c>
      <c r="I97" s="23">
        <f>SUMIF($C$88:$AU$88,I92,$C$89:$AU$89)</f>
        <v/>
      </c>
      <c r="J97" s="23">
        <f>SUMIF($C$88:$AU$88,J92,$C$89:$AU$89)</f>
        <v/>
      </c>
      <c r="K97" s="23">
        <f>SUMIF($C$88:$AU$88,K92,$C$89:$AU$89)</f>
        <v/>
      </c>
      <c r="L97" s="23">
        <f>SUMIF($C$88:$AU$88,L92,$C$89:$AU$89)</f>
        <v/>
      </c>
      <c r="M97" s="23">
        <f>SUMIF($C$88:$AU$88,M92,$C$89:$AU$89)</f>
        <v/>
      </c>
      <c r="N97" s="23">
        <f>SUMIF($C$88:$AU$88,N92,$C$89:$AU$89)</f>
        <v/>
      </c>
      <c r="O97" s="23">
        <f>SUMIF($C$88:$AU$88,O92,$C$89:$AU$89)</f>
        <v/>
      </c>
      <c r="P97" s="23">
        <f>SUMIF($C$88:$AU$88,P92,$C$89:$AU$89)</f>
        <v/>
      </c>
      <c r="Q97" s="23">
        <f>SUMIF($C$88:$AU$88,Q92,$C$89:$AU$89)</f>
        <v/>
      </c>
      <c r="R97" s="23">
        <f>SUMIF($C$88:$AU$88,R92,$C$89:$AU$89)</f>
        <v/>
      </c>
      <c r="S97" s="23">
        <f>SUMIF($C$88:$AU$88,S92,$C$89:$AU$89)</f>
        <v/>
      </c>
      <c r="T97" s="23">
        <f>SUMIF($C$88:$AU$88,T92,$C$89:$AU$89)</f>
        <v/>
      </c>
      <c r="U97" s="23">
        <f>SUMIF($C$88:$AU$88,U92,$C$89:$AU$89)</f>
        <v/>
      </c>
      <c r="V97" s="23">
        <f>SUMIF($C$88:$AU$88,V92,$C$89:$AU$89)</f>
        <v/>
      </c>
      <c r="W97" s="23">
        <f>SUMIF($C$88:$AU$88,W92,$C$89:$AU$89)</f>
        <v/>
      </c>
      <c r="X97" s="23">
        <f>SUMIF($C$88:$AU$88,X92,$C$89:$AU$89)</f>
        <v/>
      </c>
      <c r="Y97" s="23">
        <f>SUMIF($C$88:$AU$88,Y92,$C$89:$AU$89)</f>
        <v/>
      </c>
      <c r="Z97" s="23">
        <f>SUMIF($C$88:$AU$88,Z92,$C$89:$AU$89)</f>
        <v/>
      </c>
      <c r="AA97" s="23">
        <f>SUMIF($C$88:$AU$88,AA92,$C$89:$AU$89)</f>
        <v/>
      </c>
      <c r="AB97" s="23">
        <f>SUMIF($C$88:$AU$88,AB92,$C$89:$AU$89)</f>
        <v/>
      </c>
      <c r="AC97" s="23">
        <f>SUMIF($C$88:$AU$88,AC92,$C$89:$AU$89)</f>
        <v/>
      </c>
      <c r="AD97" s="23">
        <f>SUMIF($C$88:$AU$88,AD92,$C$89:$AU$89)</f>
        <v/>
      </c>
      <c r="AE97" s="23">
        <f>SUMIF($C$88:$AU$88,AE92,$C$89:$AU$89)</f>
        <v/>
      </c>
      <c r="AF97" s="23">
        <f>SUMIF($C$88:$AU$88,AF92,$C$89:$AU$89)</f>
        <v/>
      </c>
      <c r="AG97" s="23">
        <f>SUMIF($C$88:$AU$88,AG92,$C$89:$AU$89)</f>
        <v/>
      </c>
      <c r="AH97" s="23">
        <f>SUMIF($C$88:$AU$88,AH92,$C$89:$AU$89)</f>
        <v/>
      </c>
      <c r="AI97" s="23">
        <f>SUMIF($C$88:$AU$88,AI92,$C$89:$AU$89)</f>
        <v/>
      </c>
      <c r="AJ97" s="23">
        <f>SUMIF($C$88:$AU$88,AJ92,$C$89:$AU$89)</f>
        <v/>
      </c>
      <c r="AK97" s="23">
        <f>SUMIF($C$88:$AU$88,AK92,$C$89:$AU$89)</f>
        <v/>
      </c>
      <c r="AL97" s="23">
        <f>SUMIF($C$88:$AU$88,AL92,$C$89:$AU$89)</f>
        <v/>
      </c>
    </row>
    <row r="98">
      <c r="A98" s="3" t="inlineStr">
        <is>
          <t>Percorso 6: contribuzione cumulata</t>
        </is>
      </c>
      <c r="B98" s="4" t="inlineStr">
        <is>
          <t>€</t>
        </is>
      </c>
      <c r="C98" s="13">
        <f>$H$82+(C93-1)*$C$82-C94*$H$77</f>
        <v/>
      </c>
      <c r="D98" s="13">
        <f>C98+D93*$C$82-D94*$H$77</f>
        <v/>
      </c>
      <c r="E98" s="13">
        <f>D98+E93*$C$82-E94*$H$77</f>
        <v/>
      </c>
      <c r="F98" s="13">
        <f>E98+F93*$C$82-F94*$H$77</f>
        <v/>
      </c>
      <c r="G98" s="13">
        <f>F98+G93*$C$82-G94*$H$77</f>
        <v/>
      </c>
      <c r="H98" s="13">
        <f>G98+H93*$C$82-H94*$H$77</f>
        <v/>
      </c>
      <c r="I98" s="13">
        <f>H98+I93*$C$82-I94*$H$77</f>
        <v/>
      </c>
      <c r="J98" s="13">
        <f>I98+J93*$C$82-J94*$H$77</f>
        <v/>
      </c>
      <c r="K98" s="13">
        <f>J98+K93*$C$82-K94*$H$77</f>
        <v/>
      </c>
      <c r="L98" s="13">
        <f>K98+L93*$C$82-L94*$H$77</f>
        <v/>
      </c>
      <c r="M98" s="13">
        <f>L98+M93*$C$82-M94*$H$77</f>
        <v/>
      </c>
      <c r="N98" s="13">
        <f>M98+N93*$C$82-N94*$H$77</f>
        <v/>
      </c>
      <c r="O98" s="13">
        <f>N98+O93*$C$82-O94*$H$77</f>
        <v/>
      </c>
      <c r="P98" s="13">
        <f>O98+P93*$C$82-P94*$H$77</f>
        <v/>
      </c>
      <c r="Q98" s="13">
        <f>P98+Q93*$C$82-Q94*$H$77</f>
        <v/>
      </c>
      <c r="R98" s="13">
        <f>Q98+R93*$C$82-R94*$H$77</f>
        <v/>
      </c>
      <c r="S98" s="13">
        <f>R98+S93*$C$82-S94*$H$77</f>
        <v/>
      </c>
      <c r="T98" s="13">
        <f>S98+T93*$C$82-T94*$H$77</f>
        <v/>
      </c>
      <c r="U98" s="13">
        <f>T98+U93*$C$82-U94*$H$77</f>
        <v/>
      </c>
      <c r="V98" s="13">
        <f>U98+V93*$C$82-V94*$H$77</f>
        <v/>
      </c>
      <c r="W98" s="13">
        <f>V98+W93*$C$82-W94*$H$77</f>
        <v/>
      </c>
      <c r="X98" s="13">
        <f>W98+X93*$C$82-X94*$H$77</f>
        <v/>
      </c>
      <c r="Y98" s="13">
        <f>X98+Y93*$C$82-Y94*$H$77</f>
        <v/>
      </c>
      <c r="Z98" s="13">
        <f>Y98+Z93*$C$82-Z94*$H$77</f>
        <v/>
      </c>
      <c r="AA98" s="13">
        <f>Z98+AA93*$C$82-AA94*$H$77</f>
        <v/>
      </c>
      <c r="AB98" s="13">
        <f>AA98+AB93*$C$82-AB94*$H$77</f>
        <v/>
      </c>
      <c r="AC98" s="13">
        <f>AB98+AC93*$C$82-AC94*$H$77</f>
        <v/>
      </c>
      <c r="AD98" s="13">
        <f>AC98+AD93*$C$82-AD94*$H$77</f>
        <v/>
      </c>
      <c r="AE98" s="13">
        <f>AD98+AE93*$C$82-AE94*$H$77</f>
        <v/>
      </c>
      <c r="AF98" s="13">
        <f>AE98+AF93*$C$82-AF94*$H$77</f>
        <v/>
      </c>
      <c r="AG98" s="13">
        <f>AF98+AG93*$C$82-AG94*$H$77</f>
        <v/>
      </c>
      <c r="AH98" s="13">
        <f>AG98+AH93*$C$82-AH94*$H$77</f>
        <v/>
      </c>
      <c r="AI98" s="13">
        <f>AH98+AI93*$C$82-AI94*$H$77</f>
        <v/>
      </c>
      <c r="AJ98" s="13">
        <f>AI98+AJ93*$C$82-AJ94*$H$77</f>
        <v/>
      </c>
      <c r="AK98" s="13">
        <f>AJ98+AK93*$C$82-AK94*$H$77</f>
        <v/>
      </c>
      <c r="AL98" s="13">
        <f>AK98+AL93*$C$82-AL94*$H$77</f>
        <v/>
      </c>
    </row>
    <row r="99">
      <c r="A99" s="3" t="inlineStr">
        <is>
          <t>Percorso 3: contribuzione cumulata</t>
        </is>
      </c>
      <c r="B99" s="4" t="inlineStr">
        <is>
          <t>€</t>
        </is>
      </c>
      <c r="C99" s="13">
        <f>$I$82+(C95-1)*$D$82</f>
        <v/>
      </c>
      <c r="D99" s="13">
        <f>C99+D95*$D$82</f>
        <v/>
      </c>
      <c r="E99" s="13">
        <f>D99+E95*$D$82</f>
        <v/>
      </c>
      <c r="F99" s="13">
        <f>E99+F95*$D$82</f>
        <v/>
      </c>
      <c r="G99" s="13">
        <f>F99+G95*$D$82</f>
        <v/>
      </c>
      <c r="H99" s="13">
        <f>G99+H95*$D$82</f>
        <v/>
      </c>
      <c r="I99" s="13">
        <f>H99+I95*$D$82</f>
        <v/>
      </c>
      <c r="J99" s="13">
        <f>I99+J95*$D$82</f>
        <v/>
      </c>
      <c r="K99" s="13">
        <f>J99+K95*$D$82</f>
        <v/>
      </c>
      <c r="L99" s="13">
        <f>K99+L95*$D$82</f>
        <v/>
      </c>
      <c r="M99" s="13">
        <f>L99+M95*$D$82</f>
        <v/>
      </c>
      <c r="N99" s="13">
        <f>M99+N95*$D$82</f>
        <v/>
      </c>
      <c r="O99" s="13">
        <f>N99+O95*$D$82</f>
        <v/>
      </c>
      <c r="P99" s="13">
        <f>O99+P95*$D$82</f>
        <v/>
      </c>
      <c r="Q99" s="13">
        <f>P99+Q95*$D$82</f>
        <v/>
      </c>
      <c r="R99" s="13">
        <f>Q99+R95*$D$82</f>
        <v/>
      </c>
      <c r="S99" s="13">
        <f>R99+S95*$D$82</f>
        <v/>
      </c>
      <c r="T99" s="13">
        <f>S99+T95*$D$82</f>
        <v/>
      </c>
      <c r="U99" s="13">
        <f>T99+U95*$D$82</f>
        <v/>
      </c>
      <c r="V99" s="13">
        <f>U99+V95*$D$82</f>
        <v/>
      </c>
      <c r="W99" s="13">
        <f>V99+W95*$D$82</f>
        <v/>
      </c>
      <c r="X99" s="13">
        <f>W99+X95*$D$82</f>
        <v/>
      </c>
      <c r="Y99" s="13">
        <f>X99+Y95*$D$82</f>
        <v/>
      </c>
      <c r="Z99" s="13">
        <f>Y99+Z95*$D$82</f>
        <v/>
      </c>
      <c r="AA99" s="13">
        <f>Z99+AA95*$D$82</f>
        <v/>
      </c>
      <c r="AB99" s="13">
        <f>AA99+AB95*$D$82</f>
        <v/>
      </c>
      <c r="AC99" s="13">
        <f>AB99+AC95*$D$82</f>
        <v/>
      </c>
      <c r="AD99" s="13">
        <f>AC99+AD95*$D$82</f>
        <v/>
      </c>
      <c r="AE99" s="13">
        <f>AD99+AE95*$D$82</f>
        <v/>
      </c>
      <c r="AF99" s="13">
        <f>AE99+AF95*$D$82</f>
        <v/>
      </c>
      <c r="AG99" s="13">
        <f>AF99+AG95*$D$82</f>
        <v/>
      </c>
      <c r="AH99" s="13">
        <f>AG99+AH95*$D$82</f>
        <v/>
      </c>
      <c r="AI99" s="13">
        <f>AH99+AI95*$D$82</f>
        <v/>
      </c>
      <c r="AJ99" s="13">
        <f>AI99+AJ95*$D$82</f>
        <v/>
      </c>
      <c r="AK99" s="13">
        <f>AJ99+AK95*$D$82</f>
        <v/>
      </c>
      <c r="AL99" s="13">
        <f>AK99+AL95*$D$82</f>
        <v/>
      </c>
    </row>
    <row r="100">
      <c r="A100" s="3" t="inlineStr">
        <is>
          <t>Abbonamento: contribuzione cumulata</t>
        </is>
      </c>
      <c r="B100" s="4" t="inlineStr">
        <is>
          <t>€</t>
        </is>
      </c>
      <c r="C100" s="13">
        <f>$J$82+(C96-1)*$E$82</f>
        <v/>
      </c>
      <c r="D100" s="13">
        <f>C100+D96*$E$82</f>
        <v/>
      </c>
      <c r="E100" s="13">
        <f>D100+E96*$E$82</f>
        <v/>
      </c>
      <c r="F100" s="13">
        <f>E100+F96*$E$82</f>
        <v/>
      </c>
      <c r="G100" s="13">
        <f>F100+G96*$E$82</f>
        <v/>
      </c>
      <c r="H100" s="13">
        <f>G100+H96*$E$82</f>
        <v/>
      </c>
      <c r="I100" s="13">
        <f>H100+I96*$E$82</f>
        <v/>
      </c>
      <c r="J100" s="13">
        <f>I100+J96*$E$82</f>
        <v/>
      </c>
      <c r="K100" s="13">
        <f>J100+K96*$E$82</f>
        <v/>
      </c>
      <c r="L100" s="13">
        <f>K100+L96*$E$82</f>
        <v/>
      </c>
      <c r="M100" s="13">
        <f>L100+M96*$E$82</f>
        <v/>
      </c>
      <c r="N100" s="13">
        <f>M100+N96*$E$82</f>
        <v/>
      </c>
      <c r="O100" s="13">
        <f>N100+O96*$E$82</f>
        <v/>
      </c>
      <c r="P100" s="13">
        <f>O100+P96*$E$82</f>
        <v/>
      </c>
      <c r="Q100" s="13">
        <f>P100+Q96*$E$82</f>
        <v/>
      </c>
      <c r="R100" s="13">
        <f>Q100+R96*$E$82</f>
        <v/>
      </c>
      <c r="S100" s="13">
        <f>R100+S96*$E$82</f>
        <v/>
      </c>
      <c r="T100" s="13">
        <f>S100+T96*$E$82</f>
        <v/>
      </c>
      <c r="U100" s="13">
        <f>T100+U96*$E$82</f>
        <v/>
      </c>
      <c r="V100" s="13">
        <f>U100+V96*$E$82</f>
        <v/>
      </c>
      <c r="W100" s="13">
        <f>V100+W96*$E$82</f>
        <v/>
      </c>
      <c r="X100" s="13">
        <f>W100+X96*$E$82</f>
        <v/>
      </c>
      <c r="Y100" s="13">
        <f>X100+Y96*$E$82</f>
        <v/>
      </c>
      <c r="Z100" s="13">
        <f>Y100+Z96*$E$82</f>
        <v/>
      </c>
      <c r="AA100" s="13">
        <f>Z100+AA96*$E$82</f>
        <v/>
      </c>
      <c r="AB100" s="13">
        <f>AA100+AB96*$E$82</f>
        <v/>
      </c>
      <c r="AC100" s="13">
        <f>AB100+AC96*$E$82</f>
        <v/>
      </c>
      <c r="AD100" s="13">
        <f>AC100+AD96*$E$82</f>
        <v/>
      </c>
      <c r="AE100" s="13">
        <f>AD100+AE96*$E$82</f>
        <v/>
      </c>
      <c r="AF100" s="13">
        <f>AE100+AF96*$E$82</f>
        <v/>
      </c>
      <c r="AG100" s="13">
        <f>AF100+AG96*$E$82</f>
        <v/>
      </c>
      <c r="AH100" s="13">
        <f>AG100+AH96*$E$82</f>
        <v/>
      </c>
      <c r="AI100" s="13">
        <f>AH100+AI96*$E$82</f>
        <v/>
      </c>
      <c r="AJ100" s="13">
        <f>AI100+AJ96*$E$82</f>
        <v/>
      </c>
      <c r="AK100" s="13">
        <f>AJ100+AK96*$E$82</f>
        <v/>
      </c>
      <c r="AL100" s="13">
        <f>AK100+AL96*$E$82</f>
        <v/>
      </c>
    </row>
    <row r="101">
      <c r="A101" s="3" t="inlineStr">
        <is>
          <t>Singolo: contribuzione cumulata</t>
        </is>
      </c>
      <c r="B101" s="4" t="inlineStr">
        <is>
          <t>€</t>
        </is>
      </c>
      <c r="C101" s="13">
        <f>$K$82+(C97-1)*$F$82</f>
        <v/>
      </c>
      <c r="D101" s="13">
        <f>C101+D97*$F$82</f>
        <v/>
      </c>
      <c r="E101" s="13">
        <f>D101+E97*$F$82</f>
        <v/>
      </c>
      <c r="F101" s="13">
        <f>E101+F97*$F$82</f>
        <v/>
      </c>
      <c r="G101" s="13">
        <f>F101+G97*$F$82</f>
        <v/>
      </c>
      <c r="H101" s="13">
        <f>G101+H97*$F$82</f>
        <v/>
      </c>
      <c r="I101" s="13">
        <f>H101+I97*$F$82</f>
        <v/>
      </c>
      <c r="J101" s="13">
        <f>I101+J97*$F$82</f>
        <v/>
      </c>
      <c r="K101" s="13">
        <f>J101+K97*$F$82</f>
        <v/>
      </c>
      <c r="L101" s="13">
        <f>K101+L97*$F$82</f>
        <v/>
      </c>
      <c r="M101" s="13">
        <f>L101+M97*$F$82</f>
        <v/>
      </c>
      <c r="N101" s="13">
        <f>M101+N97*$F$82</f>
        <v/>
      </c>
      <c r="O101" s="13">
        <f>N101+O97*$F$82</f>
        <v/>
      </c>
      <c r="P101" s="13">
        <f>O101+P97*$F$82</f>
        <v/>
      </c>
      <c r="Q101" s="13">
        <f>P101+Q97*$F$82</f>
        <v/>
      </c>
      <c r="R101" s="13">
        <f>Q101+R97*$F$82</f>
        <v/>
      </c>
      <c r="S101" s="13">
        <f>R101+S97*$F$82</f>
        <v/>
      </c>
      <c r="T101" s="13">
        <f>S101+T97*$F$82</f>
        <v/>
      </c>
      <c r="U101" s="13">
        <f>T101+U97*$F$82</f>
        <v/>
      </c>
      <c r="V101" s="13">
        <f>U101+V97*$F$82</f>
        <v/>
      </c>
      <c r="W101" s="13">
        <f>V101+W97*$F$82</f>
        <v/>
      </c>
      <c r="X101" s="13">
        <f>W101+X97*$F$82</f>
        <v/>
      </c>
      <c r="Y101" s="13">
        <f>X101+Y97*$F$82</f>
        <v/>
      </c>
      <c r="Z101" s="13">
        <f>Y101+Z97*$F$82</f>
        <v/>
      </c>
      <c r="AA101" s="13">
        <f>Z101+AA97*$F$82</f>
        <v/>
      </c>
      <c r="AB101" s="13">
        <f>AA101+AB97*$F$82</f>
        <v/>
      </c>
      <c r="AC101" s="13">
        <f>AB101+AC97*$F$82</f>
        <v/>
      </c>
      <c r="AD101" s="13">
        <f>AC101+AD97*$F$82</f>
        <v/>
      </c>
      <c r="AE101" s="13">
        <f>AD101+AE97*$F$82</f>
        <v/>
      </c>
      <c r="AF101" s="13">
        <f>AE101+AF97*$F$82</f>
        <v/>
      </c>
      <c r="AG101" s="13">
        <f>AF101+AG97*$F$82</f>
        <v/>
      </c>
      <c r="AH101" s="13">
        <f>AG101+AH97*$F$82</f>
        <v/>
      </c>
      <c r="AI101" s="13">
        <f>AH101+AI97*$F$82</f>
        <v/>
      </c>
      <c r="AJ101" s="13">
        <f>AI101+AJ97*$F$82</f>
        <v/>
      </c>
      <c r="AK101" s="13">
        <f>AJ101+AK97*$F$82</f>
        <v/>
      </c>
      <c r="AL101" s="13">
        <f>AK101+AL97*$F$82</f>
        <v/>
      </c>
    </row>
    <row r="102">
      <c r="A102" s="3" t="inlineStr">
        <is>
          <t>Cliente medio (mix): contribuzione cumulata</t>
        </is>
      </c>
      <c r="B102" s="4" t="inlineStr">
        <is>
          <t>€</t>
        </is>
      </c>
      <c r="C102" s="13">
        <f>$C$8*C98+$C$9*C99+$C$10*C100+$C$11*C101</f>
        <v/>
      </c>
      <c r="D102" s="13">
        <f>$C$8*D98+$C$9*D99+$C$10*D100+$C$11*D101</f>
        <v/>
      </c>
      <c r="E102" s="13">
        <f>$C$8*E98+$C$9*E99+$C$10*E100+$C$11*E101</f>
        <v/>
      </c>
      <c r="F102" s="13">
        <f>$C$8*F98+$C$9*F99+$C$10*F100+$C$11*F101</f>
        <v/>
      </c>
      <c r="G102" s="13">
        <f>$C$8*G98+$C$9*G99+$C$10*G100+$C$11*G101</f>
        <v/>
      </c>
      <c r="H102" s="13">
        <f>$C$8*H98+$C$9*H99+$C$10*H100+$C$11*H101</f>
        <v/>
      </c>
      <c r="I102" s="13">
        <f>$C$8*I98+$C$9*I99+$C$10*I100+$C$11*I101</f>
        <v/>
      </c>
      <c r="J102" s="13">
        <f>$C$8*J98+$C$9*J99+$C$10*J100+$C$11*J101</f>
        <v/>
      </c>
      <c r="K102" s="13">
        <f>$C$8*K98+$C$9*K99+$C$10*K100+$C$11*K101</f>
        <v/>
      </c>
      <c r="L102" s="13">
        <f>$C$8*L98+$C$9*L99+$C$10*L100+$C$11*L101</f>
        <v/>
      </c>
      <c r="M102" s="13">
        <f>$C$8*M98+$C$9*M99+$C$10*M100+$C$11*M101</f>
        <v/>
      </c>
      <c r="N102" s="13">
        <f>$C$8*N98+$C$9*N99+$C$10*N100+$C$11*N101</f>
        <v/>
      </c>
      <c r="O102" s="13">
        <f>$C$8*O98+$C$9*O99+$C$10*O100+$C$11*O101</f>
        <v/>
      </c>
      <c r="P102" s="13">
        <f>$C$8*P98+$C$9*P99+$C$10*P100+$C$11*P101</f>
        <v/>
      </c>
      <c r="Q102" s="13">
        <f>$C$8*Q98+$C$9*Q99+$C$10*Q100+$C$11*Q101</f>
        <v/>
      </c>
      <c r="R102" s="13">
        <f>$C$8*R98+$C$9*R99+$C$10*R100+$C$11*R101</f>
        <v/>
      </c>
      <c r="S102" s="13">
        <f>$C$8*S98+$C$9*S99+$C$10*S100+$C$11*S101</f>
        <v/>
      </c>
      <c r="T102" s="13">
        <f>$C$8*T98+$C$9*T99+$C$10*T100+$C$11*T101</f>
        <v/>
      </c>
      <c r="U102" s="13">
        <f>$C$8*U98+$C$9*U99+$C$10*U100+$C$11*U101</f>
        <v/>
      </c>
      <c r="V102" s="13">
        <f>$C$8*V98+$C$9*V99+$C$10*V100+$C$11*V101</f>
        <v/>
      </c>
      <c r="W102" s="13">
        <f>$C$8*W98+$C$9*W99+$C$10*W100+$C$11*W101</f>
        <v/>
      </c>
      <c r="X102" s="13">
        <f>$C$8*X98+$C$9*X99+$C$10*X100+$C$11*X101</f>
        <v/>
      </c>
      <c r="Y102" s="13">
        <f>$C$8*Y98+$C$9*Y99+$C$10*Y100+$C$11*Y101</f>
        <v/>
      </c>
      <c r="Z102" s="13">
        <f>$C$8*Z98+$C$9*Z99+$C$10*Z100+$C$11*Z101</f>
        <v/>
      </c>
      <c r="AA102" s="13">
        <f>$C$8*AA98+$C$9*AA99+$C$10*AA100+$C$11*AA101</f>
        <v/>
      </c>
      <c r="AB102" s="13">
        <f>$C$8*AB98+$C$9*AB99+$C$10*AB100+$C$11*AB101</f>
        <v/>
      </c>
      <c r="AC102" s="13">
        <f>$C$8*AC98+$C$9*AC99+$C$10*AC100+$C$11*AC101</f>
        <v/>
      </c>
      <c r="AD102" s="13">
        <f>$C$8*AD98+$C$9*AD99+$C$10*AD100+$C$11*AD101</f>
        <v/>
      </c>
      <c r="AE102" s="13">
        <f>$C$8*AE98+$C$9*AE99+$C$10*AE100+$C$11*AE101</f>
        <v/>
      </c>
      <c r="AF102" s="13">
        <f>$C$8*AF98+$C$9*AF99+$C$10*AF100+$C$11*AF101</f>
        <v/>
      </c>
      <c r="AG102" s="13">
        <f>$C$8*AG98+$C$9*AG99+$C$10*AG100+$C$11*AG101</f>
        <v/>
      </c>
      <c r="AH102" s="13">
        <f>$C$8*AH98+$C$9*AH99+$C$10*AH100+$C$11*AH101</f>
        <v/>
      </c>
      <c r="AI102" s="13">
        <f>$C$8*AI98+$C$9*AI99+$C$10*AI100+$C$11*AI101</f>
        <v/>
      </c>
      <c r="AJ102" s="13">
        <f>$C$8*AJ98+$C$9*AJ99+$C$10*AJ100+$C$11*AJ101</f>
        <v/>
      </c>
      <c r="AK102" s="13">
        <f>$C$8*AK98+$C$9*AK99+$C$10*AK100+$C$11*AK101</f>
        <v/>
      </c>
      <c r="AL102" s="13">
        <f>$C$8*AL98+$C$9*AL99+$C$10*AL100+$C$11*AL101</f>
        <v/>
      </c>
    </row>
    <row r="104">
      <c r="A104" s="10" t="inlineStr">
        <is>
          <t>Clienti nuovi per mese</t>
        </is>
      </c>
    </row>
    <row r="105">
      <c r="A105" s="3" t="inlineStr">
        <is>
          <t>Mese</t>
        </is>
      </c>
      <c r="C105" t="n">
        <v>1</v>
      </c>
      <c r="D105" t="n">
        <v>2</v>
      </c>
      <c r="E105" t="n">
        <v>3</v>
      </c>
      <c r="F105" t="n">
        <v>4</v>
      </c>
      <c r="G105" t="n">
        <v>5</v>
      </c>
      <c r="H105" t="n">
        <v>6</v>
      </c>
      <c r="I105" t="n">
        <v>7</v>
      </c>
      <c r="J105" t="n">
        <v>8</v>
      </c>
      <c r="K105" t="n">
        <v>9</v>
      </c>
      <c r="L105" t="n">
        <v>10</v>
      </c>
      <c r="M105" t="n">
        <v>11</v>
      </c>
      <c r="N105" t="n">
        <v>12</v>
      </c>
      <c r="O105" t="n">
        <v>13</v>
      </c>
      <c r="P105" t="n">
        <v>14</v>
      </c>
      <c r="Q105" t="n">
        <v>15</v>
      </c>
      <c r="R105" t="n">
        <v>16</v>
      </c>
      <c r="S105" t="n">
        <v>17</v>
      </c>
      <c r="T105" t="n">
        <v>18</v>
      </c>
      <c r="U105" t="n">
        <v>19</v>
      </c>
      <c r="V105" t="n">
        <v>20</v>
      </c>
      <c r="W105" t="n">
        <v>21</v>
      </c>
      <c r="X105" t="n">
        <v>22</v>
      </c>
      <c r="Y105" t="n">
        <v>23</v>
      </c>
      <c r="Z105" t="n">
        <v>24</v>
      </c>
      <c r="AA105" t="n">
        <v>25</v>
      </c>
      <c r="AB105" t="n">
        <v>26</v>
      </c>
      <c r="AC105" t="n">
        <v>27</v>
      </c>
      <c r="AD105" t="n">
        <v>28</v>
      </c>
      <c r="AE105" t="n">
        <v>29</v>
      </c>
      <c r="AF105" t="n">
        <v>30</v>
      </c>
    </row>
    <row r="106">
      <c r="A106" s="3" t="inlineStr">
        <is>
          <t>Mesi dal lancio</t>
        </is>
      </c>
      <c r="C106">
        <f>C105-$C$6</f>
        <v/>
      </c>
      <c r="D106">
        <f>D105-$C$6</f>
        <v/>
      </c>
      <c r="E106">
        <f>E105-$C$6</f>
        <v/>
      </c>
      <c r="F106">
        <f>F105-$C$6</f>
        <v/>
      </c>
      <c r="G106">
        <f>G105-$C$6</f>
        <v/>
      </c>
      <c r="H106">
        <f>H105-$C$6</f>
        <v/>
      </c>
      <c r="I106">
        <f>I105-$C$6</f>
        <v/>
      </c>
      <c r="J106">
        <f>J105-$C$6</f>
        <v/>
      </c>
      <c r="K106">
        <f>K105-$C$6</f>
        <v/>
      </c>
      <c r="L106">
        <f>L105-$C$6</f>
        <v/>
      </c>
      <c r="M106">
        <f>M105-$C$6</f>
        <v/>
      </c>
      <c r="N106">
        <f>N105-$C$6</f>
        <v/>
      </c>
      <c r="O106">
        <f>O105-$C$6</f>
        <v/>
      </c>
      <c r="P106">
        <f>P105-$C$6</f>
        <v/>
      </c>
      <c r="Q106">
        <f>Q105-$C$6</f>
        <v/>
      </c>
      <c r="R106">
        <f>R105-$C$6</f>
        <v/>
      </c>
      <c r="S106">
        <f>S105-$C$6</f>
        <v/>
      </c>
      <c r="T106">
        <f>T105-$C$6</f>
        <v/>
      </c>
      <c r="U106">
        <f>U105-$C$6</f>
        <v/>
      </c>
      <c r="V106">
        <f>V105-$C$6</f>
        <v/>
      </c>
      <c r="W106">
        <f>W105-$C$6</f>
        <v/>
      </c>
      <c r="X106">
        <f>X105-$C$6</f>
        <v/>
      </c>
      <c r="Y106">
        <f>Y105-$C$6</f>
        <v/>
      </c>
      <c r="Z106">
        <f>Z105-$C$6</f>
        <v/>
      </c>
      <c r="AA106">
        <f>AA105-$C$6</f>
        <v/>
      </c>
      <c r="AB106">
        <f>AB105-$C$6</f>
        <v/>
      </c>
      <c r="AC106">
        <f>AC105-$C$6</f>
        <v/>
      </c>
      <c r="AD106">
        <f>AD105-$C$6</f>
        <v/>
      </c>
      <c r="AE106">
        <f>AE105-$C$6</f>
        <v/>
      </c>
      <c r="AF106">
        <f>AF105-$C$6</f>
        <v/>
      </c>
    </row>
    <row r="107">
      <c r="A107" s="3" t="inlineStr">
        <is>
          <t>Pubblicità</t>
        </is>
      </c>
      <c r="B107" s="4" t="inlineStr">
        <is>
          <t>€</t>
        </is>
      </c>
      <c r="C107" s="20">
        <f>IF(C106&lt;0,0,IF(C106&lt;$C$28,$C$27/$C$28,IF(C106&lt;$C$28+$C$31,$C$30/$C$31,IF(C106&lt;$C$28+$C$31+$C$34,$C$33/$C$34,$C$36))))</f>
        <v/>
      </c>
      <c r="D107" s="20">
        <f>IF(D106&lt;0,0,IF(D106&lt;$C$28,$C$27/$C$28,IF(D106&lt;$C$28+$C$31,$C$30/$C$31,IF(D106&lt;$C$28+$C$31+$C$34,$C$33/$C$34,$C$36))))</f>
        <v/>
      </c>
      <c r="E107" s="20">
        <f>IF(E106&lt;0,0,IF(E106&lt;$C$28,$C$27/$C$28,IF(E106&lt;$C$28+$C$31,$C$30/$C$31,IF(E106&lt;$C$28+$C$31+$C$34,$C$33/$C$34,$C$36))))</f>
        <v/>
      </c>
      <c r="F107" s="20">
        <f>IF(F106&lt;0,0,IF(F106&lt;$C$28,$C$27/$C$28,IF(F106&lt;$C$28+$C$31,$C$30/$C$31,IF(F106&lt;$C$28+$C$31+$C$34,$C$33/$C$34,$C$36))))</f>
        <v/>
      </c>
      <c r="G107" s="20">
        <f>IF(G106&lt;0,0,IF(G106&lt;$C$28,$C$27/$C$28,IF(G106&lt;$C$28+$C$31,$C$30/$C$31,IF(G106&lt;$C$28+$C$31+$C$34,$C$33/$C$34,$C$36))))</f>
        <v/>
      </c>
      <c r="H107" s="20">
        <f>IF(H106&lt;0,0,IF(H106&lt;$C$28,$C$27/$C$28,IF(H106&lt;$C$28+$C$31,$C$30/$C$31,IF(H106&lt;$C$28+$C$31+$C$34,$C$33/$C$34,$C$36))))</f>
        <v/>
      </c>
      <c r="I107" s="20">
        <f>IF(I106&lt;0,0,IF(I106&lt;$C$28,$C$27/$C$28,IF(I106&lt;$C$28+$C$31,$C$30/$C$31,IF(I106&lt;$C$28+$C$31+$C$34,$C$33/$C$34,$C$36))))</f>
        <v/>
      </c>
      <c r="J107" s="20">
        <f>IF(J106&lt;0,0,IF(J106&lt;$C$28,$C$27/$C$28,IF(J106&lt;$C$28+$C$31,$C$30/$C$31,IF(J106&lt;$C$28+$C$31+$C$34,$C$33/$C$34,$C$36))))</f>
        <v/>
      </c>
      <c r="K107" s="20">
        <f>IF(K106&lt;0,0,IF(K106&lt;$C$28,$C$27/$C$28,IF(K106&lt;$C$28+$C$31,$C$30/$C$31,IF(K106&lt;$C$28+$C$31+$C$34,$C$33/$C$34,$C$36))))</f>
        <v/>
      </c>
      <c r="L107" s="20">
        <f>IF(L106&lt;0,0,IF(L106&lt;$C$28,$C$27/$C$28,IF(L106&lt;$C$28+$C$31,$C$30/$C$31,IF(L106&lt;$C$28+$C$31+$C$34,$C$33/$C$34,$C$36))))</f>
        <v/>
      </c>
      <c r="M107" s="20">
        <f>IF(M106&lt;0,0,IF(M106&lt;$C$28,$C$27/$C$28,IF(M106&lt;$C$28+$C$31,$C$30/$C$31,IF(M106&lt;$C$28+$C$31+$C$34,$C$33/$C$34,$C$36))))</f>
        <v/>
      </c>
      <c r="N107" s="20">
        <f>IF(N106&lt;0,0,IF(N106&lt;$C$28,$C$27/$C$28,IF(N106&lt;$C$28+$C$31,$C$30/$C$31,IF(N106&lt;$C$28+$C$31+$C$34,$C$33/$C$34,$C$36))))</f>
        <v/>
      </c>
      <c r="O107" s="20">
        <f>IF(O106&lt;0,0,IF(O106&lt;$C$28,$C$27/$C$28,IF(O106&lt;$C$28+$C$31,$C$30/$C$31,IF(O106&lt;$C$28+$C$31+$C$34,$C$33/$C$34,$C$36))))</f>
        <v/>
      </c>
      <c r="P107" s="20">
        <f>IF(P106&lt;0,0,IF(P106&lt;$C$28,$C$27/$C$28,IF(P106&lt;$C$28+$C$31,$C$30/$C$31,IF(P106&lt;$C$28+$C$31+$C$34,$C$33/$C$34,$C$36))))</f>
        <v/>
      </c>
      <c r="Q107" s="20">
        <f>IF(Q106&lt;0,0,IF(Q106&lt;$C$28,$C$27/$C$28,IF(Q106&lt;$C$28+$C$31,$C$30/$C$31,IF(Q106&lt;$C$28+$C$31+$C$34,$C$33/$C$34,$C$36))))</f>
        <v/>
      </c>
      <c r="R107" s="20">
        <f>IF(R106&lt;0,0,IF(R106&lt;$C$28,$C$27/$C$28,IF(R106&lt;$C$28+$C$31,$C$30/$C$31,IF(R106&lt;$C$28+$C$31+$C$34,$C$33/$C$34,$C$36))))</f>
        <v/>
      </c>
      <c r="S107" s="20">
        <f>IF(S106&lt;0,0,IF(S106&lt;$C$28,$C$27/$C$28,IF(S106&lt;$C$28+$C$31,$C$30/$C$31,IF(S106&lt;$C$28+$C$31+$C$34,$C$33/$C$34,$C$36))))</f>
        <v/>
      </c>
      <c r="T107" s="20">
        <f>IF(T106&lt;0,0,IF(T106&lt;$C$28,$C$27/$C$28,IF(T106&lt;$C$28+$C$31,$C$30/$C$31,IF(T106&lt;$C$28+$C$31+$C$34,$C$33/$C$34,$C$36))))</f>
        <v/>
      </c>
      <c r="U107" s="20">
        <f>IF(U106&lt;0,0,IF(U106&lt;$C$28,$C$27/$C$28,IF(U106&lt;$C$28+$C$31,$C$30/$C$31,IF(U106&lt;$C$28+$C$31+$C$34,$C$33/$C$34,$C$36))))</f>
        <v/>
      </c>
      <c r="V107" s="20">
        <f>IF(V106&lt;0,0,IF(V106&lt;$C$28,$C$27/$C$28,IF(V106&lt;$C$28+$C$31,$C$30/$C$31,IF(V106&lt;$C$28+$C$31+$C$34,$C$33/$C$34,$C$36))))</f>
        <v/>
      </c>
      <c r="W107" s="20">
        <f>IF(W106&lt;0,0,IF(W106&lt;$C$28,$C$27/$C$28,IF(W106&lt;$C$28+$C$31,$C$30/$C$31,IF(W106&lt;$C$28+$C$31+$C$34,$C$33/$C$34,$C$36))))</f>
        <v/>
      </c>
      <c r="X107" s="20">
        <f>IF(X106&lt;0,0,IF(X106&lt;$C$28,$C$27/$C$28,IF(X106&lt;$C$28+$C$31,$C$30/$C$31,IF(X106&lt;$C$28+$C$31+$C$34,$C$33/$C$34,$C$36))))</f>
        <v/>
      </c>
      <c r="Y107" s="20">
        <f>IF(Y106&lt;0,0,IF(Y106&lt;$C$28,$C$27/$C$28,IF(Y106&lt;$C$28+$C$31,$C$30/$C$31,IF(Y106&lt;$C$28+$C$31+$C$34,$C$33/$C$34,$C$36))))</f>
        <v/>
      </c>
      <c r="Z107" s="20">
        <f>IF(Z106&lt;0,0,IF(Z106&lt;$C$28,$C$27/$C$28,IF(Z106&lt;$C$28+$C$31,$C$30/$C$31,IF(Z106&lt;$C$28+$C$31+$C$34,$C$33/$C$34,$C$36))))</f>
        <v/>
      </c>
      <c r="AA107" s="20">
        <f>IF(AA106&lt;0,0,IF(AA106&lt;$C$28,$C$27/$C$28,IF(AA106&lt;$C$28+$C$31,$C$30/$C$31,IF(AA106&lt;$C$28+$C$31+$C$34,$C$33/$C$34,$C$36))))</f>
        <v/>
      </c>
      <c r="AB107" s="20">
        <f>IF(AB106&lt;0,0,IF(AB106&lt;$C$28,$C$27/$C$28,IF(AB106&lt;$C$28+$C$31,$C$30/$C$31,IF(AB106&lt;$C$28+$C$31+$C$34,$C$33/$C$34,$C$36))))</f>
        <v/>
      </c>
      <c r="AC107" s="20">
        <f>IF(AC106&lt;0,0,IF(AC106&lt;$C$28,$C$27/$C$28,IF(AC106&lt;$C$28+$C$31,$C$30/$C$31,IF(AC106&lt;$C$28+$C$31+$C$34,$C$33/$C$34,$C$36))))</f>
        <v/>
      </c>
      <c r="AD107" s="20">
        <f>IF(AD106&lt;0,0,IF(AD106&lt;$C$28,$C$27/$C$28,IF(AD106&lt;$C$28+$C$31,$C$30/$C$31,IF(AD106&lt;$C$28+$C$31+$C$34,$C$33/$C$34,$C$36))))</f>
        <v/>
      </c>
      <c r="AE107" s="20">
        <f>IF(AE106&lt;0,0,IF(AE106&lt;$C$28,$C$27/$C$28,IF(AE106&lt;$C$28+$C$31,$C$30/$C$31,IF(AE106&lt;$C$28+$C$31+$C$34,$C$33/$C$34,$C$36))))</f>
        <v/>
      </c>
      <c r="AF107" s="20">
        <f>IF(AF106&lt;0,0,IF(AF106&lt;$C$28,$C$27/$C$28,IF(AF106&lt;$C$28+$C$31,$C$30/$C$31,IF(AF106&lt;$C$28+$C$31+$C$34,$C$33/$C$34,$C$36))))</f>
        <v/>
      </c>
    </row>
    <row r="108">
      <c r="A108" s="3" t="inlineStr">
        <is>
          <t>CAC pubblicitario</t>
        </is>
      </c>
      <c r="B108" s="4" t="inlineStr">
        <is>
          <t>€</t>
        </is>
      </c>
      <c r="C108" s="20">
        <f>IF(C106&lt;0,0,IF(C106&lt;$C$28,$C$29,IF(C106&lt;$C$28+$C$31,$C$32,IF(C106&lt;$C$28+$C$31+$C$34,$C$35,$C$37))))</f>
        <v/>
      </c>
      <c r="D108" s="20">
        <f>IF(D106&lt;0,0,IF(D106&lt;$C$28,$C$29,IF(D106&lt;$C$28+$C$31,$C$32,IF(D106&lt;$C$28+$C$31+$C$34,$C$35,$C$37))))</f>
        <v/>
      </c>
      <c r="E108" s="20">
        <f>IF(E106&lt;0,0,IF(E106&lt;$C$28,$C$29,IF(E106&lt;$C$28+$C$31,$C$32,IF(E106&lt;$C$28+$C$31+$C$34,$C$35,$C$37))))</f>
        <v/>
      </c>
      <c r="F108" s="20">
        <f>IF(F106&lt;0,0,IF(F106&lt;$C$28,$C$29,IF(F106&lt;$C$28+$C$31,$C$32,IF(F106&lt;$C$28+$C$31+$C$34,$C$35,$C$37))))</f>
        <v/>
      </c>
      <c r="G108" s="20">
        <f>IF(G106&lt;0,0,IF(G106&lt;$C$28,$C$29,IF(G106&lt;$C$28+$C$31,$C$32,IF(G106&lt;$C$28+$C$31+$C$34,$C$35,$C$37))))</f>
        <v/>
      </c>
      <c r="H108" s="20">
        <f>IF(H106&lt;0,0,IF(H106&lt;$C$28,$C$29,IF(H106&lt;$C$28+$C$31,$C$32,IF(H106&lt;$C$28+$C$31+$C$34,$C$35,$C$37))))</f>
        <v/>
      </c>
      <c r="I108" s="20">
        <f>IF(I106&lt;0,0,IF(I106&lt;$C$28,$C$29,IF(I106&lt;$C$28+$C$31,$C$32,IF(I106&lt;$C$28+$C$31+$C$34,$C$35,$C$37))))</f>
        <v/>
      </c>
      <c r="J108" s="20">
        <f>IF(J106&lt;0,0,IF(J106&lt;$C$28,$C$29,IF(J106&lt;$C$28+$C$31,$C$32,IF(J106&lt;$C$28+$C$31+$C$34,$C$35,$C$37))))</f>
        <v/>
      </c>
      <c r="K108" s="20">
        <f>IF(K106&lt;0,0,IF(K106&lt;$C$28,$C$29,IF(K106&lt;$C$28+$C$31,$C$32,IF(K106&lt;$C$28+$C$31+$C$34,$C$35,$C$37))))</f>
        <v/>
      </c>
      <c r="L108" s="20">
        <f>IF(L106&lt;0,0,IF(L106&lt;$C$28,$C$29,IF(L106&lt;$C$28+$C$31,$C$32,IF(L106&lt;$C$28+$C$31+$C$34,$C$35,$C$37))))</f>
        <v/>
      </c>
      <c r="M108" s="20">
        <f>IF(M106&lt;0,0,IF(M106&lt;$C$28,$C$29,IF(M106&lt;$C$28+$C$31,$C$32,IF(M106&lt;$C$28+$C$31+$C$34,$C$35,$C$37))))</f>
        <v/>
      </c>
      <c r="N108" s="20">
        <f>IF(N106&lt;0,0,IF(N106&lt;$C$28,$C$29,IF(N106&lt;$C$28+$C$31,$C$32,IF(N106&lt;$C$28+$C$31+$C$34,$C$35,$C$37))))</f>
        <v/>
      </c>
      <c r="O108" s="20">
        <f>IF(O106&lt;0,0,IF(O106&lt;$C$28,$C$29,IF(O106&lt;$C$28+$C$31,$C$32,IF(O106&lt;$C$28+$C$31+$C$34,$C$35,$C$37))))</f>
        <v/>
      </c>
      <c r="P108" s="20">
        <f>IF(P106&lt;0,0,IF(P106&lt;$C$28,$C$29,IF(P106&lt;$C$28+$C$31,$C$32,IF(P106&lt;$C$28+$C$31+$C$34,$C$35,$C$37))))</f>
        <v/>
      </c>
      <c r="Q108" s="20">
        <f>IF(Q106&lt;0,0,IF(Q106&lt;$C$28,$C$29,IF(Q106&lt;$C$28+$C$31,$C$32,IF(Q106&lt;$C$28+$C$31+$C$34,$C$35,$C$37))))</f>
        <v/>
      </c>
      <c r="R108" s="20">
        <f>IF(R106&lt;0,0,IF(R106&lt;$C$28,$C$29,IF(R106&lt;$C$28+$C$31,$C$32,IF(R106&lt;$C$28+$C$31+$C$34,$C$35,$C$37))))</f>
        <v/>
      </c>
      <c r="S108" s="20">
        <f>IF(S106&lt;0,0,IF(S106&lt;$C$28,$C$29,IF(S106&lt;$C$28+$C$31,$C$32,IF(S106&lt;$C$28+$C$31+$C$34,$C$35,$C$37))))</f>
        <v/>
      </c>
      <c r="T108" s="20">
        <f>IF(T106&lt;0,0,IF(T106&lt;$C$28,$C$29,IF(T106&lt;$C$28+$C$31,$C$32,IF(T106&lt;$C$28+$C$31+$C$34,$C$35,$C$37))))</f>
        <v/>
      </c>
      <c r="U108" s="20">
        <f>IF(U106&lt;0,0,IF(U106&lt;$C$28,$C$29,IF(U106&lt;$C$28+$C$31,$C$32,IF(U106&lt;$C$28+$C$31+$C$34,$C$35,$C$37))))</f>
        <v/>
      </c>
      <c r="V108" s="20">
        <f>IF(V106&lt;0,0,IF(V106&lt;$C$28,$C$29,IF(V106&lt;$C$28+$C$31,$C$32,IF(V106&lt;$C$28+$C$31+$C$34,$C$35,$C$37))))</f>
        <v/>
      </c>
      <c r="W108" s="20">
        <f>IF(W106&lt;0,0,IF(W106&lt;$C$28,$C$29,IF(W106&lt;$C$28+$C$31,$C$32,IF(W106&lt;$C$28+$C$31+$C$34,$C$35,$C$37))))</f>
        <v/>
      </c>
      <c r="X108" s="20">
        <f>IF(X106&lt;0,0,IF(X106&lt;$C$28,$C$29,IF(X106&lt;$C$28+$C$31,$C$32,IF(X106&lt;$C$28+$C$31+$C$34,$C$35,$C$37))))</f>
        <v/>
      </c>
      <c r="Y108" s="20">
        <f>IF(Y106&lt;0,0,IF(Y106&lt;$C$28,$C$29,IF(Y106&lt;$C$28+$C$31,$C$32,IF(Y106&lt;$C$28+$C$31+$C$34,$C$35,$C$37))))</f>
        <v/>
      </c>
      <c r="Z108" s="20">
        <f>IF(Z106&lt;0,0,IF(Z106&lt;$C$28,$C$29,IF(Z106&lt;$C$28+$C$31,$C$32,IF(Z106&lt;$C$28+$C$31+$C$34,$C$35,$C$37))))</f>
        <v/>
      </c>
      <c r="AA108" s="20">
        <f>IF(AA106&lt;0,0,IF(AA106&lt;$C$28,$C$29,IF(AA106&lt;$C$28+$C$31,$C$32,IF(AA106&lt;$C$28+$C$31+$C$34,$C$35,$C$37))))</f>
        <v/>
      </c>
      <c r="AB108" s="20">
        <f>IF(AB106&lt;0,0,IF(AB106&lt;$C$28,$C$29,IF(AB106&lt;$C$28+$C$31,$C$32,IF(AB106&lt;$C$28+$C$31+$C$34,$C$35,$C$37))))</f>
        <v/>
      </c>
      <c r="AC108" s="20">
        <f>IF(AC106&lt;0,0,IF(AC106&lt;$C$28,$C$29,IF(AC106&lt;$C$28+$C$31,$C$32,IF(AC106&lt;$C$28+$C$31+$C$34,$C$35,$C$37))))</f>
        <v/>
      </c>
      <c r="AD108" s="20">
        <f>IF(AD106&lt;0,0,IF(AD106&lt;$C$28,$C$29,IF(AD106&lt;$C$28+$C$31,$C$32,IF(AD106&lt;$C$28+$C$31+$C$34,$C$35,$C$37))))</f>
        <v/>
      </c>
      <c r="AE108" s="20">
        <f>IF(AE106&lt;0,0,IF(AE106&lt;$C$28,$C$29,IF(AE106&lt;$C$28+$C$31,$C$32,IF(AE106&lt;$C$28+$C$31+$C$34,$C$35,$C$37))))</f>
        <v/>
      </c>
      <c r="AF108" s="20">
        <f>IF(AF106&lt;0,0,IF(AF106&lt;$C$28,$C$29,IF(AF106&lt;$C$28+$C$31,$C$32,IF(AF106&lt;$C$28+$C$31+$C$34,$C$35,$C$37))))</f>
        <v/>
      </c>
    </row>
    <row r="109">
      <c r="A109" s="3" t="inlineStr">
        <is>
          <t>Nuovi clienti da pubblicità</t>
        </is>
      </c>
      <c r="C109" s="24">
        <f>IF(C107&gt;0,C107/C108,0)</f>
        <v/>
      </c>
      <c r="D109" s="24">
        <f>IF(D107&gt;0,D107/D108,0)</f>
        <v/>
      </c>
      <c r="E109" s="24">
        <f>IF(E107&gt;0,E107/E108,0)</f>
        <v/>
      </c>
      <c r="F109" s="24">
        <f>IF(F107&gt;0,F107/F108,0)</f>
        <v/>
      </c>
      <c r="G109" s="24">
        <f>IF(G107&gt;0,G107/G108,0)</f>
        <v/>
      </c>
      <c r="H109" s="24">
        <f>IF(H107&gt;0,H107/H108,0)</f>
        <v/>
      </c>
      <c r="I109" s="24">
        <f>IF(I107&gt;0,I107/I108,0)</f>
        <v/>
      </c>
      <c r="J109" s="24">
        <f>IF(J107&gt;0,J107/J108,0)</f>
        <v/>
      </c>
      <c r="K109" s="24">
        <f>IF(K107&gt;0,K107/K108,0)</f>
        <v/>
      </c>
      <c r="L109" s="24">
        <f>IF(L107&gt;0,L107/L108,0)</f>
        <v/>
      </c>
      <c r="M109" s="24">
        <f>IF(M107&gt;0,M107/M108,0)</f>
        <v/>
      </c>
      <c r="N109" s="24">
        <f>IF(N107&gt;0,N107/N108,0)</f>
        <v/>
      </c>
      <c r="O109" s="24">
        <f>IF(O107&gt;0,O107/O108,0)</f>
        <v/>
      </c>
      <c r="P109" s="24">
        <f>IF(P107&gt;0,P107/P108,0)</f>
        <v/>
      </c>
      <c r="Q109" s="24">
        <f>IF(Q107&gt;0,Q107/Q108,0)</f>
        <v/>
      </c>
      <c r="R109" s="24">
        <f>IF(R107&gt;0,R107/R108,0)</f>
        <v/>
      </c>
      <c r="S109" s="24">
        <f>IF(S107&gt;0,S107/S108,0)</f>
        <v/>
      </c>
      <c r="T109" s="24">
        <f>IF(T107&gt;0,T107/T108,0)</f>
        <v/>
      </c>
      <c r="U109" s="24">
        <f>IF(U107&gt;0,U107/U108,0)</f>
        <v/>
      </c>
      <c r="V109" s="24">
        <f>IF(V107&gt;0,V107/V108,0)</f>
        <v/>
      </c>
      <c r="W109" s="24">
        <f>IF(W107&gt;0,W107/W108,0)</f>
        <v/>
      </c>
      <c r="X109" s="24">
        <f>IF(X107&gt;0,X107/X108,0)</f>
        <v/>
      </c>
      <c r="Y109" s="24">
        <f>IF(Y107&gt;0,Y107/Y108,0)</f>
        <v/>
      </c>
      <c r="Z109" s="24">
        <f>IF(Z107&gt;0,Z107/Z108,0)</f>
        <v/>
      </c>
      <c r="AA109" s="24">
        <f>IF(AA107&gt;0,AA107/AA108,0)</f>
        <v/>
      </c>
      <c r="AB109" s="24">
        <f>IF(AB107&gt;0,AB107/AB108,0)</f>
        <v/>
      </c>
      <c r="AC109" s="24">
        <f>IF(AC107&gt;0,AC107/AC108,0)</f>
        <v/>
      </c>
      <c r="AD109" s="24">
        <f>IF(AD107&gt;0,AD107/AD108,0)</f>
        <v/>
      </c>
      <c r="AE109" s="24">
        <f>IF(AE107&gt;0,AE107/AE108,0)</f>
        <v/>
      </c>
      <c r="AF109" s="24">
        <f>IF(AF107&gt;0,AF107/AF108,0)</f>
        <v/>
      </c>
    </row>
    <row r="110">
      <c r="A110" s="3" t="inlineStr">
        <is>
          <t>Nuovi clienti da canali non pagati</t>
        </is>
      </c>
      <c r="C110" s="24">
        <f>IF(C106&gt;=0,$C$26,0)</f>
        <v/>
      </c>
      <c r="D110" s="24">
        <f>IF(D106&gt;=0,$C$26,0)</f>
        <v/>
      </c>
      <c r="E110" s="24">
        <f>IF(E106&gt;=0,$C$26,0)</f>
        <v/>
      </c>
      <c r="F110" s="24">
        <f>IF(F106&gt;=0,$C$26,0)</f>
        <v/>
      </c>
      <c r="G110" s="24">
        <f>IF(G106&gt;=0,$C$26,0)</f>
        <v/>
      </c>
      <c r="H110" s="24">
        <f>IF(H106&gt;=0,$C$26,0)</f>
        <v/>
      </c>
      <c r="I110" s="24">
        <f>IF(I106&gt;=0,$C$26,0)</f>
        <v/>
      </c>
      <c r="J110" s="24">
        <f>IF(J106&gt;=0,$C$26,0)</f>
        <v/>
      </c>
      <c r="K110" s="24">
        <f>IF(K106&gt;=0,$C$26,0)</f>
        <v/>
      </c>
      <c r="L110" s="24">
        <f>IF(L106&gt;=0,$C$26,0)</f>
        <v/>
      </c>
      <c r="M110" s="24">
        <f>IF(M106&gt;=0,$C$26,0)</f>
        <v/>
      </c>
      <c r="N110" s="24">
        <f>IF(N106&gt;=0,$C$26,0)</f>
        <v/>
      </c>
      <c r="O110" s="24">
        <f>IF(O106&gt;=0,$C$26,0)</f>
        <v/>
      </c>
      <c r="P110" s="24">
        <f>IF(P106&gt;=0,$C$26,0)</f>
        <v/>
      </c>
      <c r="Q110" s="24">
        <f>IF(Q106&gt;=0,$C$26,0)</f>
        <v/>
      </c>
      <c r="R110" s="24">
        <f>IF(R106&gt;=0,$C$26,0)</f>
        <v/>
      </c>
      <c r="S110" s="24">
        <f>IF(S106&gt;=0,$C$26,0)</f>
        <v/>
      </c>
      <c r="T110" s="24">
        <f>IF(T106&gt;=0,$C$26,0)</f>
        <v/>
      </c>
      <c r="U110" s="24">
        <f>IF(U106&gt;=0,$C$26,0)</f>
        <v/>
      </c>
      <c r="V110" s="24">
        <f>IF(V106&gt;=0,$C$26,0)</f>
        <v/>
      </c>
      <c r="W110" s="24">
        <f>IF(W106&gt;=0,$C$26,0)</f>
        <v/>
      </c>
      <c r="X110" s="24">
        <f>IF(X106&gt;=0,$C$26,0)</f>
        <v/>
      </c>
      <c r="Y110" s="24">
        <f>IF(Y106&gt;=0,$C$26,0)</f>
        <v/>
      </c>
      <c r="Z110" s="24">
        <f>IF(Z106&gt;=0,$C$26,0)</f>
        <v/>
      </c>
      <c r="AA110" s="24">
        <f>IF(AA106&gt;=0,$C$26,0)</f>
        <v/>
      </c>
      <c r="AB110" s="24">
        <f>IF(AB106&gt;=0,$C$26,0)</f>
        <v/>
      </c>
      <c r="AC110" s="24">
        <f>IF(AC106&gt;=0,$C$26,0)</f>
        <v/>
      </c>
      <c r="AD110" s="24">
        <f>IF(AD106&gt;=0,$C$26,0)</f>
        <v/>
      </c>
      <c r="AE110" s="24">
        <f>IF(AE106&gt;=0,$C$26,0)</f>
        <v/>
      </c>
      <c r="AF110" s="24">
        <f>IF(AF106&gt;=0,$C$26,0)</f>
        <v/>
      </c>
    </row>
    <row r="111">
      <c r="A111" s="3" t="inlineStr">
        <is>
          <t>Nuovi clienti totali</t>
        </is>
      </c>
      <c r="C111" s="24">
        <f>C109+C110</f>
        <v/>
      </c>
      <c r="D111" s="24">
        <f>D109+D110</f>
        <v/>
      </c>
      <c r="E111" s="24">
        <f>E109+E110</f>
        <v/>
      </c>
      <c r="F111" s="24">
        <f>F109+F110</f>
        <v/>
      </c>
      <c r="G111" s="24">
        <f>G109+G110</f>
        <v/>
      </c>
      <c r="H111" s="24">
        <f>H109+H110</f>
        <v/>
      </c>
      <c r="I111" s="24">
        <f>I109+I110</f>
        <v/>
      </c>
      <c r="J111" s="24">
        <f>J109+J110</f>
        <v/>
      </c>
      <c r="K111" s="24">
        <f>K109+K110</f>
        <v/>
      </c>
      <c r="L111" s="24">
        <f>L109+L110</f>
        <v/>
      </c>
      <c r="M111" s="24">
        <f>M109+M110</f>
        <v/>
      </c>
      <c r="N111" s="24">
        <f>N109+N110</f>
        <v/>
      </c>
      <c r="O111" s="24">
        <f>O109+O110</f>
        <v/>
      </c>
      <c r="P111" s="24">
        <f>P109+P110</f>
        <v/>
      </c>
      <c r="Q111" s="24">
        <f>Q109+Q110</f>
        <v/>
      </c>
      <c r="R111" s="24">
        <f>R109+R110</f>
        <v/>
      </c>
      <c r="S111" s="24">
        <f>S109+S110</f>
        <v/>
      </c>
      <c r="T111" s="24">
        <f>T109+T110</f>
        <v/>
      </c>
      <c r="U111" s="24">
        <f>U109+U110</f>
        <v/>
      </c>
      <c r="V111" s="24">
        <f>V109+V110</f>
        <v/>
      </c>
      <c r="W111" s="24">
        <f>W109+W110</f>
        <v/>
      </c>
      <c r="X111" s="24">
        <f>X109+X110</f>
        <v/>
      </c>
      <c r="Y111" s="24">
        <f>Y109+Y110</f>
        <v/>
      </c>
      <c r="Z111" s="24">
        <f>Z109+Z110</f>
        <v/>
      </c>
      <c r="AA111" s="24">
        <f>AA109+AA110</f>
        <v/>
      </c>
      <c r="AB111" s="24">
        <f>AB109+AB110</f>
        <v/>
      </c>
      <c r="AC111" s="24">
        <f>AC109+AC110</f>
        <v/>
      </c>
      <c r="AD111" s="24">
        <f>AD109+AD110</f>
        <v/>
      </c>
      <c r="AE111" s="24">
        <f>AE109+AE110</f>
        <v/>
      </c>
      <c r="AF111" s="24">
        <f>AF109+AF110</f>
        <v/>
      </c>
    </row>
    <row r="112">
      <c r="A112" s="3" t="inlineStr">
        <is>
          <t>Nuovi clienti: Percorso 6</t>
        </is>
      </c>
      <c r="C112" s="24">
        <f>C111*$C$8</f>
        <v/>
      </c>
      <c r="D112" s="24">
        <f>D111*$C$8</f>
        <v/>
      </c>
      <c r="E112" s="24">
        <f>E111*$C$8</f>
        <v/>
      </c>
      <c r="F112" s="24">
        <f>F111*$C$8</f>
        <v/>
      </c>
      <c r="G112" s="24">
        <f>G111*$C$8</f>
        <v/>
      </c>
      <c r="H112" s="24">
        <f>H111*$C$8</f>
        <v/>
      </c>
      <c r="I112" s="24">
        <f>I111*$C$8</f>
        <v/>
      </c>
      <c r="J112" s="24">
        <f>J111*$C$8</f>
        <v/>
      </c>
      <c r="K112" s="24">
        <f>K111*$C$8</f>
        <v/>
      </c>
      <c r="L112" s="24">
        <f>L111*$C$8</f>
        <v/>
      </c>
      <c r="M112" s="24">
        <f>M111*$C$8</f>
        <v/>
      </c>
      <c r="N112" s="24">
        <f>N111*$C$8</f>
        <v/>
      </c>
      <c r="O112" s="24">
        <f>O111*$C$8</f>
        <v/>
      </c>
      <c r="P112" s="24">
        <f>P111*$C$8</f>
        <v/>
      </c>
      <c r="Q112" s="24">
        <f>Q111*$C$8</f>
        <v/>
      </c>
      <c r="R112" s="24">
        <f>R111*$C$8</f>
        <v/>
      </c>
      <c r="S112" s="24">
        <f>S111*$C$8</f>
        <v/>
      </c>
      <c r="T112" s="24">
        <f>T111*$C$8</f>
        <v/>
      </c>
      <c r="U112" s="24">
        <f>U111*$C$8</f>
        <v/>
      </c>
      <c r="V112" s="24">
        <f>V111*$C$8</f>
        <v/>
      </c>
      <c r="W112" s="24">
        <f>W111*$C$8</f>
        <v/>
      </c>
      <c r="X112" s="24">
        <f>X111*$C$8</f>
        <v/>
      </c>
      <c r="Y112" s="24">
        <f>Y111*$C$8</f>
        <v/>
      </c>
      <c r="Z112" s="24">
        <f>Z111*$C$8</f>
        <v/>
      </c>
      <c r="AA112" s="24">
        <f>AA111*$C$8</f>
        <v/>
      </c>
      <c r="AB112" s="24">
        <f>AB111*$C$8</f>
        <v/>
      </c>
      <c r="AC112" s="24">
        <f>AC111*$C$8</f>
        <v/>
      </c>
      <c r="AD112" s="24">
        <f>AD111*$C$8</f>
        <v/>
      </c>
      <c r="AE112" s="24">
        <f>AE111*$C$8</f>
        <v/>
      </c>
      <c r="AF112" s="24">
        <f>AF111*$C$8</f>
        <v/>
      </c>
    </row>
    <row r="113">
      <c r="A113" s="3" t="inlineStr">
        <is>
          <t>Nuovi clienti: Percorso 3</t>
        </is>
      </c>
      <c r="C113" s="24">
        <f>C111*$C$9</f>
        <v/>
      </c>
      <c r="D113" s="24">
        <f>D111*$C$9</f>
        <v/>
      </c>
      <c r="E113" s="24">
        <f>E111*$C$9</f>
        <v/>
      </c>
      <c r="F113" s="24">
        <f>F111*$C$9</f>
        <v/>
      </c>
      <c r="G113" s="24">
        <f>G111*$C$9</f>
        <v/>
      </c>
      <c r="H113" s="24">
        <f>H111*$C$9</f>
        <v/>
      </c>
      <c r="I113" s="24">
        <f>I111*$C$9</f>
        <v/>
      </c>
      <c r="J113" s="24">
        <f>J111*$C$9</f>
        <v/>
      </c>
      <c r="K113" s="24">
        <f>K111*$C$9</f>
        <v/>
      </c>
      <c r="L113" s="24">
        <f>L111*$C$9</f>
        <v/>
      </c>
      <c r="M113" s="24">
        <f>M111*$C$9</f>
        <v/>
      </c>
      <c r="N113" s="24">
        <f>N111*$C$9</f>
        <v/>
      </c>
      <c r="O113" s="24">
        <f>O111*$C$9</f>
        <v/>
      </c>
      <c r="P113" s="24">
        <f>P111*$C$9</f>
        <v/>
      </c>
      <c r="Q113" s="24">
        <f>Q111*$C$9</f>
        <v/>
      </c>
      <c r="R113" s="24">
        <f>R111*$C$9</f>
        <v/>
      </c>
      <c r="S113" s="24">
        <f>S111*$C$9</f>
        <v/>
      </c>
      <c r="T113" s="24">
        <f>T111*$C$9</f>
        <v/>
      </c>
      <c r="U113" s="24">
        <f>U111*$C$9</f>
        <v/>
      </c>
      <c r="V113" s="24">
        <f>V111*$C$9</f>
        <v/>
      </c>
      <c r="W113" s="24">
        <f>W111*$C$9</f>
        <v/>
      </c>
      <c r="X113" s="24">
        <f>X111*$C$9</f>
        <v/>
      </c>
      <c r="Y113" s="24">
        <f>Y111*$C$9</f>
        <v/>
      </c>
      <c r="Z113" s="24">
        <f>Z111*$C$9</f>
        <v/>
      </c>
      <c r="AA113" s="24">
        <f>AA111*$C$9</f>
        <v/>
      </c>
      <c r="AB113" s="24">
        <f>AB111*$C$9</f>
        <v/>
      </c>
      <c r="AC113" s="24">
        <f>AC111*$C$9</f>
        <v/>
      </c>
      <c r="AD113" s="24">
        <f>AD111*$C$9</f>
        <v/>
      </c>
      <c r="AE113" s="24">
        <f>AE111*$C$9</f>
        <v/>
      </c>
      <c r="AF113" s="24">
        <f>AF111*$C$9</f>
        <v/>
      </c>
    </row>
    <row r="114">
      <c r="A114" s="3" t="inlineStr">
        <is>
          <t>Nuovi clienti: Abbonamento</t>
        </is>
      </c>
      <c r="C114" s="24">
        <f>C111*$C$10</f>
        <v/>
      </c>
      <c r="D114" s="24">
        <f>D111*$C$10</f>
        <v/>
      </c>
      <c r="E114" s="24">
        <f>E111*$C$10</f>
        <v/>
      </c>
      <c r="F114" s="24">
        <f>F111*$C$10</f>
        <v/>
      </c>
      <c r="G114" s="24">
        <f>G111*$C$10</f>
        <v/>
      </c>
      <c r="H114" s="24">
        <f>H111*$C$10</f>
        <v/>
      </c>
      <c r="I114" s="24">
        <f>I111*$C$10</f>
        <v/>
      </c>
      <c r="J114" s="24">
        <f>J111*$C$10</f>
        <v/>
      </c>
      <c r="K114" s="24">
        <f>K111*$C$10</f>
        <v/>
      </c>
      <c r="L114" s="24">
        <f>L111*$C$10</f>
        <v/>
      </c>
      <c r="M114" s="24">
        <f>M111*$C$10</f>
        <v/>
      </c>
      <c r="N114" s="24">
        <f>N111*$C$10</f>
        <v/>
      </c>
      <c r="O114" s="24">
        <f>O111*$C$10</f>
        <v/>
      </c>
      <c r="P114" s="24">
        <f>P111*$C$10</f>
        <v/>
      </c>
      <c r="Q114" s="24">
        <f>Q111*$C$10</f>
        <v/>
      </c>
      <c r="R114" s="24">
        <f>R111*$C$10</f>
        <v/>
      </c>
      <c r="S114" s="24">
        <f>S111*$C$10</f>
        <v/>
      </c>
      <c r="T114" s="24">
        <f>T111*$C$10</f>
        <v/>
      </c>
      <c r="U114" s="24">
        <f>U111*$C$10</f>
        <v/>
      </c>
      <c r="V114" s="24">
        <f>V111*$C$10</f>
        <v/>
      </c>
      <c r="W114" s="24">
        <f>W111*$C$10</f>
        <v/>
      </c>
      <c r="X114" s="24">
        <f>X111*$C$10</f>
        <v/>
      </c>
      <c r="Y114" s="24">
        <f>Y111*$C$10</f>
        <v/>
      </c>
      <c r="Z114" s="24">
        <f>Z111*$C$10</f>
        <v/>
      </c>
      <c r="AA114" s="24">
        <f>AA111*$C$10</f>
        <v/>
      </c>
      <c r="AB114" s="24">
        <f>AB111*$C$10</f>
        <v/>
      </c>
      <c r="AC114" s="24">
        <f>AC111*$C$10</f>
        <v/>
      </c>
      <c r="AD114" s="24">
        <f>AD111*$C$10</f>
        <v/>
      </c>
      <c r="AE114" s="24">
        <f>AE111*$C$10</f>
        <v/>
      </c>
      <c r="AF114" s="24">
        <f>AF111*$C$10</f>
        <v/>
      </c>
    </row>
    <row r="115">
      <c r="A115" s="3" t="inlineStr">
        <is>
          <t>Nuovi clienti: Singolo</t>
        </is>
      </c>
      <c r="C115" s="24">
        <f>C111*$C$11</f>
        <v/>
      </c>
      <c r="D115" s="24">
        <f>D111*$C$11</f>
        <v/>
      </c>
      <c r="E115" s="24">
        <f>E111*$C$11</f>
        <v/>
      </c>
      <c r="F115" s="24">
        <f>F111*$C$11</f>
        <v/>
      </c>
      <c r="G115" s="24">
        <f>G111*$C$11</f>
        <v/>
      </c>
      <c r="H115" s="24">
        <f>H111*$C$11</f>
        <v/>
      </c>
      <c r="I115" s="24">
        <f>I111*$C$11</f>
        <v/>
      </c>
      <c r="J115" s="24">
        <f>J111*$C$11</f>
        <v/>
      </c>
      <c r="K115" s="24">
        <f>K111*$C$11</f>
        <v/>
      </c>
      <c r="L115" s="24">
        <f>L111*$C$11</f>
        <v/>
      </c>
      <c r="M115" s="24">
        <f>M111*$C$11</f>
        <v/>
      </c>
      <c r="N115" s="24">
        <f>N111*$C$11</f>
        <v/>
      </c>
      <c r="O115" s="24">
        <f>O111*$C$11</f>
        <v/>
      </c>
      <c r="P115" s="24">
        <f>P111*$C$11</f>
        <v/>
      </c>
      <c r="Q115" s="24">
        <f>Q111*$C$11</f>
        <v/>
      </c>
      <c r="R115" s="24">
        <f>R111*$C$11</f>
        <v/>
      </c>
      <c r="S115" s="24">
        <f>S111*$C$11</f>
        <v/>
      </c>
      <c r="T115" s="24">
        <f>T111*$C$11</f>
        <v/>
      </c>
      <c r="U115" s="24">
        <f>U111*$C$11</f>
        <v/>
      </c>
      <c r="V115" s="24">
        <f>V111*$C$11</f>
        <v/>
      </c>
      <c r="W115" s="24">
        <f>W111*$C$11</f>
        <v/>
      </c>
      <c r="X115" s="24">
        <f>X111*$C$11</f>
        <v/>
      </c>
      <c r="Y115" s="24">
        <f>Y111*$C$11</f>
        <v/>
      </c>
      <c r="Z115" s="24">
        <f>Z111*$C$11</f>
        <v/>
      </c>
      <c r="AA115" s="24">
        <f>AA111*$C$11</f>
        <v/>
      </c>
      <c r="AB115" s="24">
        <f>AB111*$C$11</f>
        <v/>
      </c>
      <c r="AC115" s="24">
        <f>AC111*$C$11</f>
        <v/>
      </c>
      <c r="AD115" s="24">
        <f>AD111*$C$11</f>
        <v/>
      </c>
      <c r="AE115" s="24">
        <f>AE111*$C$11</f>
        <v/>
      </c>
      <c r="AF115" s="24">
        <f>AF111*$C$11</f>
        <v/>
      </c>
    </row>
    <row r="116">
      <c r="A116" s="3" t="inlineStr">
        <is>
          <t>Creatività e gestione campagne</t>
        </is>
      </c>
      <c r="B116" s="4" t="inlineStr">
        <is>
          <t>€</t>
        </is>
      </c>
      <c r="C116" s="20">
        <f>IF(C107&gt;0,$C$38,0)</f>
        <v/>
      </c>
      <c r="D116" s="20">
        <f>IF(D107&gt;0,$C$38,0)</f>
        <v/>
      </c>
      <c r="E116" s="20">
        <f>IF(E107&gt;0,$C$38,0)</f>
        <v/>
      </c>
      <c r="F116" s="20">
        <f>IF(F107&gt;0,$C$38,0)</f>
        <v/>
      </c>
      <c r="G116" s="20">
        <f>IF(G107&gt;0,$C$38,0)</f>
        <v/>
      </c>
      <c r="H116" s="20">
        <f>IF(H107&gt;0,$C$38,0)</f>
        <v/>
      </c>
      <c r="I116" s="20">
        <f>IF(I107&gt;0,$C$38,0)</f>
        <v/>
      </c>
      <c r="J116" s="20">
        <f>IF(J107&gt;0,$C$38,0)</f>
        <v/>
      </c>
      <c r="K116" s="20">
        <f>IF(K107&gt;0,$C$38,0)</f>
        <v/>
      </c>
      <c r="L116" s="20">
        <f>IF(L107&gt;0,$C$38,0)</f>
        <v/>
      </c>
      <c r="M116" s="20">
        <f>IF(M107&gt;0,$C$38,0)</f>
        <v/>
      </c>
      <c r="N116" s="20">
        <f>IF(N107&gt;0,$C$38,0)</f>
        <v/>
      </c>
      <c r="O116" s="20">
        <f>IF(O107&gt;0,$C$38,0)</f>
        <v/>
      </c>
      <c r="P116" s="20">
        <f>IF(P107&gt;0,$C$38,0)</f>
        <v/>
      </c>
      <c r="Q116" s="20">
        <f>IF(Q107&gt;0,$C$38,0)</f>
        <v/>
      </c>
      <c r="R116" s="20">
        <f>IF(R107&gt;0,$C$38,0)</f>
        <v/>
      </c>
      <c r="S116" s="20">
        <f>IF(S107&gt;0,$C$38,0)</f>
        <v/>
      </c>
      <c r="T116" s="20">
        <f>IF(T107&gt;0,$C$38,0)</f>
        <v/>
      </c>
      <c r="U116" s="20">
        <f>IF(U107&gt;0,$C$38,0)</f>
        <v/>
      </c>
      <c r="V116" s="20">
        <f>IF(V107&gt;0,$C$38,0)</f>
        <v/>
      </c>
      <c r="W116" s="20">
        <f>IF(W107&gt;0,$C$38,0)</f>
        <v/>
      </c>
      <c r="X116" s="20">
        <f>IF(X107&gt;0,$C$38,0)</f>
        <v/>
      </c>
      <c r="Y116" s="20">
        <f>IF(Y107&gt;0,$C$38,0)</f>
        <v/>
      </c>
      <c r="Z116" s="20">
        <f>IF(Z107&gt;0,$C$38,0)</f>
        <v/>
      </c>
      <c r="AA116" s="20">
        <f>IF(AA107&gt;0,$C$38,0)</f>
        <v/>
      </c>
      <c r="AB116" s="20">
        <f>IF(AB107&gt;0,$C$38,0)</f>
        <v/>
      </c>
      <c r="AC116" s="20">
        <f>IF(AC107&gt;0,$C$38,0)</f>
        <v/>
      </c>
      <c r="AD116" s="20">
        <f>IF(AD107&gt;0,$C$38,0)</f>
        <v/>
      </c>
      <c r="AE116" s="20">
        <f>IF(AE107&gt;0,$C$38,0)</f>
        <v/>
      </c>
      <c r="AF116" s="20">
        <f>IF(AF107&gt;0,$C$38,0)</f>
        <v/>
      </c>
    </row>
    <row r="118">
      <c r="A118" s="10" t="inlineStr">
        <is>
          <t>Percorso 6: ordini per coorte (righe = mese di acquisizione, colonne = mese di calendario)</t>
        </is>
      </c>
    </row>
    <row r="119">
      <c r="A119" s="4" t="inlineStr">
        <is>
          <t>Coorte del mese 1</t>
        </is>
      </c>
      <c r="C119" s="24">
        <f>$C$112*INDEX($C$93:$AL$93,1,1)</f>
        <v/>
      </c>
      <c r="D119" s="24">
        <f>$C$112*INDEX($C$93:$AL$93,1,2)</f>
        <v/>
      </c>
      <c r="E119" s="24">
        <f>$C$112*INDEX($C$93:$AL$93,1,3)</f>
        <v/>
      </c>
      <c r="F119" s="24">
        <f>$C$112*INDEX($C$93:$AL$93,1,4)</f>
        <v/>
      </c>
      <c r="G119" s="24">
        <f>$C$112*INDEX($C$93:$AL$93,1,5)</f>
        <v/>
      </c>
      <c r="H119" s="24">
        <f>$C$112*INDEX($C$93:$AL$93,1,6)</f>
        <v/>
      </c>
      <c r="I119" s="24">
        <f>$C$112*INDEX($C$93:$AL$93,1,7)</f>
        <v/>
      </c>
      <c r="J119" s="24">
        <f>$C$112*INDEX($C$93:$AL$93,1,8)</f>
        <v/>
      </c>
      <c r="K119" s="24">
        <f>$C$112*INDEX($C$93:$AL$93,1,9)</f>
        <v/>
      </c>
      <c r="L119" s="24">
        <f>$C$112*INDEX($C$93:$AL$93,1,10)</f>
        <v/>
      </c>
      <c r="M119" s="24">
        <f>$C$112*INDEX($C$93:$AL$93,1,11)</f>
        <v/>
      </c>
      <c r="N119" s="24">
        <f>$C$112*INDEX($C$93:$AL$93,1,12)</f>
        <v/>
      </c>
      <c r="O119" s="24">
        <f>$C$112*INDEX($C$93:$AL$93,1,13)</f>
        <v/>
      </c>
      <c r="P119" s="24">
        <f>$C$112*INDEX($C$93:$AL$93,1,14)</f>
        <v/>
      </c>
      <c r="Q119" s="24">
        <f>$C$112*INDEX($C$93:$AL$93,1,15)</f>
        <v/>
      </c>
      <c r="R119" s="24">
        <f>$C$112*INDEX($C$93:$AL$93,1,16)</f>
        <v/>
      </c>
      <c r="S119" s="24">
        <f>$C$112*INDEX($C$93:$AL$93,1,17)</f>
        <v/>
      </c>
      <c r="T119" s="24">
        <f>$C$112*INDEX($C$93:$AL$93,1,18)</f>
        <v/>
      </c>
      <c r="U119" s="24">
        <f>$C$112*INDEX($C$93:$AL$93,1,19)</f>
        <v/>
      </c>
      <c r="V119" s="24">
        <f>$C$112*INDEX($C$93:$AL$93,1,20)</f>
        <v/>
      </c>
      <c r="W119" s="24">
        <f>$C$112*INDEX($C$93:$AL$93,1,21)</f>
        <v/>
      </c>
      <c r="X119" s="24">
        <f>$C$112*INDEX($C$93:$AL$93,1,22)</f>
        <v/>
      </c>
      <c r="Y119" s="24">
        <f>$C$112*INDEX($C$93:$AL$93,1,23)</f>
        <v/>
      </c>
      <c r="Z119" s="24">
        <f>$C$112*INDEX($C$93:$AL$93,1,24)</f>
        <v/>
      </c>
      <c r="AA119" s="24">
        <f>$C$112*INDEX($C$93:$AL$93,1,25)</f>
        <v/>
      </c>
      <c r="AB119" s="24">
        <f>$C$112*INDEX($C$93:$AL$93,1,26)</f>
        <v/>
      </c>
      <c r="AC119" s="24">
        <f>$C$112*INDEX($C$93:$AL$93,1,27)</f>
        <v/>
      </c>
      <c r="AD119" s="24">
        <f>$C$112*INDEX($C$93:$AL$93,1,28)</f>
        <v/>
      </c>
      <c r="AE119" s="24">
        <f>$C$112*INDEX($C$93:$AL$93,1,29)</f>
        <v/>
      </c>
      <c r="AF119" s="24">
        <f>$C$112*INDEX($C$93:$AL$93,1,30)</f>
        <v/>
      </c>
    </row>
    <row r="120">
      <c r="A120" s="4" t="inlineStr">
        <is>
          <t>Coorte del mese 2</t>
        </is>
      </c>
      <c r="C120" s="24" t="n">
        <v>0</v>
      </c>
      <c r="D120" s="24">
        <f>$D$112*INDEX($C$93:$AL$93,1,1)</f>
        <v/>
      </c>
      <c r="E120" s="24">
        <f>$D$112*INDEX($C$93:$AL$93,1,2)</f>
        <v/>
      </c>
      <c r="F120" s="24">
        <f>$D$112*INDEX($C$93:$AL$93,1,3)</f>
        <v/>
      </c>
      <c r="G120" s="24">
        <f>$D$112*INDEX($C$93:$AL$93,1,4)</f>
        <v/>
      </c>
      <c r="H120" s="24">
        <f>$D$112*INDEX($C$93:$AL$93,1,5)</f>
        <v/>
      </c>
      <c r="I120" s="24">
        <f>$D$112*INDEX($C$93:$AL$93,1,6)</f>
        <v/>
      </c>
      <c r="J120" s="24">
        <f>$D$112*INDEX($C$93:$AL$93,1,7)</f>
        <v/>
      </c>
      <c r="K120" s="24">
        <f>$D$112*INDEX($C$93:$AL$93,1,8)</f>
        <v/>
      </c>
      <c r="L120" s="24">
        <f>$D$112*INDEX($C$93:$AL$93,1,9)</f>
        <v/>
      </c>
      <c r="M120" s="24">
        <f>$D$112*INDEX($C$93:$AL$93,1,10)</f>
        <v/>
      </c>
      <c r="N120" s="24">
        <f>$D$112*INDEX($C$93:$AL$93,1,11)</f>
        <v/>
      </c>
      <c r="O120" s="24">
        <f>$D$112*INDEX($C$93:$AL$93,1,12)</f>
        <v/>
      </c>
      <c r="P120" s="24">
        <f>$D$112*INDEX($C$93:$AL$93,1,13)</f>
        <v/>
      </c>
      <c r="Q120" s="24">
        <f>$D$112*INDEX($C$93:$AL$93,1,14)</f>
        <v/>
      </c>
      <c r="R120" s="24">
        <f>$D$112*INDEX($C$93:$AL$93,1,15)</f>
        <v/>
      </c>
      <c r="S120" s="24">
        <f>$D$112*INDEX($C$93:$AL$93,1,16)</f>
        <v/>
      </c>
      <c r="T120" s="24">
        <f>$D$112*INDEX($C$93:$AL$93,1,17)</f>
        <v/>
      </c>
      <c r="U120" s="24">
        <f>$D$112*INDEX($C$93:$AL$93,1,18)</f>
        <v/>
      </c>
      <c r="V120" s="24">
        <f>$D$112*INDEX($C$93:$AL$93,1,19)</f>
        <v/>
      </c>
      <c r="W120" s="24">
        <f>$D$112*INDEX($C$93:$AL$93,1,20)</f>
        <v/>
      </c>
      <c r="X120" s="24">
        <f>$D$112*INDEX($C$93:$AL$93,1,21)</f>
        <v/>
      </c>
      <c r="Y120" s="24">
        <f>$D$112*INDEX($C$93:$AL$93,1,22)</f>
        <v/>
      </c>
      <c r="Z120" s="24">
        <f>$D$112*INDEX($C$93:$AL$93,1,23)</f>
        <v/>
      </c>
      <c r="AA120" s="24">
        <f>$D$112*INDEX($C$93:$AL$93,1,24)</f>
        <v/>
      </c>
      <c r="AB120" s="24">
        <f>$D$112*INDEX($C$93:$AL$93,1,25)</f>
        <v/>
      </c>
      <c r="AC120" s="24">
        <f>$D$112*INDEX($C$93:$AL$93,1,26)</f>
        <v/>
      </c>
      <c r="AD120" s="24">
        <f>$D$112*INDEX($C$93:$AL$93,1,27)</f>
        <v/>
      </c>
      <c r="AE120" s="24">
        <f>$D$112*INDEX($C$93:$AL$93,1,28)</f>
        <v/>
      </c>
      <c r="AF120" s="24">
        <f>$D$112*INDEX($C$93:$AL$93,1,29)</f>
        <v/>
      </c>
    </row>
    <row r="121">
      <c r="A121" s="4" t="inlineStr">
        <is>
          <t>Coorte del mese 3</t>
        </is>
      </c>
      <c r="C121" s="24" t="n">
        <v>0</v>
      </c>
      <c r="D121" s="24" t="n">
        <v>0</v>
      </c>
      <c r="E121" s="24">
        <f>$E$112*INDEX($C$93:$AL$93,1,1)</f>
        <v/>
      </c>
      <c r="F121" s="24">
        <f>$E$112*INDEX($C$93:$AL$93,1,2)</f>
        <v/>
      </c>
      <c r="G121" s="24">
        <f>$E$112*INDEX($C$93:$AL$93,1,3)</f>
        <v/>
      </c>
      <c r="H121" s="24">
        <f>$E$112*INDEX($C$93:$AL$93,1,4)</f>
        <v/>
      </c>
      <c r="I121" s="24">
        <f>$E$112*INDEX($C$93:$AL$93,1,5)</f>
        <v/>
      </c>
      <c r="J121" s="24">
        <f>$E$112*INDEX($C$93:$AL$93,1,6)</f>
        <v/>
      </c>
      <c r="K121" s="24">
        <f>$E$112*INDEX($C$93:$AL$93,1,7)</f>
        <v/>
      </c>
      <c r="L121" s="24">
        <f>$E$112*INDEX($C$93:$AL$93,1,8)</f>
        <v/>
      </c>
      <c r="M121" s="24">
        <f>$E$112*INDEX($C$93:$AL$93,1,9)</f>
        <v/>
      </c>
      <c r="N121" s="24">
        <f>$E$112*INDEX($C$93:$AL$93,1,10)</f>
        <v/>
      </c>
      <c r="O121" s="24">
        <f>$E$112*INDEX($C$93:$AL$93,1,11)</f>
        <v/>
      </c>
      <c r="P121" s="24">
        <f>$E$112*INDEX($C$93:$AL$93,1,12)</f>
        <v/>
      </c>
      <c r="Q121" s="24">
        <f>$E$112*INDEX($C$93:$AL$93,1,13)</f>
        <v/>
      </c>
      <c r="R121" s="24">
        <f>$E$112*INDEX($C$93:$AL$93,1,14)</f>
        <v/>
      </c>
      <c r="S121" s="24">
        <f>$E$112*INDEX($C$93:$AL$93,1,15)</f>
        <v/>
      </c>
      <c r="T121" s="24">
        <f>$E$112*INDEX($C$93:$AL$93,1,16)</f>
        <v/>
      </c>
      <c r="U121" s="24">
        <f>$E$112*INDEX($C$93:$AL$93,1,17)</f>
        <v/>
      </c>
      <c r="V121" s="24">
        <f>$E$112*INDEX($C$93:$AL$93,1,18)</f>
        <v/>
      </c>
      <c r="W121" s="24">
        <f>$E$112*INDEX($C$93:$AL$93,1,19)</f>
        <v/>
      </c>
      <c r="X121" s="24">
        <f>$E$112*INDEX($C$93:$AL$93,1,20)</f>
        <v/>
      </c>
      <c r="Y121" s="24">
        <f>$E$112*INDEX($C$93:$AL$93,1,21)</f>
        <v/>
      </c>
      <c r="Z121" s="24">
        <f>$E$112*INDEX($C$93:$AL$93,1,22)</f>
        <v/>
      </c>
      <c r="AA121" s="24">
        <f>$E$112*INDEX($C$93:$AL$93,1,23)</f>
        <v/>
      </c>
      <c r="AB121" s="24">
        <f>$E$112*INDEX($C$93:$AL$93,1,24)</f>
        <v/>
      </c>
      <c r="AC121" s="24">
        <f>$E$112*INDEX($C$93:$AL$93,1,25)</f>
        <v/>
      </c>
      <c r="AD121" s="24">
        <f>$E$112*INDEX($C$93:$AL$93,1,26)</f>
        <v/>
      </c>
      <c r="AE121" s="24">
        <f>$E$112*INDEX($C$93:$AL$93,1,27)</f>
        <v/>
      </c>
      <c r="AF121" s="24">
        <f>$E$112*INDEX($C$93:$AL$93,1,28)</f>
        <v/>
      </c>
    </row>
    <row r="122">
      <c r="A122" s="4" t="inlineStr">
        <is>
          <t>Coorte del mese 4</t>
        </is>
      </c>
      <c r="C122" s="24" t="n">
        <v>0</v>
      </c>
      <c r="D122" s="24" t="n">
        <v>0</v>
      </c>
      <c r="E122" s="24" t="n">
        <v>0</v>
      </c>
      <c r="F122" s="24">
        <f>$F$112*INDEX($C$93:$AL$93,1,1)</f>
        <v/>
      </c>
      <c r="G122" s="24">
        <f>$F$112*INDEX($C$93:$AL$93,1,2)</f>
        <v/>
      </c>
      <c r="H122" s="24">
        <f>$F$112*INDEX($C$93:$AL$93,1,3)</f>
        <v/>
      </c>
      <c r="I122" s="24">
        <f>$F$112*INDEX($C$93:$AL$93,1,4)</f>
        <v/>
      </c>
      <c r="J122" s="24">
        <f>$F$112*INDEX($C$93:$AL$93,1,5)</f>
        <v/>
      </c>
      <c r="K122" s="24">
        <f>$F$112*INDEX($C$93:$AL$93,1,6)</f>
        <v/>
      </c>
      <c r="L122" s="24">
        <f>$F$112*INDEX($C$93:$AL$93,1,7)</f>
        <v/>
      </c>
      <c r="M122" s="24">
        <f>$F$112*INDEX($C$93:$AL$93,1,8)</f>
        <v/>
      </c>
      <c r="N122" s="24">
        <f>$F$112*INDEX($C$93:$AL$93,1,9)</f>
        <v/>
      </c>
      <c r="O122" s="24">
        <f>$F$112*INDEX($C$93:$AL$93,1,10)</f>
        <v/>
      </c>
      <c r="P122" s="24">
        <f>$F$112*INDEX($C$93:$AL$93,1,11)</f>
        <v/>
      </c>
      <c r="Q122" s="24">
        <f>$F$112*INDEX($C$93:$AL$93,1,12)</f>
        <v/>
      </c>
      <c r="R122" s="24">
        <f>$F$112*INDEX($C$93:$AL$93,1,13)</f>
        <v/>
      </c>
      <c r="S122" s="24">
        <f>$F$112*INDEX($C$93:$AL$93,1,14)</f>
        <v/>
      </c>
      <c r="T122" s="24">
        <f>$F$112*INDEX($C$93:$AL$93,1,15)</f>
        <v/>
      </c>
      <c r="U122" s="24">
        <f>$F$112*INDEX($C$93:$AL$93,1,16)</f>
        <v/>
      </c>
      <c r="V122" s="24">
        <f>$F$112*INDEX($C$93:$AL$93,1,17)</f>
        <v/>
      </c>
      <c r="W122" s="24">
        <f>$F$112*INDEX($C$93:$AL$93,1,18)</f>
        <v/>
      </c>
      <c r="X122" s="24">
        <f>$F$112*INDEX($C$93:$AL$93,1,19)</f>
        <v/>
      </c>
      <c r="Y122" s="24">
        <f>$F$112*INDEX($C$93:$AL$93,1,20)</f>
        <v/>
      </c>
      <c r="Z122" s="24">
        <f>$F$112*INDEX($C$93:$AL$93,1,21)</f>
        <v/>
      </c>
      <c r="AA122" s="24">
        <f>$F$112*INDEX($C$93:$AL$93,1,22)</f>
        <v/>
      </c>
      <c r="AB122" s="24">
        <f>$F$112*INDEX($C$93:$AL$93,1,23)</f>
        <v/>
      </c>
      <c r="AC122" s="24">
        <f>$F$112*INDEX($C$93:$AL$93,1,24)</f>
        <v/>
      </c>
      <c r="AD122" s="24">
        <f>$F$112*INDEX($C$93:$AL$93,1,25)</f>
        <v/>
      </c>
      <c r="AE122" s="24">
        <f>$F$112*INDEX($C$93:$AL$93,1,26)</f>
        <v/>
      </c>
      <c r="AF122" s="24">
        <f>$F$112*INDEX($C$93:$AL$93,1,27)</f>
        <v/>
      </c>
    </row>
    <row r="123">
      <c r="A123" s="4" t="inlineStr">
        <is>
          <t>Coorte del mese 5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>
        <f>$G$112*INDEX($C$93:$AL$93,1,1)</f>
        <v/>
      </c>
      <c r="H123" s="24">
        <f>$G$112*INDEX($C$93:$AL$93,1,2)</f>
        <v/>
      </c>
      <c r="I123" s="24">
        <f>$G$112*INDEX($C$93:$AL$93,1,3)</f>
        <v/>
      </c>
      <c r="J123" s="24">
        <f>$G$112*INDEX($C$93:$AL$93,1,4)</f>
        <v/>
      </c>
      <c r="K123" s="24">
        <f>$G$112*INDEX($C$93:$AL$93,1,5)</f>
        <v/>
      </c>
      <c r="L123" s="24">
        <f>$G$112*INDEX($C$93:$AL$93,1,6)</f>
        <v/>
      </c>
      <c r="M123" s="24">
        <f>$G$112*INDEX($C$93:$AL$93,1,7)</f>
        <v/>
      </c>
      <c r="N123" s="24">
        <f>$G$112*INDEX($C$93:$AL$93,1,8)</f>
        <v/>
      </c>
      <c r="O123" s="24">
        <f>$G$112*INDEX($C$93:$AL$93,1,9)</f>
        <v/>
      </c>
      <c r="P123" s="24">
        <f>$G$112*INDEX($C$93:$AL$93,1,10)</f>
        <v/>
      </c>
      <c r="Q123" s="24">
        <f>$G$112*INDEX($C$93:$AL$93,1,11)</f>
        <v/>
      </c>
      <c r="R123" s="24">
        <f>$G$112*INDEX($C$93:$AL$93,1,12)</f>
        <v/>
      </c>
      <c r="S123" s="24">
        <f>$G$112*INDEX($C$93:$AL$93,1,13)</f>
        <v/>
      </c>
      <c r="T123" s="24">
        <f>$G$112*INDEX($C$93:$AL$93,1,14)</f>
        <v/>
      </c>
      <c r="U123" s="24">
        <f>$G$112*INDEX($C$93:$AL$93,1,15)</f>
        <v/>
      </c>
      <c r="V123" s="24">
        <f>$G$112*INDEX($C$93:$AL$93,1,16)</f>
        <v/>
      </c>
      <c r="W123" s="24">
        <f>$G$112*INDEX($C$93:$AL$93,1,17)</f>
        <v/>
      </c>
      <c r="X123" s="24">
        <f>$G$112*INDEX($C$93:$AL$93,1,18)</f>
        <v/>
      </c>
      <c r="Y123" s="24">
        <f>$G$112*INDEX($C$93:$AL$93,1,19)</f>
        <v/>
      </c>
      <c r="Z123" s="24">
        <f>$G$112*INDEX($C$93:$AL$93,1,20)</f>
        <v/>
      </c>
      <c r="AA123" s="24">
        <f>$G$112*INDEX($C$93:$AL$93,1,21)</f>
        <v/>
      </c>
      <c r="AB123" s="24">
        <f>$G$112*INDEX($C$93:$AL$93,1,22)</f>
        <v/>
      </c>
      <c r="AC123" s="24">
        <f>$G$112*INDEX($C$93:$AL$93,1,23)</f>
        <v/>
      </c>
      <c r="AD123" s="24">
        <f>$G$112*INDEX($C$93:$AL$93,1,24)</f>
        <v/>
      </c>
      <c r="AE123" s="24">
        <f>$G$112*INDEX($C$93:$AL$93,1,25)</f>
        <v/>
      </c>
      <c r="AF123" s="24">
        <f>$G$112*INDEX($C$93:$AL$93,1,26)</f>
        <v/>
      </c>
    </row>
    <row r="124">
      <c r="A124" s="4" t="inlineStr">
        <is>
          <t>Coorte del mese 6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>
        <f>$H$112*INDEX($C$93:$AL$93,1,1)</f>
        <v/>
      </c>
      <c r="I124" s="24">
        <f>$H$112*INDEX($C$93:$AL$93,1,2)</f>
        <v/>
      </c>
      <c r="J124" s="24">
        <f>$H$112*INDEX($C$93:$AL$93,1,3)</f>
        <v/>
      </c>
      <c r="K124" s="24">
        <f>$H$112*INDEX($C$93:$AL$93,1,4)</f>
        <v/>
      </c>
      <c r="L124" s="24">
        <f>$H$112*INDEX($C$93:$AL$93,1,5)</f>
        <v/>
      </c>
      <c r="M124" s="24">
        <f>$H$112*INDEX($C$93:$AL$93,1,6)</f>
        <v/>
      </c>
      <c r="N124" s="24">
        <f>$H$112*INDEX($C$93:$AL$93,1,7)</f>
        <v/>
      </c>
      <c r="O124" s="24">
        <f>$H$112*INDEX($C$93:$AL$93,1,8)</f>
        <v/>
      </c>
      <c r="P124" s="24">
        <f>$H$112*INDEX($C$93:$AL$93,1,9)</f>
        <v/>
      </c>
      <c r="Q124" s="24">
        <f>$H$112*INDEX($C$93:$AL$93,1,10)</f>
        <v/>
      </c>
      <c r="R124" s="24">
        <f>$H$112*INDEX($C$93:$AL$93,1,11)</f>
        <v/>
      </c>
      <c r="S124" s="24">
        <f>$H$112*INDEX($C$93:$AL$93,1,12)</f>
        <v/>
      </c>
      <c r="T124" s="24">
        <f>$H$112*INDEX($C$93:$AL$93,1,13)</f>
        <v/>
      </c>
      <c r="U124" s="24">
        <f>$H$112*INDEX($C$93:$AL$93,1,14)</f>
        <v/>
      </c>
      <c r="V124" s="24">
        <f>$H$112*INDEX($C$93:$AL$93,1,15)</f>
        <v/>
      </c>
      <c r="W124" s="24">
        <f>$H$112*INDEX($C$93:$AL$93,1,16)</f>
        <v/>
      </c>
      <c r="X124" s="24">
        <f>$H$112*INDEX($C$93:$AL$93,1,17)</f>
        <v/>
      </c>
      <c r="Y124" s="24">
        <f>$H$112*INDEX($C$93:$AL$93,1,18)</f>
        <v/>
      </c>
      <c r="Z124" s="24">
        <f>$H$112*INDEX($C$93:$AL$93,1,19)</f>
        <v/>
      </c>
      <c r="AA124" s="24">
        <f>$H$112*INDEX($C$93:$AL$93,1,20)</f>
        <v/>
      </c>
      <c r="AB124" s="24">
        <f>$H$112*INDEX($C$93:$AL$93,1,21)</f>
        <v/>
      </c>
      <c r="AC124" s="24">
        <f>$H$112*INDEX($C$93:$AL$93,1,22)</f>
        <v/>
      </c>
      <c r="AD124" s="24">
        <f>$H$112*INDEX($C$93:$AL$93,1,23)</f>
        <v/>
      </c>
      <c r="AE124" s="24">
        <f>$H$112*INDEX($C$93:$AL$93,1,24)</f>
        <v/>
      </c>
      <c r="AF124" s="24">
        <f>$H$112*INDEX($C$93:$AL$93,1,25)</f>
        <v/>
      </c>
    </row>
    <row r="125">
      <c r="A125" s="4" t="inlineStr">
        <is>
          <t>Coorte del mese 7</t>
        </is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>
        <f>$I$112*INDEX($C$93:$AL$93,1,1)</f>
        <v/>
      </c>
      <c r="J125" s="24">
        <f>$I$112*INDEX($C$93:$AL$93,1,2)</f>
        <v/>
      </c>
      <c r="K125" s="24">
        <f>$I$112*INDEX($C$93:$AL$93,1,3)</f>
        <v/>
      </c>
      <c r="L125" s="24">
        <f>$I$112*INDEX($C$93:$AL$93,1,4)</f>
        <v/>
      </c>
      <c r="M125" s="24">
        <f>$I$112*INDEX($C$93:$AL$93,1,5)</f>
        <v/>
      </c>
      <c r="N125" s="24">
        <f>$I$112*INDEX($C$93:$AL$93,1,6)</f>
        <v/>
      </c>
      <c r="O125" s="24">
        <f>$I$112*INDEX($C$93:$AL$93,1,7)</f>
        <v/>
      </c>
      <c r="P125" s="24">
        <f>$I$112*INDEX($C$93:$AL$93,1,8)</f>
        <v/>
      </c>
      <c r="Q125" s="24">
        <f>$I$112*INDEX($C$93:$AL$93,1,9)</f>
        <v/>
      </c>
      <c r="R125" s="24">
        <f>$I$112*INDEX($C$93:$AL$93,1,10)</f>
        <v/>
      </c>
      <c r="S125" s="24">
        <f>$I$112*INDEX($C$93:$AL$93,1,11)</f>
        <v/>
      </c>
      <c r="T125" s="24">
        <f>$I$112*INDEX($C$93:$AL$93,1,12)</f>
        <v/>
      </c>
      <c r="U125" s="24">
        <f>$I$112*INDEX($C$93:$AL$93,1,13)</f>
        <v/>
      </c>
      <c r="V125" s="24">
        <f>$I$112*INDEX($C$93:$AL$93,1,14)</f>
        <v/>
      </c>
      <c r="W125" s="24">
        <f>$I$112*INDEX($C$93:$AL$93,1,15)</f>
        <v/>
      </c>
      <c r="X125" s="24">
        <f>$I$112*INDEX($C$93:$AL$93,1,16)</f>
        <v/>
      </c>
      <c r="Y125" s="24">
        <f>$I$112*INDEX($C$93:$AL$93,1,17)</f>
        <v/>
      </c>
      <c r="Z125" s="24">
        <f>$I$112*INDEX($C$93:$AL$93,1,18)</f>
        <v/>
      </c>
      <c r="AA125" s="24">
        <f>$I$112*INDEX($C$93:$AL$93,1,19)</f>
        <v/>
      </c>
      <c r="AB125" s="24">
        <f>$I$112*INDEX($C$93:$AL$93,1,20)</f>
        <v/>
      </c>
      <c r="AC125" s="24">
        <f>$I$112*INDEX($C$93:$AL$93,1,21)</f>
        <v/>
      </c>
      <c r="AD125" s="24">
        <f>$I$112*INDEX($C$93:$AL$93,1,22)</f>
        <v/>
      </c>
      <c r="AE125" s="24">
        <f>$I$112*INDEX($C$93:$AL$93,1,23)</f>
        <v/>
      </c>
      <c r="AF125" s="24">
        <f>$I$112*INDEX($C$93:$AL$93,1,24)</f>
        <v/>
      </c>
    </row>
    <row r="126">
      <c r="A126" s="4" t="inlineStr">
        <is>
          <t>Coorte del mese 8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>
        <f>$J$112*INDEX($C$93:$AL$93,1,1)</f>
        <v/>
      </c>
      <c r="K126" s="24">
        <f>$J$112*INDEX($C$93:$AL$93,1,2)</f>
        <v/>
      </c>
      <c r="L126" s="24">
        <f>$J$112*INDEX($C$93:$AL$93,1,3)</f>
        <v/>
      </c>
      <c r="M126" s="24">
        <f>$J$112*INDEX($C$93:$AL$93,1,4)</f>
        <v/>
      </c>
      <c r="N126" s="24">
        <f>$J$112*INDEX($C$93:$AL$93,1,5)</f>
        <v/>
      </c>
      <c r="O126" s="24">
        <f>$J$112*INDEX($C$93:$AL$93,1,6)</f>
        <v/>
      </c>
      <c r="P126" s="24">
        <f>$J$112*INDEX($C$93:$AL$93,1,7)</f>
        <v/>
      </c>
      <c r="Q126" s="24">
        <f>$J$112*INDEX($C$93:$AL$93,1,8)</f>
        <v/>
      </c>
      <c r="R126" s="24">
        <f>$J$112*INDEX($C$93:$AL$93,1,9)</f>
        <v/>
      </c>
      <c r="S126" s="24">
        <f>$J$112*INDEX($C$93:$AL$93,1,10)</f>
        <v/>
      </c>
      <c r="T126" s="24">
        <f>$J$112*INDEX($C$93:$AL$93,1,11)</f>
        <v/>
      </c>
      <c r="U126" s="24">
        <f>$J$112*INDEX($C$93:$AL$93,1,12)</f>
        <v/>
      </c>
      <c r="V126" s="24">
        <f>$J$112*INDEX($C$93:$AL$93,1,13)</f>
        <v/>
      </c>
      <c r="W126" s="24">
        <f>$J$112*INDEX($C$93:$AL$93,1,14)</f>
        <v/>
      </c>
      <c r="X126" s="24">
        <f>$J$112*INDEX($C$93:$AL$93,1,15)</f>
        <v/>
      </c>
      <c r="Y126" s="24">
        <f>$J$112*INDEX($C$93:$AL$93,1,16)</f>
        <v/>
      </c>
      <c r="Z126" s="24">
        <f>$J$112*INDEX($C$93:$AL$93,1,17)</f>
        <v/>
      </c>
      <c r="AA126" s="24">
        <f>$J$112*INDEX($C$93:$AL$93,1,18)</f>
        <v/>
      </c>
      <c r="AB126" s="24">
        <f>$J$112*INDEX($C$93:$AL$93,1,19)</f>
        <v/>
      </c>
      <c r="AC126" s="24">
        <f>$J$112*INDEX($C$93:$AL$93,1,20)</f>
        <v/>
      </c>
      <c r="AD126" s="24">
        <f>$J$112*INDEX($C$93:$AL$93,1,21)</f>
        <v/>
      </c>
      <c r="AE126" s="24">
        <f>$J$112*INDEX($C$93:$AL$93,1,22)</f>
        <v/>
      </c>
      <c r="AF126" s="24">
        <f>$J$112*INDEX($C$93:$AL$93,1,23)</f>
        <v/>
      </c>
    </row>
    <row r="127">
      <c r="A127" s="4" t="inlineStr">
        <is>
          <t>Coorte del mese 9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>
        <f>$K$112*INDEX($C$93:$AL$93,1,1)</f>
        <v/>
      </c>
      <c r="L127" s="24">
        <f>$K$112*INDEX($C$93:$AL$93,1,2)</f>
        <v/>
      </c>
      <c r="M127" s="24">
        <f>$K$112*INDEX($C$93:$AL$93,1,3)</f>
        <v/>
      </c>
      <c r="N127" s="24">
        <f>$K$112*INDEX($C$93:$AL$93,1,4)</f>
        <v/>
      </c>
      <c r="O127" s="24">
        <f>$K$112*INDEX($C$93:$AL$93,1,5)</f>
        <v/>
      </c>
      <c r="P127" s="24">
        <f>$K$112*INDEX($C$93:$AL$93,1,6)</f>
        <v/>
      </c>
      <c r="Q127" s="24">
        <f>$K$112*INDEX($C$93:$AL$93,1,7)</f>
        <v/>
      </c>
      <c r="R127" s="24">
        <f>$K$112*INDEX($C$93:$AL$93,1,8)</f>
        <v/>
      </c>
      <c r="S127" s="24">
        <f>$K$112*INDEX($C$93:$AL$93,1,9)</f>
        <v/>
      </c>
      <c r="T127" s="24">
        <f>$K$112*INDEX($C$93:$AL$93,1,10)</f>
        <v/>
      </c>
      <c r="U127" s="24">
        <f>$K$112*INDEX($C$93:$AL$93,1,11)</f>
        <v/>
      </c>
      <c r="V127" s="24">
        <f>$K$112*INDEX($C$93:$AL$93,1,12)</f>
        <v/>
      </c>
      <c r="W127" s="24">
        <f>$K$112*INDEX($C$93:$AL$93,1,13)</f>
        <v/>
      </c>
      <c r="X127" s="24">
        <f>$K$112*INDEX($C$93:$AL$93,1,14)</f>
        <v/>
      </c>
      <c r="Y127" s="24">
        <f>$K$112*INDEX($C$93:$AL$93,1,15)</f>
        <v/>
      </c>
      <c r="Z127" s="24">
        <f>$K$112*INDEX($C$93:$AL$93,1,16)</f>
        <v/>
      </c>
      <c r="AA127" s="24">
        <f>$K$112*INDEX($C$93:$AL$93,1,17)</f>
        <v/>
      </c>
      <c r="AB127" s="24">
        <f>$K$112*INDEX($C$93:$AL$93,1,18)</f>
        <v/>
      </c>
      <c r="AC127" s="24">
        <f>$K$112*INDEX($C$93:$AL$93,1,19)</f>
        <v/>
      </c>
      <c r="AD127" s="24">
        <f>$K$112*INDEX($C$93:$AL$93,1,20)</f>
        <v/>
      </c>
      <c r="AE127" s="24">
        <f>$K$112*INDEX($C$93:$AL$93,1,21)</f>
        <v/>
      </c>
      <c r="AF127" s="24">
        <f>$K$112*INDEX($C$93:$AL$93,1,22)</f>
        <v/>
      </c>
    </row>
    <row r="128">
      <c r="A128" s="4" t="inlineStr">
        <is>
          <t>Coorte del mese 10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>
        <f>$L$112*INDEX($C$93:$AL$93,1,1)</f>
        <v/>
      </c>
      <c r="M128" s="24">
        <f>$L$112*INDEX($C$93:$AL$93,1,2)</f>
        <v/>
      </c>
      <c r="N128" s="24">
        <f>$L$112*INDEX($C$93:$AL$93,1,3)</f>
        <v/>
      </c>
      <c r="O128" s="24">
        <f>$L$112*INDEX($C$93:$AL$93,1,4)</f>
        <v/>
      </c>
      <c r="P128" s="24">
        <f>$L$112*INDEX($C$93:$AL$93,1,5)</f>
        <v/>
      </c>
      <c r="Q128" s="24">
        <f>$L$112*INDEX($C$93:$AL$93,1,6)</f>
        <v/>
      </c>
      <c r="R128" s="24">
        <f>$L$112*INDEX($C$93:$AL$93,1,7)</f>
        <v/>
      </c>
      <c r="S128" s="24">
        <f>$L$112*INDEX($C$93:$AL$93,1,8)</f>
        <v/>
      </c>
      <c r="T128" s="24">
        <f>$L$112*INDEX($C$93:$AL$93,1,9)</f>
        <v/>
      </c>
      <c r="U128" s="24">
        <f>$L$112*INDEX($C$93:$AL$93,1,10)</f>
        <v/>
      </c>
      <c r="V128" s="24">
        <f>$L$112*INDEX($C$93:$AL$93,1,11)</f>
        <v/>
      </c>
      <c r="W128" s="24">
        <f>$L$112*INDEX($C$93:$AL$93,1,12)</f>
        <v/>
      </c>
      <c r="X128" s="24">
        <f>$L$112*INDEX($C$93:$AL$93,1,13)</f>
        <v/>
      </c>
      <c r="Y128" s="24">
        <f>$L$112*INDEX($C$93:$AL$93,1,14)</f>
        <v/>
      </c>
      <c r="Z128" s="24">
        <f>$L$112*INDEX($C$93:$AL$93,1,15)</f>
        <v/>
      </c>
      <c r="AA128" s="24">
        <f>$L$112*INDEX($C$93:$AL$93,1,16)</f>
        <v/>
      </c>
      <c r="AB128" s="24">
        <f>$L$112*INDEX($C$93:$AL$93,1,17)</f>
        <v/>
      </c>
      <c r="AC128" s="24">
        <f>$L$112*INDEX($C$93:$AL$93,1,18)</f>
        <v/>
      </c>
      <c r="AD128" s="24">
        <f>$L$112*INDEX($C$93:$AL$93,1,19)</f>
        <v/>
      </c>
      <c r="AE128" s="24">
        <f>$L$112*INDEX($C$93:$AL$93,1,20)</f>
        <v/>
      </c>
      <c r="AF128" s="24">
        <f>$L$112*INDEX($C$93:$AL$93,1,21)</f>
        <v/>
      </c>
    </row>
    <row r="129">
      <c r="A129" s="4" t="inlineStr">
        <is>
          <t>Coorte del mese 11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>
        <f>$M$112*INDEX($C$93:$AL$93,1,1)</f>
        <v/>
      </c>
      <c r="N129" s="24">
        <f>$M$112*INDEX($C$93:$AL$93,1,2)</f>
        <v/>
      </c>
      <c r="O129" s="24">
        <f>$M$112*INDEX($C$93:$AL$93,1,3)</f>
        <v/>
      </c>
      <c r="P129" s="24">
        <f>$M$112*INDEX($C$93:$AL$93,1,4)</f>
        <v/>
      </c>
      <c r="Q129" s="24">
        <f>$M$112*INDEX($C$93:$AL$93,1,5)</f>
        <v/>
      </c>
      <c r="R129" s="24">
        <f>$M$112*INDEX($C$93:$AL$93,1,6)</f>
        <v/>
      </c>
      <c r="S129" s="24">
        <f>$M$112*INDEX($C$93:$AL$93,1,7)</f>
        <v/>
      </c>
      <c r="T129" s="24">
        <f>$M$112*INDEX($C$93:$AL$93,1,8)</f>
        <v/>
      </c>
      <c r="U129" s="24">
        <f>$M$112*INDEX($C$93:$AL$93,1,9)</f>
        <v/>
      </c>
      <c r="V129" s="24">
        <f>$M$112*INDEX($C$93:$AL$93,1,10)</f>
        <v/>
      </c>
      <c r="W129" s="24">
        <f>$M$112*INDEX($C$93:$AL$93,1,11)</f>
        <v/>
      </c>
      <c r="X129" s="24">
        <f>$M$112*INDEX($C$93:$AL$93,1,12)</f>
        <v/>
      </c>
      <c r="Y129" s="24">
        <f>$M$112*INDEX($C$93:$AL$93,1,13)</f>
        <v/>
      </c>
      <c r="Z129" s="24">
        <f>$M$112*INDEX($C$93:$AL$93,1,14)</f>
        <v/>
      </c>
      <c r="AA129" s="24">
        <f>$M$112*INDEX($C$93:$AL$93,1,15)</f>
        <v/>
      </c>
      <c r="AB129" s="24">
        <f>$M$112*INDEX($C$93:$AL$93,1,16)</f>
        <v/>
      </c>
      <c r="AC129" s="24">
        <f>$M$112*INDEX($C$93:$AL$93,1,17)</f>
        <v/>
      </c>
      <c r="AD129" s="24">
        <f>$M$112*INDEX($C$93:$AL$93,1,18)</f>
        <v/>
      </c>
      <c r="AE129" s="24">
        <f>$M$112*INDEX($C$93:$AL$93,1,19)</f>
        <v/>
      </c>
      <c r="AF129" s="24">
        <f>$M$112*INDEX($C$93:$AL$93,1,20)</f>
        <v/>
      </c>
    </row>
    <row r="130">
      <c r="A130" s="4" t="inlineStr">
        <is>
          <t>Coorte del mese 12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>
        <f>$N$112*INDEX($C$93:$AL$93,1,1)</f>
        <v/>
      </c>
      <c r="O130" s="24">
        <f>$N$112*INDEX($C$93:$AL$93,1,2)</f>
        <v/>
      </c>
      <c r="P130" s="24">
        <f>$N$112*INDEX($C$93:$AL$93,1,3)</f>
        <v/>
      </c>
      <c r="Q130" s="24">
        <f>$N$112*INDEX($C$93:$AL$93,1,4)</f>
        <v/>
      </c>
      <c r="R130" s="24">
        <f>$N$112*INDEX($C$93:$AL$93,1,5)</f>
        <v/>
      </c>
      <c r="S130" s="24">
        <f>$N$112*INDEX($C$93:$AL$93,1,6)</f>
        <v/>
      </c>
      <c r="T130" s="24">
        <f>$N$112*INDEX($C$93:$AL$93,1,7)</f>
        <v/>
      </c>
      <c r="U130" s="24">
        <f>$N$112*INDEX($C$93:$AL$93,1,8)</f>
        <v/>
      </c>
      <c r="V130" s="24">
        <f>$N$112*INDEX($C$93:$AL$93,1,9)</f>
        <v/>
      </c>
      <c r="W130" s="24">
        <f>$N$112*INDEX($C$93:$AL$93,1,10)</f>
        <v/>
      </c>
      <c r="X130" s="24">
        <f>$N$112*INDEX($C$93:$AL$93,1,11)</f>
        <v/>
      </c>
      <c r="Y130" s="24">
        <f>$N$112*INDEX($C$93:$AL$93,1,12)</f>
        <v/>
      </c>
      <c r="Z130" s="24">
        <f>$N$112*INDEX($C$93:$AL$93,1,13)</f>
        <v/>
      </c>
      <c r="AA130" s="24">
        <f>$N$112*INDEX($C$93:$AL$93,1,14)</f>
        <v/>
      </c>
      <c r="AB130" s="24">
        <f>$N$112*INDEX($C$93:$AL$93,1,15)</f>
        <v/>
      </c>
      <c r="AC130" s="24">
        <f>$N$112*INDEX($C$93:$AL$93,1,16)</f>
        <v/>
      </c>
      <c r="AD130" s="24">
        <f>$N$112*INDEX($C$93:$AL$93,1,17)</f>
        <v/>
      </c>
      <c r="AE130" s="24">
        <f>$N$112*INDEX($C$93:$AL$93,1,18)</f>
        <v/>
      </c>
      <c r="AF130" s="24">
        <f>$N$112*INDEX($C$93:$AL$93,1,19)</f>
        <v/>
      </c>
    </row>
    <row r="131">
      <c r="A131" s="4" t="inlineStr">
        <is>
          <t>Coorte del mese 13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>
        <f>$O$112*INDEX($C$93:$AL$93,1,1)</f>
        <v/>
      </c>
      <c r="P131" s="24">
        <f>$O$112*INDEX($C$93:$AL$93,1,2)</f>
        <v/>
      </c>
      <c r="Q131" s="24">
        <f>$O$112*INDEX($C$93:$AL$93,1,3)</f>
        <v/>
      </c>
      <c r="R131" s="24">
        <f>$O$112*INDEX($C$93:$AL$93,1,4)</f>
        <v/>
      </c>
      <c r="S131" s="24">
        <f>$O$112*INDEX($C$93:$AL$93,1,5)</f>
        <v/>
      </c>
      <c r="T131" s="24">
        <f>$O$112*INDEX($C$93:$AL$93,1,6)</f>
        <v/>
      </c>
      <c r="U131" s="24">
        <f>$O$112*INDEX($C$93:$AL$93,1,7)</f>
        <v/>
      </c>
      <c r="V131" s="24">
        <f>$O$112*INDEX($C$93:$AL$93,1,8)</f>
        <v/>
      </c>
      <c r="W131" s="24">
        <f>$O$112*INDEX($C$93:$AL$93,1,9)</f>
        <v/>
      </c>
      <c r="X131" s="24">
        <f>$O$112*INDEX($C$93:$AL$93,1,10)</f>
        <v/>
      </c>
      <c r="Y131" s="24">
        <f>$O$112*INDEX($C$93:$AL$93,1,11)</f>
        <v/>
      </c>
      <c r="Z131" s="24">
        <f>$O$112*INDEX($C$93:$AL$93,1,12)</f>
        <v/>
      </c>
      <c r="AA131" s="24">
        <f>$O$112*INDEX($C$93:$AL$93,1,13)</f>
        <v/>
      </c>
      <c r="AB131" s="24">
        <f>$O$112*INDEX($C$93:$AL$93,1,14)</f>
        <v/>
      </c>
      <c r="AC131" s="24">
        <f>$O$112*INDEX($C$93:$AL$93,1,15)</f>
        <v/>
      </c>
      <c r="AD131" s="24">
        <f>$O$112*INDEX($C$93:$AL$93,1,16)</f>
        <v/>
      </c>
      <c r="AE131" s="24">
        <f>$O$112*INDEX($C$93:$AL$93,1,17)</f>
        <v/>
      </c>
      <c r="AF131" s="24">
        <f>$O$112*INDEX($C$93:$AL$93,1,18)</f>
        <v/>
      </c>
    </row>
    <row r="132">
      <c r="A132" s="4" t="inlineStr">
        <is>
          <t>Coorte del mese 14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>
        <f>$P$112*INDEX($C$93:$AL$93,1,1)</f>
        <v/>
      </c>
      <c r="Q132" s="24">
        <f>$P$112*INDEX($C$93:$AL$93,1,2)</f>
        <v/>
      </c>
      <c r="R132" s="24">
        <f>$P$112*INDEX($C$93:$AL$93,1,3)</f>
        <v/>
      </c>
      <c r="S132" s="24">
        <f>$P$112*INDEX($C$93:$AL$93,1,4)</f>
        <v/>
      </c>
      <c r="T132" s="24">
        <f>$P$112*INDEX($C$93:$AL$93,1,5)</f>
        <v/>
      </c>
      <c r="U132" s="24">
        <f>$P$112*INDEX($C$93:$AL$93,1,6)</f>
        <v/>
      </c>
      <c r="V132" s="24">
        <f>$P$112*INDEX($C$93:$AL$93,1,7)</f>
        <v/>
      </c>
      <c r="W132" s="24">
        <f>$P$112*INDEX($C$93:$AL$93,1,8)</f>
        <v/>
      </c>
      <c r="X132" s="24">
        <f>$P$112*INDEX($C$93:$AL$93,1,9)</f>
        <v/>
      </c>
      <c r="Y132" s="24">
        <f>$P$112*INDEX($C$93:$AL$93,1,10)</f>
        <v/>
      </c>
      <c r="Z132" s="24">
        <f>$P$112*INDEX($C$93:$AL$93,1,11)</f>
        <v/>
      </c>
      <c r="AA132" s="24">
        <f>$P$112*INDEX($C$93:$AL$93,1,12)</f>
        <v/>
      </c>
      <c r="AB132" s="24">
        <f>$P$112*INDEX($C$93:$AL$93,1,13)</f>
        <v/>
      </c>
      <c r="AC132" s="24">
        <f>$P$112*INDEX($C$93:$AL$93,1,14)</f>
        <v/>
      </c>
      <c r="AD132" s="24">
        <f>$P$112*INDEX($C$93:$AL$93,1,15)</f>
        <v/>
      </c>
      <c r="AE132" s="24">
        <f>$P$112*INDEX($C$93:$AL$93,1,16)</f>
        <v/>
      </c>
      <c r="AF132" s="24">
        <f>$P$112*INDEX($C$93:$AL$93,1,17)</f>
        <v/>
      </c>
    </row>
    <row r="133">
      <c r="A133" s="4" t="inlineStr">
        <is>
          <t>Coorte del mese 15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>
        <f>$Q$112*INDEX($C$93:$AL$93,1,1)</f>
        <v/>
      </c>
      <c r="R133" s="24">
        <f>$Q$112*INDEX($C$93:$AL$93,1,2)</f>
        <v/>
      </c>
      <c r="S133" s="24">
        <f>$Q$112*INDEX($C$93:$AL$93,1,3)</f>
        <v/>
      </c>
      <c r="T133" s="24">
        <f>$Q$112*INDEX($C$93:$AL$93,1,4)</f>
        <v/>
      </c>
      <c r="U133" s="24">
        <f>$Q$112*INDEX($C$93:$AL$93,1,5)</f>
        <v/>
      </c>
      <c r="V133" s="24">
        <f>$Q$112*INDEX($C$93:$AL$93,1,6)</f>
        <v/>
      </c>
      <c r="W133" s="24">
        <f>$Q$112*INDEX($C$93:$AL$93,1,7)</f>
        <v/>
      </c>
      <c r="X133" s="24">
        <f>$Q$112*INDEX($C$93:$AL$93,1,8)</f>
        <v/>
      </c>
      <c r="Y133" s="24">
        <f>$Q$112*INDEX($C$93:$AL$93,1,9)</f>
        <v/>
      </c>
      <c r="Z133" s="24">
        <f>$Q$112*INDEX($C$93:$AL$93,1,10)</f>
        <v/>
      </c>
      <c r="AA133" s="24">
        <f>$Q$112*INDEX($C$93:$AL$93,1,11)</f>
        <v/>
      </c>
      <c r="AB133" s="24">
        <f>$Q$112*INDEX($C$93:$AL$93,1,12)</f>
        <v/>
      </c>
      <c r="AC133" s="24">
        <f>$Q$112*INDEX($C$93:$AL$93,1,13)</f>
        <v/>
      </c>
      <c r="AD133" s="24">
        <f>$Q$112*INDEX($C$93:$AL$93,1,14)</f>
        <v/>
      </c>
      <c r="AE133" s="24">
        <f>$Q$112*INDEX($C$93:$AL$93,1,15)</f>
        <v/>
      </c>
      <c r="AF133" s="24">
        <f>$Q$112*INDEX($C$93:$AL$93,1,16)</f>
        <v/>
      </c>
    </row>
    <row r="134">
      <c r="A134" s="4" t="inlineStr">
        <is>
          <t>Coorte del mese 16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>
        <f>$R$112*INDEX($C$93:$AL$93,1,1)</f>
        <v/>
      </c>
      <c r="S134" s="24">
        <f>$R$112*INDEX($C$93:$AL$93,1,2)</f>
        <v/>
      </c>
      <c r="T134" s="24">
        <f>$R$112*INDEX($C$93:$AL$93,1,3)</f>
        <v/>
      </c>
      <c r="U134" s="24">
        <f>$R$112*INDEX($C$93:$AL$93,1,4)</f>
        <v/>
      </c>
      <c r="V134" s="24">
        <f>$R$112*INDEX($C$93:$AL$93,1,5)</f>
        <v/>
      </c>
      <c r="W134" s="24">
        <f>$R$112*INDEX($C$93:$AL$93,1,6)</f>
        <v/>
      </c>
      <c r="X134" s="24">
        <f>$R$112*INDEX($C$93:$AL$93,1,7)</f>
        <v/>
      </c>
      <c r="Y134" s="24">
        <f>$R$112*INDEX($C$93:$AL$93,1,8)</f>
        <v/>
      </c>
      <c r="Z134" s="24">
        <f>$R$112*INDEX($C$93:$AL$93,1,9)</f>
        <v/>
      </c>
      <c r="AA134" s="24">
        <f>$R$112*INDEX($C$93:$AL$93,1,10)</f>
        <v/>
      </c>
      <c r="AB134" s="24">
        <f>$R$112*INDEX($C$93:$AL$93,1,11)</f>
        <v/>
      </c>
      <c r="AC134" s="24">
        <f>$R$112*INDEX($C$93:$AL$93,1,12)</f>
        <v/>
      </c>
      <c r="AD134" s="24">
        <f>$R$112*INDEX($C$93:$AL$93,1,13)</f>
        <v/>
      </c>
      <c r="AE134" s="24">
        <f>$R$112*INDEX($C$93:$AL$93,1,14)</f>
        <v/>
      </c>
      <c r="AF134" s="24">
        <f>$R$112*INDEX($C$93:$AL$93,1,15)</f>
        <v/>
      </c>
    </row>
    <row r="135">
      <c r="A135" s="4" t="inlineStr">
        <is>
          <t>Coorte del mese 17</t>
        </is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>
        <f>$S$112*INDEX($C$93:$AL$93,1,1)</f>
        <v/>
      </c>
      <c r="T135" s="24">
        <f>$S$112*INDEX($C$93:$AL$93,1,2)</f>
        <v/>
      </c>
      <c r="U135" s="24">
        <f>$S$112*INDEX($C$93:$AL$93,1,3)</f>
        <v/>
      </c>
      <c r="V135" s="24">
        <f>$S$112*INDEX($C$93:$AL$93,1,4)</f>
        <v/>
      </c>
      <c r="W135" s="24">
        <f>$S$112*INDEX($C$93:$AL$93,1,5)</f>
        <v/>
      </c>
      <c r="X135" s="24">
        <f>$S$112*INDEX($C$93:$AL$93,1,6)</f>
        <v/>
      </c>
      <c r="Y135" s="24">
        <f>$S$112*INDEX($C$93:$AL$93,1,7)</f>
        <v/>
      </c>
      <c r="Z135" s="24">
        <f>$S$112*INDEX($C$93:$AL$93,1,8)</f>
        <v/>
      </c>
      <c r="AA135" s="24">
        <f>$S$112*INDEX($C$93:$AL$93,1,9)</f>
        <v/>
      </c>
      <c r="AB135" s="24">
        <f>$S$112*INDEX($C$93:$AL$93,1,10)</f>
        <v/>
      </c>
      <c r="AC135" s="24">
        <f>$S$112*INDEX($C$93:$AL$93,1,11)</f>
        <v/>
      </c>
      <c r="AD135" s="24">
        <f>$S$112*INDEX($C$93:$AL$93,1,12)</f>
        <v/>
      </c>
      <c r="AE135" s="24">
        <f>$S$112*INDEX($C$93:$AL$93,1,13)</f>
        <v/>
      </c>
      <c r="AF135" s="24">
        <f>$S$112*INDEX($C$93:$AL$93,1,14)</f>
        <v/>
      </c>
    </row>
    <row r="136">
      <c r="A136" s="4" t="inlineStr">
        <is>
          <t>Coorte del mese 18</t>
        </is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>
        <f>$T$112*INDEX($C$93:$AL$93,1,1)</f>
        <v/>
      </c>
      <c r="U136" s="24">
        <f>$T$112*INDEX($C$93:$AL$93,1,2)</f>
        <v/>
      </c>
      <c r="V136" s="24">
        <f>$T$112*INDEX($C$93:$AL$93,1,3)</f>
        <v/>
      </c>
      <c r="W136" s="24">
        <f>$T$112*INDEX($C$93:$AL$93,1,4)</f>
        <v/>
      </c>
      <c r="X136" s="24">
        <f>$T$112*INDEX($C$93:$AL$93,1,5)</f>
        <v/>
      </c>
      <c r="Y136" s="24">
        <f>$T$112*INDEX($C$93:$AL$93,1,6)</f>
        <v/>
      </c>
      <c r="Z136" s="24">
        <f>$T$112*INDEX($C$93:$AL$93,1,7)</f>
        <v/>
      </c>
      <c r="AA136" s="24">
        <f>$T$112*INDEX($C$93:$AL$93,1,8)</f>
        <v/>
      </c>
      <c r="AB136" s="24">
        <f>$T$112*INDEX($C$93:$AL$93,1,9)</f>
        <v/>
      </c>
      <c r="AC136" s="24">
        <f>$T$112*INDEX($C$93:$AL$93,1,10)</f>
        <v/>
      </c>
      <c r="AD136" s="24">
        <f>$T$112*INDEX($C$93:$AL$93,1,11)</f>
        <v/>
      </c>
      <c r="AE136" s="24">
        <f>$T$112*INDEX($C$93:$AL$93,1,12)</f>
        <v/>
      </c>
      <c r="AF136" s="24">
        <f>$T$112*INDEX($C$93:$AL$93,1,13)</f>
        <v/>
      </c>
    </row>
    <row r="137">
      <c r="A137" s="4" t="inlineStr">
        <is>
          <t>Coorte del mese 19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>
        <f>$U$112*INDEX($C$93:$AL$93,1,1)</f>
        <v/>
      </c>
      <c r="V137" s="24">
        <f>$U$112*INDEX($C$93:$AL$93,1,2)</f>
        <v/>
      </c>
      <c r="W137" s="24">
        <f>$U$112*INDEX($C$93:$AL$93,1,3)</f>
        <v/>
      </c>
      <c r="X137" s="24">
        <f>$U$112*INDEX($C$93:$AL$93,1,4)</f>
        <v/>
      </c>
      <c r="Y137" s="24">
        <f>$U$112*INDEX($C$93:$AL$93,1,5)</f>
        <v/>
      </c>
      <c r="Z137" s="24">
        <f>$U$112*INDEX($C$93:$AL$93,1,6)</f>
        <v/>
      </c>
      <c r="AA137" s="24">
        <f>$U$112*INDEX($C$93:$AL$93,1,7)</f>
        <v/>
      </c>
      <c r="AB137" s="24">
        <f>$U$112*INDEX($C$93:$AL$93,1,8)</f>
        <v/>
      </c>
      <c r="AC137" s="24">
        <f>$U$112*INDEX($C$93:$AL$93,1,9)</f>
        <v/>
      </c>
      <c r="AD137" s="24">
        <f>$U$112*INDEX($C$93:$AL$93,1,10)</f>
        <v/>
      </c>
      <c r="AE137" s="24">
        <f>$U$112*INDEX($C$93:$AL$93,1,11)</f>
        <v/>
      </c>
      <c r="AF137" s="24">
        <f>$U$112*INDEX($C$93:$AL$93,1,12)</f>
        <v/>
      </c>
    </row>
    <row r="138">
      <c r="A138" s="4" t="inlineStr">
        <is>
          <t>Coorte del mese 20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>
        <f>$V$112*INDEX($C$93:$AL$93,1,1)</f>
        <v/>
      </c>
      <c r="W138" s="24">
        <f>$V$112*INDEX($C$93:$AL$93,1,2)</f>
        <v/>
      </c>
      <c r="X138" s="24">
        <f>$V$112*INDEX($C$93:$AL$93,1,3)</f>
        <v/>
      </c>
      <c r="Y138" s="24">
        <f>$V$112*INDEX($C$93:$AL$93,1,4)</f>
        <v/>
      </c>
      <c r="Z138" s="24">
        <f>$V$112*INDEX($C$93:$AL$93,1,5)</f>
        <v/>
      </c>
      <c r="AA138" s="24">
        <f>$V$112*INDEX($C$93:$AL$93,1,6)</f>
        <v/>
      </c>
      <c r="AB138" s="24">
        <f>$V$112*INDEX($C$93:$AL$93,1,7)</f>
        <v/>
      </c>
      <c r="AC138" s="24">
        <f>$V$112*INDEX($C$93:$AL$93,1,8)</f>
        <v/>
      </c>
      <c r="AD138" s="24">
        <f>$V$112*INDEX($C$93:$AL$93,1,9)</f>
        <v/>
      </c>
      <c r="AE138" s="24">
        <f>$V$112*INDEX($C$93:$AL$93,1,10)</f>
        <v/>
      </c>
      <c r="AF138" s="24">
        <f>$V$112*INDEX($C$93:$AL$93,1,11)</f>
        <v/>
      </c>
    </row>
    <row r="139">
      <c r="A139" s="4" t="inlineStr">
        <is>
          <t>Coorte del mese 21</t>
        </is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>
        <f>$W$112*INDEX($C$93:$AL$93,1,1)</f>
        <v/>
      </c>
      <c r="X139" s="24">
        <f>$W$112*INDEX($C$93:$AL$93,1,2)</f>
        <v/>
      </c>
      <c r="Y139" s="24">
        <f>$W$112*INDEX($C$93:$AL$93,1,3)</f>
        <v/>
      </c>
      <c r="Z139" s="24">
        <f>$W$112*INDEX($C$93:$AL$93,1,4)</f>
        <v/>
      </c>
      <c r="AA139" s="24">
        <f>$W$112*INDEX($C$93:$AL$93,1,5)</f>
        <v/>
      </c>
      <c r="AB139" s="24">
        <f>$W$112*INDEX($C$93:$AL$93,1,6)</f>
        <v/>
      </c>
      <c r="AC139" s="24">
        <f>$W$112*INDEX($C$93:$AL$93,1,7)</f>
        <v/>
      </c>
      <c r="AD139" s="24">
        <f>$W$112*INDEX($C$93:$AL$93,1,8)</f>
        <v/>
      </c>
      <c r="AE139" s="24">
        <f>$W$112*INDEX($C$93:$AL$93,1,9)</f>
        <v/>
      </c>
      <c r="AF139" s="24">
        <f>$W$112*INDEX($C$93:$AL$93,1,10)</f>
        <v/>
      </c>
    </row>
    <row r="140">
      <c r="A140" s="4" t="inlineStr">
        <is>
          <t>Coorte del mese 22</t>
        </is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>
        <f>$X$112*INDEX($C$93:$AL$93,1,1)</f>
        <v/>
      </c>
      <c r="Y140" s="24">
        <f>$X$112*INDEX($C$93:$AL$93,1,2)</f>
        <v/>
      </c>
      <c r="Z140" s="24">
        <f>$X$112*INDEX($C$93:$AL$93,1,3)</f>
        <v/>
      </c>
      <c r="AA140" s="24">
        <f>$X$112*INDEX($C$93:$AL$93,1,4)</f>
        <v/>
      </c>
      <c r="AB140" s="24">
        <f>$X$112*INDEX($C$93:$AL$93,1,5)</f>
        <v/>
      </c>
      <c r="AC140" s="24">
        <f>$X$112*INDEX($C$93:$AL$93,1,6)</f>
        <v/>
      </c>
      <c r="AD140" s="24">
        <f>$X$112*INDEX($C$93:$AL$93,1,7)</f>
        <v/>
      </c>
      <c r="AE140" s="24">
        <f>$X$112*INDEX($C$93:$AL$93,1,8)</f>
        <v/>
      </c>
      <c r="AF140" s="24">
        <f>$X$112*INDEX($C$93:$AL$93,1,9)</f>
        <v/>
      </c>
    </row>
    <row r="141">
      <c r="A141" s="4" t="inlineStr">
        <is>
          <t>Coorte del mese 23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4">
        <f>$Y$112*INDEX($C$93:$AL$93,1,1)</f>
        <v/>
      </c>
      <c r="Z141" s="24">
        <f>$Y$112*INDEX($C$93:$AL$93,1,2)</f>
        <v/>
      </c>
      <c r="AA141" s="24">
        <f>$Y$112*INDEX($C$93:$AL$93,1,3)</f>
        <v/>
      </c>
      <c r="AB141" s="24">
        <f>$Y$112*INDEX($C$93:$AL$93,1,4)</f>
        <v/>
      </c>
      <c r="AC141" s="24">
        <f>$Y$112*INDEX($C$93:$AL$93,1,5)</f>
        <v/>
      </c>
      <c r="AD141" s="24">
        <f>$Y$112*INDEX($C$93:$AL$93,1,6)</f>
        <v/>
      </c>
      <c r="AE141" s="24">
        <f>$Y$112*INDEX($C$93:$AL$93,1,7)</f>
        <v/>
      </c>
      <c r="AF141" s="24">
        <f>$Y$112*INDEX($C$93:$AL$93,1,8)</f>
        <v/>
      </c>
    </row>
    <row r="142">
      <c r="A142" s="4" t="inlineStr">
        <is>
          <t>Coorte del mese 24</t>
        </is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>
        <f>$Z$112*INDEX($C$93:$AL$93,1,1)</f>
        <v/>
      </c>
      <c r="AA142" s="24">
        <f>$Z$112*INDEX($C$93:$AL$93,1,2)</f>
        <v/>
      </c>
      <c r="AB142" s="24">
        <f>$Z$112*INDEX($C$93:$AL$93,1,3)</f>
        <v/>
      </c>
      <c r="AC142" s="24">
        <f>$Z$112*INDEX($C$93:$AL$93,1,4)</f>
        <v/>
      </c>
      <c r="AD142" s="24">
        <f>$Z$112*INDEX($C$93:$AL$93,1,5)</f>
        <v/>
      </c>
      <c r="AE142" s="24">
        <f>$Z$112*INDEX($C$93:$AL$93,1,6)</f>
        <v/>
      </c>
      <c r="AF142" s="24">
        <f>$Z$112*INDEX($C$93:$AL$93,1,7)</f>
        <v/>
      </c>
    </row>
    <row r="143">
      <c r="A143" s="4" t="inlineStr">
        <is>
          <t>Coorte del mese 25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>
        <f>$AA$112*INDEX($C$93:$AL$93,1,1)</f>
        <v/>
      </c>
      <c r="AB143" s="24">
        <f>$AA$112*INDEX($C$93:$AL$93,1,2)</f>
        <v/>
      </c>
      <c r="AC143" s="24">
        <f>$AA$112*INDEX($C$93:$AL$93,1,3)</f>
        <v/>
      </c>
      <c r="AD143" s="24">
        <f>$AA$112*INDEX($C$93:$AL$93,1,4)</f>
        <v/>
      </c>
      <c r="AE143" s="24">
        <f>$AA$112*INDEX($C$93:$AL$93,1,5)</f>
        <v/>
      </c>
      <c r="AF143" s="24">
        <f>$AA$112*INDEX($C$93:$AL$93,1,6)</f>
        <v/>
      </c>
    </row>
    <row r="144">
      <c r="A144" s="4" t="inlineStr">
        <is>
          <t>Coorte del mese 26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>
        <f>$AB$112*INDEX($C$93:$AL$93,1,1)</f>
        <v/>
      </c>
      <c r="AC144" s="24">
        <f>$AB$112*INDEX($C$93:$AL$93,1,2)</f>
        <v/>
      </c>
      <c r="AD144" s="24">
        <f>$AB$112*INDEX($C$93:$AL$93,1,3)</f>
        <v/>
      </c>
      <c r="AE144" s="24">
        <f>$AB$112*INDEX($C$93:$AL$93,1,4)</f>
        <v/>
      </c>
      <c r="AF144" s="24">
        <f>$AB$112*INDEX($C$93:$AL$93,1,5)</f>
        <v/>
      </c>
    </row>
    <row r="145">
      <c r="A145" s="4" t="inlineStr">
        <is>
          <t>Coorte del mese 27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4" t="n">
        <v>0</v>
      </c>
      <c r="Z145" s="24" t="n">
        <v>0</v>
      </c>
      <c r="AA145" s="24" t="n">
        <v>0</v>
      </c>
      <c r="AB145" s="24" t="n">
        <v>0</v>
      </c>
      <c r="AC145" s="24">
        <f>$AC$112*INDEX($C$93:$AL$93,1,1)</f>
        <v/>
      </c>
      <c r="AD145" s="24">
        <f>$AC$112*INDEX($C$93:$AL$93,1,2)</f>
        <v/>
      </c>
      <c r="AE145" s="24">
        <f>$AC$112*INDEX($C$93:$AL$93,1,3)</f>
        <v/>
      </c>
      <c r="AF145" s="24">
        <f>$AC$112*INDEX($C$93:$AL$93,1,4)</f>
        <v/>
      </c>
    </row>
    <row r="146">
      <c r="A146" s="4" t="inlineStr">
        <is>
          <t>Coorte del mese 28</t>
        </is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>
        <f>$AD$112*INDEX($C$93:$AL$93,1,1)</f>
        <v/>
      </c>
      <c r="AE146" s="24">
        <f>$AD$112*INDEX($C$93:$AL$93,1,2)</f>
        <v/>
      </c>
      <c r="AF146" s="24">
        <f>$AD$112*INDEX($C$93:$AL$93,1,3)</f>
        <v/>
      </c>
    </row>
    <row r="147">
      <c r="A147" s="4" t="inlineStr">
        <is>
          <t>Coorte del mese 29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>
        <f>$AE$112*INDEX($C$93:$AL$93,1,1)</f>
        <v/>
      </c>
      <c r="AF147" s="24">
        <f>$AE$112*INDEX($C$93:$AL$93,1,2)</f>
        <v/>
      </c>
    </row>
    <row r="148">
      <c r="A148" s="4" t="inlineStr">
        <is>
          <t>Coorte del mese 30</t>
        </is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>
        <f>$AF$112*INDEX($C$93:$AL$93,1,1)</f>
        <v/>
      </c>
    </row>
    <row r="149">
      <c r="A149" s="3" t="inlineStr">
        <is>
          <t>Totale percorso 6: ordini</t>
        </is>
      </c>
      <c r="C149" s="25">
        <f>SUM(C119:C148)</f>
        <v/>
      </c>
      <c r="D149" s="25">
        <f>SUM(D119:D148)</f>
        <v/>
      </c>
      <c r="E149" s="25">
        <f>SUM(E119:E148)</f>
        <v/>
      </c>
      <c r="F149" s="25">
        <f>SUM(F119:F148)</f>
        <v/>
      </c>
      <c r="G149" s="25">
        <f>SUM(G119:G148)</f>
        <v/>
      </c>
      <c r="H149" s="25">
        <f>SUM(H119:H148)</f>
        <v/>
      </c>
      <c r="I149" s="25">
        <f>SUM(I119:I148)</f>
        <v/>
      </c>
      <c r="J149" s="25">
        <f>SUM(J119:J148)</f>
        <v/>
      </c>
      <c r="K149" s="25">
        <f>SUM(K119:K148)</f>
        <v/>
      </c>
      <c r="L149" s="25">
        <f>SUM(L119:L148)</f>
        <v/>
      </c>
      <c r="M149" s="25">
        <f>SUM(M119:M148)</f>
        <v/>
      </c>
      <c r="N149" s="25">
        <f>SUM(N119:N148)</f>
        <v/>
      </c>
      <c r="O149" s="25">
        <f>SUM(O119:O148)</f>
        <v/>
      </c>
      <c r="P149" s="25">
        <f>SUM(P119:P148)</f>
        <v/>
      </c>
      <c r="Q149" s="25">
        <f>SUM(Q119:Q148)</f>
        <v/>
      </c>
      <c r="R149" s="25">
        <f>SUM(R119:R148)</f>
        <v/>
      </c>
      <c r="S149" s="25">
        <f>SUM(S119:S148)</f>
        <v/>
      </c>
      <c r="T149" s="25">
        <f>SUM(T119:T148)</f>
        <v/>
      </c>
      <c r="U149" s="25">
        <f>SUM(U119:U148)</f>
        <v/>
      </c>
      <c r="V149" s="25">
        <f>SUM(V119:V148)</f>
        <v/>
      </c>
      <c r="W149" s="25">
        <f>SUM(W119:W148)</f>
        <v/>
      </c>
      <c r="X149" s="25">
        <f>SUM(X119:X148)</f>
        <v/>
      </c>
      <c r="Y149" s="25">
        <f>SUM(Y119:Y148)</f>
        <v/>
      </c>
      <c r="Z149" s="25">
        <f>SUM(Z119:Z148)</f>
        <v/>
      </c>
      <c r="AA149" s="25">
        <f>SUM(AA119:AA148)</f>
        <v/>
      </c>
      <c r="AB149" s="25">
        <f>SUM(AB119:AB148)</f>
        <v/>
      </c>
      <c r="AC149" s="25">
        <f>SUM(AC119:AC148)</f>
        <v/>
      </c>
      <c r="AD149" s="25">
        <f>SUM(AD119:AD148)</f>
        <v/>
      </c>
      <c r="AE149" s="25">
        <f>SUM(AE119:AE148)</f>
        <v/>
      </c>
      <c r="AF149" s="25">
        <f>SUM(AF119:AF148)</f>
        <v/>
      </c>
    </row>
    <row r="151">
      <c r="A151" s="10" t="inlineStr">
        <is>
          <t>Percorso 6: rimborsi per coorte (righe = mese di acquisizione, colonne = mese di calendario)</t>
        </is>
      </c>
    </row>
    <row r="152">
      <c r="A152" s="4" t="inlineStr">
        <is>
          <t>Coorte del mese 1</t>
        </is>
      </c>
      <c r="C152" s="24">
        <f>$C$112*INDEX($C$94:$AL$94,1,1)</f>
        <v/>
      </c>
      <c r="D152" s="24">
        <f>$C$112*INDEX($C$94:$AL$94,1,2)</f>
        <v/>
      </c>
      <c r="E152" s="24">
        <f>$C$112*INDEX($C$94:$AL$94,1,3)</f>
        <v/>
      </c>
      <c r="F152" s="24">
        <f>$C$112*INDEX($C$94:$AL$94,1,4)</f>
        <v/>
      </c>
      <c r="G152" s="24">
        <f>$C$112*INDEX($C$94:$AL$94,1,5)</f>
        <v/>
      </c>
      <c r="H152" s="24">
        <f>$C$112*INDEX($C$94:$AL$94,1,6)</f>
        <v/>
      </c>
      <c r="I152" s="24">
        <f>$C$112*INDEX($C$94:$AL$94,1,7)</f>
        <v/>
      </c>
      <c r="J152" s="24">
        <f>$C$112*INDEX($C$94:$AL$94,1,8)</f>
        <v/>
      </c>
      <c r="K152" s="24">
        <f>$C$112*INDEX($C$94:$AL$94,1,9)</f>
        <v/>
      </c>
      <c r="L152" s="24">
        <f>$C$112*INDEX($C$94:$AL$94,1,10)</f>
        <v/>
      </c>
      <c r="M152" s="24">
        <f>$C$112*INDEX($C$94:$AL$94,1,11)</f>
        <v/>
      </c>
      <c r="N152" s="24">
        <f>$C$112*INDEX($C$94:$AL$94,1,12)</f>
        <v/>
      </c>
      <c r="O152" s="24">
        <f>$C$112*INDEX($C$94:$AL$94,1,13)</f>
        <v/>
      </c>
      <c r="P152" s="24">
        <f>$C$112*INDEX($C$94:$AL$94,1,14)</f>
        <v/>
      </c>
      <c r="Q152" s="24">
        <f>$C$112*INDEX($C$94:$AL$94,1,15)</f>
        <v/>
      </c>
      <c r="R152" s="24">
        <f>$C$112*INDEX($C$94:$AL$94,1,16)</f>
        <v/>
      </c>
      <c r="S152" s="24">
        <f>$C$112*INDEX($C$94:$AL$94,1,17)</f>
        <v/>
      </c>
      <c r="T152" s="24">
        <f>$C$112*INDEX($C$94:$AL$94,1,18)</f>
        <v/>
      </c>
      <c r="U152" s="24">
        <f>$C$112*INDEX($C$94:$AL$94,1,19)</f>
        <v/>
      </c>
      <c r="V152" s="24">
        <f>$C$112*INDEX($C$94:$AL$94,1,20)</f>
        <v/>
      </c>
      <c r="W152" s="24">
        <f>$C$112*INDEX($C$94:$AL$94,1,21)</f>
        <v/>
      </c>
      <c r="X152" s="24">
        <f>$C$112*INDEX($C$94:$AL$94,1,22)</f>
        <v/>
      </c>
      <c r="Y152" s="24">
        <f>$C$112*INDEX($C$94:$AL$94,1,23)</f>
        <v/>
      </c>
      <c r="Z152" s="24">
        <f>$C$112*INDEX($C$94:$AL$94,1,24)</f>
        <v/>
      </c>
      <c r="AA152" s="24">
        <f>$C$112*INDEX($C$94:$AL$94,1,25)</f>
        <v/>
      </c>
      <c r="AB152" s="24">
        <f>$C$112*INDEX($C$94:$AL$94,1,26)</f>
        <v/>
      </c>
      <c r="AC152" s="24">
        <f>$C$112*INDEX($C$94:$AL$94,1,27)</f>
        <v/>
      </c>
      <c r="AD152" s="24">
        <f>$C$112*INDEX($C$94:$AL$94,1,28)</f>
        <v/>
      </c>
      <c r="AE152" s="24">
        <f>$C$112*INDEX($C$94:$AL$94,1,29)</f>
        <v/>
      </c>
      <c r="AF152" s="24">
        <f>$C$112*INDEX($C$94:$AL$94,1,30)</f>
        <v/>
      </c>
    </row>
    <row r="153">
      <c r="A153" s="4" t="inlineStr">
        <is>
          <t>Coorte del mese 2</t>
        </is>
      </c>
      <c r="C153" s="24" t="n">
        <v>0</v>
      </c>
      <c r="D153" s="24">
        <f>$D$112*INDEX($C$94:$AL$94,1,1)</f>
        <v/>
      </c>
      <c r="E153" s="24">
        <f>$D$112*INDEX($C$94:$AL$94,1,2)</f>
        <v/>
      </c>
      <c r="F153" s="24">
        <f>$D$112*INDEX($C$94:$AL$94,1,3)</f>
        <v/>
      </c>
      <c r="G153" s="24">
        <f>$D$112*INDEX($C$94:$AL$94,1,4)</f>
        <v/>
      </c>
      <c r="H153" s="24">
        <f>$D$112*INDEX($C$94:$AL$94,1,5)</f>
        <v/>
      </c>
      <c r="I153" s="24">
        <f>$D$112*INDEX($C$94:$AL$94,1,6)</f>
        <v/>
      </c>
      <c r="J153" s="24">
        <f>$D$112*INDEX($C$94:$AL$94,1,7)</f>
        <v/>
      </c>
      <c r="K153" s="24">
        <f>$D$112*INDEX($C$94:$AL$94,1,8)</f>
        <v/>
      </c>
      <c r="L153" s="24">
        <f>$D$112*INDEX($C$94:$AL$94,1,9)</f>
        <v/>
      </c>
      <c r="M153" s="24">
        <f>$D$112*INDEX($C$94:$AL$94,1,10)</f>
        <v/>
      </c>
      <c r="N153" s="24">
        <f>$D$112*INDEX($C$94:$AL$94,1,11)</f>
        <v/>
      </c>
      <c r="O153" s="24">
        <f>$D$112*INDEX($C$94:$AL$94,1,12)</f>
        <v/>
      </c>
      <c r="P153" s="24">
        <f>$D$112*INDEX($C$94:$AL$94,1,13)</f>
        <v/>
      </c>
      <c r="Q153" s="24">
        <f>$D$112*INDEX($C$94:$AL$94,1,14)</f>
        <v/>
      </c>
      <c r="R153" s="24">
        <f>$D$112*INDEX($C$94:$AL$94,1,15)</f>
        <v/>
      </c>
      <c r="S153" s="24">
        <f>$D$112*INDEX($C$94:$AL$94,1,16)</f>
        <v/>
      </c>
      <c r="T153" s="24">
        <f>$D$112*INDEX($C$94:$AL$94,1,17)</f>
        <v/>
      </c>
      <c r="U153" s="24">
        <f>$D$112*INDEX($C$94:$AL$94,1,18)</f>
        <v/>
      </c>
      <c r="V153" s="24">
        <f>$D$112*INDEX($C$94:$AL$94,1,19)</f>
        <v/>
      </c>
      <c r="W153" s="24">
        <f>$D$112*INDEX($C$94:$AL$94,1,20)</f>
        <v/>
      </c>
      <c r="X153" s="24">
        <f>$D$112*INDEX($C$94:$AL$94,1,21)</f>
        <v/>
      </c>
      <c r="Y153" s="24">
        <f>$D$112*INDEX($C$94:$AL$94,1,22)</f>
        <v/>
      </c>
      <c r="Z153" s="24">
        <f>$D$112*INDEX($C$94:$AL$94,1,23)</f>
        <v/>
      </c>
      <c r="AA153" s="24">
        <f>$D$112*INDEX($C$94:$AL$94,1,24)</f>
        <v/>
      </c>
      <c r="AB153" s="24">
        <f>$D$112*INDEX($C$94:$AL$94,1,25)</f>
        <v/>
      </c>
      <c r="AC153" s="24">
        <f>$D$112*INDEX($C$94:$AL$94,1,26)</f>
        <v/>
      </c>
      <c r="AD153" s="24">
        <f>$D$112*INDEX($C$94:$AL$94,1,27)</f>
        <v/>
      </c>
      <c r="AE153" s="24">
        <f>$D$112*INDEX($C$94:$AL$94,1,28)</f>
        <v/>
      </c>
      <c r="AF153" s="24">
        <f>$D$112*INDEX($C$94:$AL$94,1,29)</f>
        <v/>
      </c>
    </row>
    <row r="154">
      <c r="A154" s="4" t="inlineStr">
        <is>
          <t>Coorte del mese 3</t>
        </is>
      </c>
      <c r="C154" s="24" t="n">
        <v>0</v>
      </c>
      <c r="D154" s="24" t="n">
        <v>0</v>
      </c>
      <c r="E154" s="24">
        <f>$E$112*INDEX($C$94:$AL$94,1,1)</f>
        <v/>
      </c>
      <c r="F154" s="24">
        <f>$E$112*INDEX($C$94:$AL$94,1,2)</f>
        <v/>
      </c>
      <c r="G154" s="24">
        <f>$E$112*INDEX($C$94:$AL$94,1,3)</f>
        <v/>
      </c>
      <c r="H154" s="24">
        <f>$E$112*INDEX($C$94:$AL$94,1,4)</f>
        <v/>
      </c>
      <c r="I154" s="24">
        <f>$E$112*INDEX($C$94:$AL$94,1,5)</f>
        <v/>
      </c>
      <c r="J154" s="24">
        <f>$E$112*INDEX($C$94:$AL$94,1,6)</f>
        <v/>
      </c>
      <c r="K154" s="24">
        <f>$E$112*INDEX($C$94:$AL$94,1,7)</f>
        <v/>
      </c>
      <c r="L154" s="24">
        <f>$E$112*INDEX($C$94:$AL$94,1,8)</f>
        <v/>
      </c>
      <c r="M154" s="24">
        <f>$E$112*INDEX($C$94:$AL$94,1,9)</f>
        <v/>
      </c>
      <c r="N154" s="24">
        <f>$E$112*INDEX($C$94:$AL$94,1,10)</f>
        <v/>
      </c>
      <c r="O154" s="24">
        <f>$E$112*INDEX($C$94:$AL$94,1,11)</f>
        <v/>
      </c>
      <c r="P154" s="24">
        <f>$E$112*INDEX($C$94:$AL$94,1,12)</f>
        <v/>
      </c>
      <c r="Q154" s="24">
        <f>$E$112*INDEX($C$94:$AL$94,1,13)</f>
        <v/>
      </c>
      <c r="R154" s="24">
        <f>$E$112*INDEX($C$94:$AL$94,1,14)</f>
        <v/>
      </c>
      <c r="S154" s="24">
        <f>$E$112*INDEX($C$94:$AL$94,1,15)</f>
        <v/>
      </c>
      <c r="T154" s="24">
        <f>$E$112*INDEX($C$94:$AL$94,1,16)</f>
        <v/>
      </c>
      <c r="U154" s="24">
        <f>$E$112*INDEX($C$94:$AL$94,1,17)</f>
        <v/>
      </c>
      <c r="V154" s="24">
        <f>$E$112*INDEX($C$94:$AL$94,1,18)</f>
        <v/>
      </c>
      <c r="W154" s="24">
        <f>$E$112*INDEX($C$94:$AL$94,1,19)</f>
        <v/>
      </c>
      <c r="X154" s="24">
        <f>$E$112*INDEX($C$94:$AL$94,1,20)</f>
        <v/>
      </c>
      <c r="Y154" s="24">
        <f>$E$112*INDEX($C$94:$AL$94,1,21)</f>
        <v/>
      </c>
      <c r="Z154" s="24">
        <f>$E$112*INDEX($C$94:$AL$94,1,22)</f>
        <v/>
      </c>
      <c r="AA154" s="24">
        <f>$E$112*INDEX($C$94:$AL$94,1,23)</f>
        <v/>
      </c>
      <c r="AB154" s="24">
        <f>$E$112*INDEX($C$94:$AL$94,1,24)</f>
        <v/>
      </c>
      <c r="AC154" s="24">
        <f>$E$112*INDEX($C$94:$AL$94,1,25)</f>
        <v/>
      </c>
      <c r="AD154" s="24">
        <f>$E$112*INDEX($C$94:$AL$94,1,26)</f>
        <v/>
      </c>
      <c r="AE154" s="24">
        <f>$E$112*INDEX($C$94:$AL$94,1,27)</f>
        <v/>
      </c>
      <c r="AF154" s="24">
        <f>$E$112*INDEX($C$94:$AL$94,1,28)</f>
        <v/>
      </c>
    </row>
    <row r="155">
      <c r="A155" s="4" t="inlineStr">
        <is>
          <t>Coorte del mese 4</t>
        </is>
      </c>
      <c r="C155" s="24" t="n">
        <v>0</v>
      </c>
      <c r="D155" s="24" t="n">
        <v>0</v>
      </c>
      <c r="E155" s="24" t="n">
        <v>0</v>
      </c>
      <c r="F155" s="24">
        <f>$F$112*INDEX($C$94:$AL$94,1,1)</f>
        <v/>
      </c>
      <c r="G155" s="24">
        <f>$F$112*INDEX($C$94:$AL$94,1,2)</f>
        <v/>
      </c>
      <c r="H155" s="24">
        <f>$F$112*INDEX($C$94:$AL$94,1,3)</f>
        <v/>
      </c>
      <c r="I155" s="24">
        <f>$F$112*INDEX($C$94:$AL$94,1,4)</f>
        <v/>
      </c>
      <c r="J155" s="24">
        <f>$F$112*INDEX($C$94:$AL$94,1,5)</f>
        <v/>
      </c>
      <c r="K155" s="24">
        <f>$F$112*INDEX($C$94:$AL$94,1,6)</f>
        <v/>
      </c>
      <c r="L155" s="24">
        <f>$F$112*INDEX($C$94:$AL$94,1,7)</f>
        <v/>
      </c>
      <c r="M155" s="24">
        <f>$F$112*INDEX($C$94:$AL$94,1,8)</f>
        <v/>
      </c>
      <c r="N155" s="24">
        <f>$F$112*INDEX($C$94:$AL$94,1,9)</f>
        <v/>
      </c>
      <c r="O155" s="24">
        <f>$F$112*INDEX($C$94:$AL$94,1,10)</f>
        <v/>
      </c>
      <c r="P155" s="24">
        <f>$F$112*INDEX($C$94:$AL$94,1,11)</f>
        <v/>
      </c>
      <c r="Q155" s="24">
        <f>$F$112*INDEX($C$94:$AL$94,1,12)</f>
        <v/>
      </c>
      <c r="R155" s="24">
        <f>$F$112*INDEX($C$94:$AL$94,1,13)</f>
        <v/>
      </c>
      <c r="S155" s="24">
        <f>$F$112*INDEX($C$94:$AL$94,1,14)</f>
        <v/>
      </c>
      <c r="T155" s="24">
        <f>$F$112*INDEX($C$94:$AL$94,1,15)</f>
        <v/>
      </c>
      <c r="U155" s="24">
        <f>$F$112*INDEX($C$94:$AL$94,1,16)</f>
        <v/>
      </c>
      <c r="V155" s="24">
        <f>$F$112*INDEX($C$94:$AL$94,1,17)</f>
        <v/>
      </c>
      <c r="W155" s="24">
        <f>$F$112*INDEX($C$94:$AL$94,1,18)</f>
        <v/>
      </c>
      <c r="X155" s="24">
        <f>$F$112*INDEX($C$94:$AL$94,1,19)</f>
        <v/>
      </c>
      <c r="Y155" s="24">
        <f>$F$112*INDEX($C$94:$AL$94,1,20)</f>
        <v/>
      </c>
      <c r="Z155" s="24">
        <f>$F$112*INDEX($C$94:$AL$94,1,21)</f>
        <v/>
      </c>
      <c r="AA155" s="24">
        <f>$F$112*INDEX($C$94:$AL$94,1,22)</f>
        <v/>
      </c>
      <c r="AB155" s="24">
        <f>$F$112*INDEX($C$94:$AL$94,1,23)</f>
        <v/>
      </c>
      <c r="AC155" s="24">
        <f>$F$112*INDEX($C$94:$AL$94,1,24)</f>
        <v/>
      </c>
      <c r="AD155" s="24">
        <f>$F$112*INDEX($C$94:$AL$94,1,25)</f>
        <v/>
      </c>
      <c r="AE155" s="24">
        <f>$F$112*INDEX($C$94:$AL$94,1,26)</f>
        <v/>
      </c>
      <c r="AF155" s="24">
        <f>$F$112*INDEX($C$94:$AL$94,1,27)</f>
        <v/>
      </c>
    </row>
    <row r="156">
      <c r="A156" s="4" t="inlineStr">
        <is>
          <t>Coorte del mese 5</t>
        </is>
      </c>
      <c r="C156" s="24" t="n">
        <v>0</v>
      </c>
      <c r="D156" s="24" t="n">
        <v>0</v>
      </c>
      <c r="E156" s="24" t="n">
        <v>0</v>
      </c>
      <c r="F156" s="24" t="n">
        <v>0</v>
      </c>
      <c r="G156" s="24">
        <f>$G$112*INDEX($C$94:$AL$94,1,1)</f>
        <v/>
      </c>
      <c r="H156" s="24">
        <f>$G$112*INDEX($C$94:$AL$94,1,2)</f>
        <v/>
      </c>
      <c r="I156" s="24">
        <f>$G$112*INDEX($C$94:$AL$94,1,3)</f>
        <v/>
      </c>
      <c r="J156" s="24">
        <f>$G$112*INDEX($C$94:$AL$94,1,4)</f>
        <v/>
      </c>
      <c r="K156" s="24">
        <f>$G$112*INDEX($C$94:$AL$94,1,5)</f>
        <v/>
      </c>
      <c r="L156" s="24">
        <f>$G$112*INDEX($C$94:$AL$94,1,6)</f>
        <v/>
      </c>
      <c r="M156" s="24">
        <f>$G$112*INDEX($C$94:$AL$94,1,7)</f>
        <v/>
      </c>
      <c r="N156" s="24">
        <f>$G$112*INDEX($C$94:$AL$94,1,8)</f>
        <v/>
      </c>
      <c r="O156" s="24">
        <f>$G$112*INDEX($C$94:$AL$94,1,9)</f>
        <v/>
      </c>
      <c r="P156" s="24">
        <f>$G$112*INDEX($C$94:$AL$94,1,10)</f>
        <v/>
      </c>
      <c r="Q156" s="24">
        <f>$G$112*INDEX($C$94:$AL$94,1,11)</f>
        <v/>
      </c>
      <c r="R156" s="24">
        <f>$G$112*INDEX($C$94:$AL$94,1,12)</f>
        <v/>
      </c>
      <c r="S156" s="24">
        <f>$G$112*INDEX($C$94:$AL$94,1,13)</f>
        <v/>
      </c>
      <c r="T156" s="24">
        <f>$G$112*INDEX($C$94:$AL$94,1,14)</f>
        <v/>
      </c>
      <c r="U156" s="24">
        <f>$G$112*INDEX($C$94:$AL$94,1,15)</f>
        <v/>
      </c>
      <c r="V156" s="24">
        <f>$G$112*INDEX($C$94:$AL$94,1,16)</f>
        <v/>
      </c>
      <c r="W156" s="24">
        <f>$G$112*INDEX($C$94:$AL$94,1,17)</f>
        <v/>
      </c>
      <c r="X156" s="24">
        <f>$G$112*INDEX($C$94:$AL$94,1,18)</f>
        <v/>
      </c>
      <c r="Y156" s="24">
        <f>$G$112*INDEX($C$94:$AL$94,1,19)</f>
        <v/>
      </c>
      <c r="Z156" s="24">
        <f>$G$112*INDEX($C$94:$AL$94,1,20)</f>
        <v/>
      </c>
      <c r="AA156" s="24">
        <f>$G$112*INDEX($C$94:$AL$94,1,21)</f>
        <v/>
      </c>
      <c r="AB156" s="24">
        <f>$G$112*INDEX($C$94:$AL$94,1,22)</f>
        <v/>
      </c>
      <c r="AC156" s="24">
        <f>$G$112*INDEX($C$94:$AL$94,1,23)</f>
        <v/>
      </c>
      <c r="AD156" s="24">
        <f>$G$112*INDEX($C$94:$AL$94,1,24)</f>
        <v/>
      </c>
      <c r="AE156" s="24">
        <f>$G$112*INDEX($C$94:$AL$94,1,25)</f>
        <v/>
      </c>
      <c r="AF156" s="24">
        <f>$G$112*INDEX($C$94:$AL$94,1,26)</f>
        <v/>
      </c>
    </row>
    <row r="157">
      <c r="A157" s="4" t="inlineStr">
        <is>
          <t>Coorte del mese 6</t>
        </is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>
        <f>$H$112*INDEX($C$94:$AL$94,1,1)</f>
        <v/>
      </c>
      <c r="I157" s="24">
        <f>$H$112*INDEX($C$94:$AL$94,1,2)</f>
        <v/>
      </c>
      <c r="J157" s="24">
        <f>$H$112*INDEX($C$94:$AL$94,1,3)</f>
        <v/>
      </c>
      <c r="K157" s="24">
        <f>$H$112*INDEX($C$94:$AL$94,1,4)</f>
        <v/>
      </c>
      <c r="L157" s="24">
        <f>$H$112*INDEX($C$94:$AL$94,1,5)</f>
        <v/>
      </c>
      <c r="M157" s="24">
        <f>$H$112*INDEX($C$94:$AL$94,1,6)</f>
        <v/>
      </c>
      <c r="N157" s="24">
        <f>$H$112*INDEX($C$94:$AL$94,1,7)</f>
        <v/>
      </c>
      <c r="O157" s="24">
        <f>$H$112*INDEX($C$94:$AL$94,1,8)</f>
        <v/>
      </c>
      <c r="P157" s="24">
        <f>$H$112*INDEX($C$94:$AL$94,1,9)</f>
        <v/>
      </c>
      <c r="Q157" s="24">
        <f>$H$112*INDEX($C$94:$AL$94,1,10)</f>
        <v/>
      </c>
      <c r="R157" s="24">
        <f>$H$112*INDEX($C$94:$AL$94,1,11)</f>
        <v/>
      </c>
      <c r="S157" s="24">
        <f>$H$112*INDEX($C$94:$AL$94,1,12)</f>
        <v/>
      </c>
      <c r="T157" s="24">
        <f>$H$112*INDEX($C$94:$AL$94,1,13)</f>
        <v/>
      </c>
      <c r="U157" s="24">
        <f>$H$112*INDEX($C$94:$AL$94,1,14)</f>
        <v/>
      </c>
      <c r="V157" s="24">
        <f>$H$112*INDEX($C$94:$AL$94,1,15)</f>
        <v/>
      </c>
      <c r="W157" s="24">
        <f>$H$112*INDEX($C$94:$AL$94,1,16)</f>
        <v/>
      </c>
      <c r="X157" s="24">
        <f>$H$112*INDEX($C$94:$AL$94,1,17)</f>
        <v/>
      </c>
      <c r="Y157" s="24">
        <f>$H$112*INDEX($C$94:$AL$94,1,18)</f>
        <v/>
      </c>
      <c r="Z157" s="24">
        <f>$H$112*INDEX($C$94:$AL$94,1,19)</f>
        <v/>
      </c>
      <c r="AA157" s="24">
        <f>$H$112*INDEX($C$94:$AL$94,1,20)</f>
        <v/>
      </c>
      <c r="AB157" s="24">
        <f>$H$112*INDEX($C$94:$AL$94,1,21)</f>
        <v/>
      </c>
      <c r="AC157" s="24">
        <f>$H$112*INDEX($C$94:$AL$94,1,22)</f>
        <v/>
      </c>
      <c r="AD157" s="24">
        <f>$H$112*INDEX($C$94:$AL$94,1,23)</f>
        <v/>
      </c>
      <c r="AE157" s="24">
        <f>$H$112*INDEX($C$94:$AL$94,1,24)</f>
        <v/>
      </c>
      <c r="AF157" s="24">
        <f>$H$112*INDEX($C$94:$AL$94,1,25)</f>
        <v/>
      </c>
    </row>
    <row r="158">
      <c r="A158" s="4" t="inlineStr">
        <is>
          <t>Coorte del mese 7</t>
        </is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>
        <f>$I$112*INDEX($C$94:$AL$94,1,1)</f>
        <v/>
      </c>
      <c r="J158" s="24">
        <f>$I$112*INDEX($C$94:$AL$94,1,2)</f>
        <v/>
      </c>
      <c r="K158" s="24">
        <f>$I$112*INDEX($C$94:$AL$94,1,3)</f>
        <v/>
      </c>
      <c r="L158" s="24">
        <f>$I$112*INDEX($C$94:$AL$94,1,4)</f>
        <v/>
      </c>
      <c r="M158" s="24">
        <f>$I$112*INDEX($C$94:$AL$94,1,5)</f>
        <v/>
      </c>
      <c r="N158" s="24">
        <f>$I$112*INDEX($C$94:$AL$94,1,6)</f>
        <v/>
      </c>
      <c r="O158" s="24">
        <f>$I$112*INDEX($C$94:$AL$94,1,7)</f>
        <v/>
      </c>
      <c r="P158" s="24">
        <f>$I$112*INDEX($C$94:$AL$94,1,8)</f>
        <v/>
      </c>
      <c r="Q158" s="24">
        <f>$I$112*INDEX($C$94:$AL$94,1,9)</f>
        <v/>
      </c>
      <c r="R158" s="24">
        <f>$I$112*INDEX($C$94:$AL$94,1,10)</f>
        <v/>
      </c>
      <c r="S158" s="24">
        <f>$I$112*INDEX($C$94:$AL$94,1,11)</f>
        <v/>
      </c>
      <c r="T158" s="24">
        <f>$I$112*INDEX($C$94:$AL$94,1,12)</f>
        <v/>
      </c>
      <c r="U158" s="24">
        <f>$I$112*INDEX($C$94:$AL$94,1,13)</f>
        <v/>
      </c>
      <c r="V158" s="24">
        <f>$I$112*INDEX($C$94:$AL$94,1,14)</f>
        <v/>
      </c>
      <c r="W158" s="24">
        <f>$I$112*INDEX($C$94:$AL$94,1,15)</f>
        <v/>
      </c>
      <c r="X158" s="24">
        <f>$I$112*INDEX($C$94:$AL$94,1,16)</f>
        <v/>
      </c>
      <c r="Y158" s="24">
        <f>$I$112*INDEX($C$94:$AL$94,1,17)</f>
        <v/>
      </c>
      <c r="Z158" s="24">
        <f>$I$112*INDEX($C$94:$AL$94,1,18)</f>
        <v/>
      </c>
      <c r="AA158" s="24">
        <f>$I$112*INDEX($C$94:$AL$94,1,19)</f>
        <v/>
      </c>
      <c r="AB158" s="24">
        <f>$I$112*INDEX($C$94:$AL$94,1,20)</f>
        <v/>
      </c>
      <c r="AC158" s="24">
        <f>$I$112*INDEX($C$94:$AL$94,1,21)</f>
        <v/>
      </c>
      <c r="AD158" s="24">
        <f>$I$112*INDEX($C$94:$AL$94,1,22)</f>
        <v/>
      </c>
      <c r="AE158" s="24">
        <f>$I$112*INDEX($C$94:$AL$94,1,23)</f>
        <v/>
      </c>
      <c r="AF158" s="24">
        <f>$I$112*INDEX($C$94:$AL$94,1,24)</f>
        <v/>
      </c>
    </row>
    <row r="159">
      <c r="A159" s="4" t="inlineStr">
        <is>
          <t>Coorte del mese 8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>
        <f>$J$112*INDEX($C$94:$AL$94,1,1)</f>
        <v/>
      </c>
      <c r="K159" s="24">
        <f>$J$112*INDEX($C$94:$AL$94,1,2)</f>
        <v/>
      </c>
      <c r="L159" s="24">
        <f>$J$112*INDEX($C$94:$AL$94,1,3)</f>
        <v/>
      </c>
      <c r="M159" s="24">
        <f>$J$112*INDEX($C$94:$AL$94,1,4)</f>
        <v/>
      </c>
      <c r="N159" s="24">
        <f>$J$112*INDEX($C$94:$AL$94,1,5)</f>
        <v/>
      </c>
      <c r="O159" s="24">
        <f>$J$112*INDEX($C$94:$AL$94,1,6)</f>
        <v/>
      </c>
      <c r="P159" s="24">
        <f>$J$112*INDEX($C$94:$AL$94,1,7)</f>
        <v/>
      </c>
      <c r="Q159" s="24">
        <f>$J$112*INDEX($C$94:$AL$94,1,8)</f>
        <v/>
      </c>
      <c r="R159" s="24">
        <f>$J$112*INDEX($C$94:$AL$94,1,9)</f>
        <v/>
      </c>
      <c r="S159" s="24">
        <f>$J$112*INDEX($C$94:$AL$94,1,10)</f>
        <v/>
      </c>
      <c r="T159" s="24">
        <f>$J$112*INDEX($C$94:$AL$94,1,11)</f>
        <v/>
      </c>
      <c r="U159" s="24">
        <f>$J$112*INDEX($C$94:$AL$94,1,12)</f>
        <v/>
      </c>
      <c r="V159" s="24">
        <f>$J$112*INDEX($C$94:$AL$94,1,13)</f>
        <v/>
      </c>
      <c r="W159" s="24">
        <f>$J$112*INDEX($C$94:$AL$94,1,14)</f>
        <v/>
      </c>
      <c r="X159" s="24">
        <f>$J$112*INDEX($C$94:$AL$94,1,15)</f>
        <v/>
      </c>
      <c r="Y159" s="24">
        <f>$J$112*INDEX($C$94:$AL$94,1,16)</f>
        <v/>
      </c>
      <c r="Z159" s="24">
        <f>$J$112*INDEX($C$94:$AL$94,1,17)</f>
        <v/>
      </c>
      <c r="AA159" s="24">
        <f>$J$112*INDEX($C$94:$AL$94,1,18)</f>
        <v/>
      </c>
      <c r="AB159" s="24">
        <f>$J$112*INDEX($C$94:$AL$94,1,19)</f>
        <v/>
      </c>
      <c r="AC159" s="24">
        <f>$J$112*INDEX($C$94:$AL$94,1,20)</f>
        <v/>
      </c>
      <c r="AD159" s="24">
        <f>$J$112*INDEX($C$94:$AL$94,1,21)</f>
        <v/>
      </c>
      <c r="AE159" s="24">
        <f>$J$112*INDEX($C$94:$AL$94,1,22)</f>
        <v/>
      </c>
      <c r="AF159" s="24">
        <f>$J$112*INDEX($C$94:$AL$94,1,23)</f>
        <v/>
      </c>
    </row>
    <row r="160">
      <c r="A160" s="4" t="inlineStr">
        <is>
          <t>Coorte del mese 9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>
        <f>$K$112*INDEX($C$94:$AL$94,1,1)</f>
        <v/>
      </c>
      <c r="L160" s="24">
        <f>$K$112*INDEX($C$94:$AL$94,1,2)</f>
        <v/>
      </c>
      <c r="M160" s="24">
        <f>$K$112*INDEX($C$94:$AL$94,1,3)</f>
        <v/>
      </c>
      <c r="N160" s="24">
        <f>$K$112*INDEX($C$94:$AL$94,1,4)</f>
        <v/>
      </c>
      <c r="O160" s="24">
        <f>$K$112*INDEX($C$94:$AL$94,1,5)</f>
        <v/>
      </c>
      <c r="P160" s="24">
        <f>$K$112*INDEX($C$94:$AL$94,1,6)</f>
        <v/>
      </c>
      <c r="Q160" s="24">
        <f>$K$112*INDEX($C$94:$AL$94,1,7)</f>
        <v/>
      </c>
      <c r="R160" s="24">
        <f>$K$112*INDEX($C$94:$AL$94,1,8)</f>
        <v/>
      </c>
      <c r="S160" s="24">
        <f>$K$112*INDEX($C$94:$AL$94,1,9)</f>
        <v/>
      </c>
      <c r="T160" s="24">
        <f>$K$112*INDEX($C$94:$AL$94,1,10)</f>
        <v/>
      </c>
      <c r="U160" s="24">
        <f>$K$112*INDEX($C$94:$AL$94,1,11)</f>
        <v/>
      </c>
      <c r="V160" s="24">
        <f>$K$112*INDEX($C$94:$AL$94,1,12)</f>
        <v/>
      </c>
      <c r="W160" s="24">
        <f>$K$112*INDEX($C$94:$AL$94,1,13)</f>
        <v/>
      </c>
      <c r="X160" s="24">
        <f>$K$112*INDEX($C$94:$AL$94,1,14)</f>
        <v/>
      </c>
      <c r="Y160" s="24">
        <f>$K$112*INDEX($C$94:$AL$94,1,15)</f>
        <v/>
      </c>
      <c r="Z160" s="24">
        <f>$K$112*INDEX($C$94:$AL$94,1,16)</f>
        <v/>
      </c>
      <c r="AA160" s="24">
        <f>$K$112*INDEX($C$94:$AL$94,1,17)</f>
        <v/>
      </c>
      <c r="AB160" s="24">
        <f>$K$112*INDEX($C$94:$AL$94,1,18)</f>
        <v/>
      </c>
      <c r="AC160" s="24">
        <f>$K$112*INDEX($C$94:$AL$94,1,19)</f>
        <v/>
      </c>
      <c r="AD160" s="24">
        <f>$K$112*INDEX($C$94:$AL$94,1,20)</f>
        <v/>
      </c>
      <c r="AE160" s="24">
        <f>$K$112*INDEX($C$94:$AL$94,1,21)</f>
        <v/>
      </c>
      <c r="AF160" s="24">
        <f>$K$112*INDEX($C$94:$AL$94,1,22)</f>
        <v/>
      </c>
    </row>
    <row r="161">
      <c r="A161" s="4" t="inlineStr">
        <is>
          <t>Coorte del mese 10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>
        <f>$L$112*INDEX($C$94:$AL$94,1,1)</f>
        <v/>
      </c>
      <c r="M161" s="24">
        <f>$L$112*INDEX($C$94:$AL$94,1,2)</f>
        <v/>
      </c>
      <c r="N161" s="24">
        <f>$L$112*INDEX($C$94:$AL$94,1,3)</f>
        <v/>
      </c>
      <c r="O161" s="24">
        <f>$L$112*INDEX($C$94:$AL$94,1,4)</f>
        <v/>
      </c>
      <c r="P161" s="24">
        <f>$L$112*INDEX($C$94:$AL$94,1,5)</f>
        <v/>
      </c>
      <c r="Q161" s="24">
        <f>$L$112*INDEX($C$94:$AL$94,1,6)</f>
        <v/>
      </c>
      <c r="R161" s="24">
        <f>$L$112*INDEX($C$94:$AL$94,1,7)</f>
        <v/>
      </c>
      <c r="S161" s="24">
        <f>$L$112*INDEX($C$94:$AL$94,1,8)</f>
        <v/>
      </c>
      <c r="T161" s="24">
        <f>$L$112*INDEX($C$94:$AL$94,1,9)</f>
        <v/>
      </c>
      <c r="U161" s="24">
        <f>$L$112*INDEX($C$94:$AL$94,1,10)</f>
        <v/>
      </c>
      <c r="V161" s="24">
        <f>$L$112*INDEX($C$94:$AL$94,1,11)</f>
        <v/>
      </c>
      <c r="W161" s="24">
        <f>$L$112*INDEX($C$94:$AL$94,1,12)</f>
        <v/>
      </c>
      <c r="X161" s="24">
        <f>$L$112*INDEX($C$94:$AL$94,1,13)</f>
        <v/>
      </c>
      <c r="Y161" s="24">
        <f>$L$112*INDEX($C$94:$AL$94,1,14)</f>
        <v/>
      </c>
      <c r="Z161" s="24">
        <f>$L$112*INDEX($C$94:$AL$94,1,15)</f>
        <v/>
      </c>
      <c r="AA161" s="24">
        <f>$L$112*INDEX($C$94:$AL$94,1,16)</f>
        <v/>
      </c>
      <c r="AB161" s="24">
        <f>$L$112*INDEX($C$94:$AL$94,1,17)</f>
        <v/>
      </c>
      <c r="AC161" s="24">
        <f>$L$112*INDEX($C$94:$AL$94,1,18)</f>
        <v/>
      </c>
      <c r="AD161" s="24">
        <f>$L$112*INDEX($C$94:$AL$94,1,19)</f>
        <v/>
      </c>
      <c r="AE161" s="24">
        <f>$L$112*INDEX($C$94:$AL$94,1,20)</f>
        <v/>
      </c>
      <c r="AF161" s="24">
        <f>$L$112*INDEX($C$94:$AL$94,1,21)</f>
        <v/>
      </c>
    </row>
    <row r="162">
      <c r="A162" s="4" t="inlineStr">
        <is>
          <t>Coorte del mese 11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>
        <f>$M$112*INDEX($C$94:$AL$94,1,1)</f>
        <v/>
      </c>
      <c r="N162" s="24">
        <f>$M$112*INDEX($C$94:$AL$94,1,2)</f>
        <v/>
      </c>
      <c r="O162" s="24">
        <f>$M$112*INDEX($C$94:$AL$94,1,3)</f>
        <v/>
      </c>
      <c r="P162" s="24">
        <f>$M$112*INDEX($C$94:$AL$94,1,4)</f>
        <v/>
      </c>
      <c r="Q162" s="24">
        <f>$M$112*INDEX($C$94:$AL$94,1,5)</f>
        <v/>
      </c>
      <c r="R162" s="24">
        <f>$M$112*INDEX($C$94:$AL$94,1,6)</f>
        <v/>
      </c>
      <c r="S162" s="24">
        <f>$M$112*INDEX($C$94:$AL$94,1,7)</f>
        <v/>
      </c>
      <c r="T162" s="24">
        <f>$M$112*INDEX($C$94:$AL$94,1,8)</f>
        <v/>
      </c>
      <c r="U162" s="24">
        <f>$M$112*INDEX($C$94:$AL$94,1,9)</f>
        <v/>
      </c>
      <c r="V162" s="24">
        <f>$M$112*INDEX($C$94:$AL$94,1,10)</f>
        <v/>
      </c>
      <c r="W162" s="24">
        <f>$M$112*INDEX($C$94:$AL$94,1,11)</f>
        <v/>
      </c>
      <c r="X162" s="24">
        <f>$M$112*INDEX($C$94:$AL$94,1,12)</f>
        <v/>
      </c>
      <c r="Y162" s="24">
        <f>$M$112*INDEX($C$94:$AL$94,1,13)</f>
        <v/>
      </c>
      <c r="Z162" s="24">
        <f>$M$112*INDEX($C$94:$AL$94,1,14)</f>
        <v/>
      </c>
      <c r="AA162" s="24">
        <f>$M$112*INDEX($C$94:$AL$94,1,15)</f>
        <v/>
      </c>
      <c r="AB162" s="24">
        <f>$M$112*INDEX($C$94:$AL$94,1,16)</f>
        <v/>
      </c>
      <c r="AC162" s="24">
        <f>$M$112*INDEX($C$94:$AL$94,1,17)</f>
        <v/>
      </c>
      <c r="AD162" s="24">
        <f>$M$112*INDEX($C$94:$AL$94,1,18)</f>
        <v/>
      </c>
      <c r="AE162" s="24">
        <f>$M$112*INDEX($C$94:$AL$94,1,19)</f>
        <v/>
      </c>
      <c r="AF162" s="24">
        <f>$M$112*INDEX($C$94:$AL$94,1,20)</f>
        <v/>
      </c>
    </row>
    <row r="163">
      <c r="A163" s="4" t="inlineStr">
        <is>
          <t>Coorte del mese 12</t>
        </is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>
        <f>$N$112*INDEX($C$94:$AL$94,1,1)</f>
        <v/>
      </c>
      <c r="O163" s="24">
        <f>$N$112*INDEX($C$94:$AL$94,1,2)</f>
        <v/>
      </c>
      <c r="P163" s="24">
        <f>$N$112*INDEX($C$94:$AL$94,1,3)</f>
        <v/>
      </c>
      <c r="Q163" s="24">
        <f>$N$112*INDEX($C$94:$AL$94,1,4)</f>
        <v/>
      </c>
      <c r="R163" s="24">
        <f>$N$112*INDEX($C$94:$AL$94,1,5)</f>
        <v/>
      </c>
      <c r="S163" s="24">
        <f>$N$112*INDEX($C$94:$AL$94,1,6)</f>
        <v/>
      </c>
      <c r="T163" s="24">
        <f>$N$112*INDEX($C$94:$AL$94,1,7)</f>
        <v/>
      </c>
      <c r="U163" s="24">
        <f>$N$112*INDEX($C$94:$AL$94,1,8)</f>
        <v/>
      </c>
      <c r="V163" s="24">
        <f>$N$112*INDEX($C$94:$AL$94,1,9)</f>
        <v/>
      </c>
      <c r="W163" s="24">
        <f>$N$112*INDEX($C$94:$AL$94,1,10)</f>
        <v/>
      </c>
      <c r="X163" s="24">
        <f>$N$112*INDEX($C$94:$AL$94,1,11)</f>
        <v/>
      </c>
      <c r="Y163" s="24">
        <f>$N$112*INDEX($C$94:$AL$94,1,12)</f>
        <v/>
      </c>
      <c r="Z163" s="24">
        <f>$N$112*INDEX($C$94:$AL$94,1,13)</f>
        <v/>
      </c>
      <c r="AA163" s="24">
        <f>$N$112*INDEX($C$94:$AL$94,1,14)</f>
        <v/>
      </c>
      <c r="AB163" s="24">
        <f>$N$112*INDEX($C$94:$AL$94,1,15)</f>
        <v/>
      </c>
      <c r="AC163" s="24">
        <f>$N$112*INDEX($C$94:$AL$94,1,16)</f>
        <v/>
      </c>
      <c r="AD163" s="24">
        <f>$N$112*INDEX($C$94:$AL$94,1,17)</f>
        <v/>
      </c>
      <c r="AE163" s="24">
        <f>$N$112*INDEX($C$94:$AL$94,1,18)</f>
        <v/>
      </c>
      <c r="AF163" s="24">
        <f>$N$112*INDEX($C$94:$AL$94,1,19)</f>
        <v/>
      </c>
    </row>
    <row r="164">
      <c r="A164" s="4" t="inlineStr">
        <is>
          <t>Coorte del mese 13</t>
        </is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>
        <f>$O$112*INDEX($C$94:$AL$94,1,1)</f>
        <v/>
      </c>
      <c r="P164" s="24">
        <f>$O$112*INDEX($C$94:$AL$94,1,2)</f>
        <v/>
      </c>
      <c r="Q164" s="24">
        <f>$O$112*INDEX($C$94:$AL$94,1,3)</f>
        <v/>
      </c>
      <c r="R164" s="24">
        <f>$O$112*INDEX($C$94:$AL$94,1,4)</f>
        <v/>
      </c>
      <c r="S164" s="24">
        <f>$O$112*INDEX($C$94:$AL$94,1,5)</f>
        <v/>
      </c>
      <c r="T164" s="24">
        <f>$O$112*INDEX($C$94:$AL$94,1,6)</f>
        <v/>
      </c>
      <c r="U164" s="24">
        <f>$O$112*INDEX($C$94:$AL$94,1,7)</f>
        <v/>
      </c>
      <c r="V164" s="24">
        <f>$O$112*INDEX($C$94:$AL$94,1,8)</f>
        <v/>
      </c>
      <c r="W164" s="24">
        <f>$O$112*INDEX($C$94:$AL$94,1,9)</f>
        <v/>
      </c>
      <c r="X164" s="24">
        <f>$O$112*INDEX($C$94:$AL$94,1,10)</f>
        <v/>
      </c>
      <c r="Y164" s="24">
        <f>$O$112*INDEX($C$94:$AL$94,1,11)</f>
        <v/>
      </c>
      <c r="Z164" s="24">
        <f>$O$112*INDEX($C$94:$AL$94,1,12)</f>
        <v/>
      </c>
      <c r="AA164" s="24">
        <f>$O$112*INDEX($C$94:$AL$94,1,13)</f>
        <v/>
      </c>
      <c r="AB164" s="24">
        <f>$O$112*INDEX($C$94:$AL$94,1,14)</f>
        <v/>
      </c>
      <c r="AC164" s="24">
        <f>$O$112*INDEX($C$94:$AL$94,1,15)</f>
        <v/>
      </c>
      <c r="AD164" s="24">
        <f>$O$112*INDEX($C$94:$AL$94,1,16)</f>
        <v/>
      </c>
      <c r="AE164" s="24">
        <f>$O$112*INDEX($C$94:$AL$94,1,17)</f>
        <v/>
      </c>
      <c r="AF164" s="24">
        <f>$O$112*INDEX($C$94:$AL$94,1,18)</f>
        <v/>
      </c>
    </row>
    <row r="165">
      <c r="A165" s="4" t="inlineStr">
        <is>
          <t>Coorte del mese 14</t>
        </is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>
        <f>$P$112*INDEX($C$94:$AL$94,1,1)</f>
        <v/>
      </c>
      <c r="Q165" s="24">
        <f>$P$112*INDEX($C$94:$AL$94,1,2)</f>
        <v/>
      </c>
      <c r="R165" s="24">
        <f>$P$112*INDEX($C$94:$AL$94,1,3)</f>
        <v/>
      </c>
      <c r="S165" s="24">
        <f>$P$112*INDEX($C$94:$AL$94,1,4)</f>
        <v/>
      </c>
      <c r="T165" s="24">
        <f>$P$112*INDEX($C$94:$AL$94,1,5)</f>
        <v/>
      </c>
      <c r="U165" s="24">
        <f>$P$112*INDEX($C$94:$AL$94,1,6)</f>
        <v/>
      </c>
      <c r="V165" s="24">
        <f>$P$112*INDEX($C$94:$AL$94,1,7)</f>
        <v/>
      </c>
      <c r="W165" s="24">
        <f>$P$112*INDEX($C$94:$AL$94,1,8)</f>
        <v/>
      </c>
      <c r="X165" s="24">
        <f>$P$112*INDEX($C$94:$AL$94,1,9)</f>
        <v/>
      </c>
      <c r="Y165" s="24">
        <f>$P$112*INDEX($C$94:$AL$94,1,10)</f>
        <v/>
      </c>
      <c r="Z165" s="24">
        <f>$P$112*INDEX($C$94:$AL$94,1,11)</f>
        <v/>
      </c>
      <c r="AA165" s="24">
        <f>$P$112*INDEX($C$94:$AL$94,1,12)</f>
        <v/>
      </c>
      <c r="AB165" s="24">
        <f>$P$112*INDEX($C$94:$AL$94,1,13)</f>
        <v/>
      </c>
      <c r="AC165" s="24">
        <f>$P$112*INDEX($C$94:$AL$94,1,14)</f>
        <v/>
      </c>
      <c r="AD165" s="24">
        <f>$P$112*INDEX($C$94:$AL$94,1,15)</f>
        <v/>
      </c>
      <c r="AE165" s="24">
        <f>$P$112*INDEX($C$94:$AL$94,1,16)</f>
        <v/>
      </c>
      <c r="AF165" s="24">
        <f>$P$112*INDEX($C$94:$AL$94,1,17)</f>
        <v/>
      </c>
    </row>
    <row r="166">
      <c r="A166" s="4" t="inlineStr">
        <is>
          <t>Coorte del mese 15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>
        <f>$Q$112*INDEX($C$94:$AL$94,1,1)</f>
        <v/>
      </c>
      <c r="R166" s="24">
        <f>$Q$112*INDEX($C$94:$AL$94,1,2)</f>
        <v/>
      </c>
      <c r="S166" s="24">
        <f>$Q$112*INDEX($C$94:$AL$94,1,3)</f>
        <v/>
      </c>
      <c r="T166" s="24">
        <f>$Q$112*INDEX($C$94:$AL$94,1,4)</f>
        <v/>
      </c>
      <c r="U166" s="24">
        <f>$Q$112*INDEX($C$94:$AL$94,1,5)</f>
        <v/>
      </c>
      <c r="V166" s="24">
        <f>$Q$112*INDEX($C$94:$AL$94,1,6)</f>
        <v/>
      </c>
      <c r="W166" s="24">
        <f>$Q$112*INDEX($C$94:$AL$94,1,7)</f>
        <v/>
      </c>
      <c r="X166" s="24">
        <f>$Q$112*INDEX($C$94:$AL$94,1,8)</f>
        <v/>
      </c>
      <c r="Y166" s="24">
        <f>$Q$112*INDEX($C$94:$AL$94,1,9)</f>
        <v/>
      </c>
      <c r="Z166" s="24">
        <f>$Q$112*INDEX($C$94:$AL$94,1,10)</f>
        <v/>
      </c>
      <c r="AA166" s="24">
        <f>$Q$112*INDEX($C$94:$AL$94,1,11)</f>
        <v/>
      </c>
      <c r="AB166" s="24">
        <f>$Q$112*INDEX($C$94:$AL$94,1,12)</f>
        <v/>
      </c>
      <c r="AC166" s="24">
        <f>$Q$112*INDEX($C$94:$AL$94,1,13)</f>
        <v/>
      </c>
      <c r="AD166" s="24">
        <f>$Q$112*INDEX($C$94:$AL$94,1,14)</f>
        <v/>
      </c>
      <c r="AE166" s="24">
        <f>$Q$112*INDEX($C$94:$AL$94,1,15)</f>
        <v/>
      </c>
      <c r="AF166" s="24">
        <f>$Q$112*INDEX($C$94:$AL$94,1,16)</f>
        <v/>
      </c>
    </row>
    <row r="167">
      <c r="A167" s="4" t="inlineStr">
        <is>
          <t>Coorte del mese 16</t>
        </is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>
        <f>$R$112*INDEX($C$94:$AL$94,1,1)</f>
        <v/>
      </c>
      <c r="S167" s="24">
        <f>$R$112*INDEX($C$94:$AL$94,1,2)</f>
        <v/>
      </c>
      <c r="T167" s="24">
        <f>$R$112*INDEX($C$94:$AL$94,1,3)</f>
        <v/>
      </c>
      <c r="U167" s="24">
        <f>$R$112*INDEX($C$94:$AL$94,1,4)</f>
        <v/>
      </c>
      <c r="V167" s="24">
        <f>$R$112*INDEX($C$94:$AL$94,1,5)</f>
        <v/>
      </c>
      <c r="W167" s="24">
        <f>$R$112*INDEX($C$94:$AL$94,1,6)</f>
        <v/>
      </c>
      <c r="X167" s="24">
        <f>$R$112*INDEX($C$94:$AL$94,1,7)</f>
        <v/>
      </c>
      <c r="Y167" s="24">
        <f>$R$112*INDEX($C$94:$AL$94,1,8)</f>
        <v/>
      </c>
      <c r="Z167" s="24">
        <f>$R$112*INDEX($C$94:$AL$94,1,9)</f>
        <v/>
      </c>
      <c r="AA167" s="24">
        <f>$R$112*INDEX($C$94:$AL$94,1,10)</f>
        <v/>
      </c>
      <c r="AB167" s="24">
        <f>$R$112*INDEX($C$94:$AL$94,1,11)</f>
        <v/>
      </c>
      <c r="AC167" s="24">
        <f>$R$112*INDEX($C$94:$AL$94,1,12)</f>
        <v/>
      </c>
      <c r="AD167" s="24">
        <f>$R$112*INDEX($C$94:$AL$94,1,13)</f>
        <v/>
      </c>
      <c r="AE167" s="24">
        <f>$R$112*INDEX($C$94:$AL$94,1,14)</f>
        <v/>
      </c>
      <c r="AF167" s="24">
        <f>$R$112*INDEX($C$94:$AL$94,1,15)</f>
        <v/>
      </c>
    </row>
    <row r="168">
      <c r="A168" s="4" t="inlineStr">
        <is>
          <t>Coorte del mese 17</t>
        </is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>
        <f>$S$112*INDEX($C$94:$AL$94,1,1)</f>
        <v/>
      </c>
      <c r="T168" s="24">
        <f>$S$112*INDEX($C$94:$AL$94,1,2)</f>
        <v/>
      </c>
      <c r="U168" s="24">
        <f>$S$112*INDEX($C$94:$AL$94,1,3)</f>
        <v/>
      </c>
      <c r="V168" s="24">
        <f>$S$112*INDEX($C$94:$AL$94,1,4)</f>
        <v/>
      </c>
      <c r="W168" s="24">
        <f>$S$112*INDEX($C$94:$AL$94,1,5)</f>
        <v/>
      </c>
      <c r="X168" s="24">
        <f>$S$112*INDEX($C$94:$AL$94,1,6)</f>
        <v/>
      </c>
      <c r="Y168" s="24">
        <f>$S$112*INDEX($C$94:$AL$94,1,7)</f>
        <v/>
      </c>
      <c r="Z168" s="24">
        <f>$S$112*INDEX($C$94:$AL$94,1,8)</f>
        <v/>
      </c>
      <c r="AA168" s="24">
        <f>$S$112*INDEX($C$94:$AL$94,1,9)</f>
        <v/>
      </c>
      <c r="AB168" s="24">
        <f>$S$112*INDEX($C$94:$AL$94,1,10)</f>
        <v/>
      </c>
      <c r="AC168" s="24">
        <f>$S$112*INDEX($C$94:$AL$94,1,11)</f>
        <v/>
      </c>
      <c r="AD168" s="24">
        <f>$S$112*INDEX($C$94:$AL$94,1,12)</f>
        <v/>
      </c>
      <c r="AE168" s="24">
        <f>$S$112*INDEX($C$94:$AL$94,1,13)</f>
        <v/>
      </c>
      <c r="AF168" s="24">
        <f>$S$112*INDEX($C$94:$AL$94,1,14)</f>
        <v/>
      </c>
    </row>
    <row r="169">
      <c r="A169" s="4" t="inlineStr">
        <is>
          <t>Coorte del mese 18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>
        <f>$T$112*INDEX($C$94:$AL$94,1,1)</f>
        <v/>
      </c>
      <c r="U169" s="24">
        <f>$T$112*INDEX($C$94:$AL$94,1,2)</f>
        <v/>
      </c>
      <c r="V169" s="24">
        <f>$T$112*INDEX($C$94:$AL$94,1,3)</f>
        <v/>
      </c>
      <c r="W169" s="24">
        <f>$T$112*INDEX($C$94:$AL$94,1,4)</f>
        <v/>
      </c>
      <c r="X169" s="24">
        <f>$T$112*INDEX($C$94:$AL$94,1,5)</f>
        <v/>
      </c>
      <c r="Y169" s="24">
        <f>$T$112*INDEX($C$94:$AL$94,1,6)</f>
        <v/>
      </c>
      <c r="Z169" s="24">
        <f>$T$112*INDEX($C$94:$AL$94,1,7)</f>
        <v/>
      </c>
      <c r="AA169" s="24">
        <f>$T$112*INDEX($C$94:$AL$94,1,8)</f>
        <v/>
      </c>
      <c r="AB169" s="24">
        <f>$T$112*INDEX($C$94:$AL$94,1,9)</f>
        <v/>
      </c>
      <c r="AC169" s="24">
        <f>$T$112*INDEX($C$94:$AL$94,1,10)</f>
        <v/>
      </c>
      <c r="AD169" s="24">
        <f>$T$112*INDEX($C$94:$AL$94,1,11)</f>
        <v/>
      </c>
      <c r="AE169" s="24">
        <f>$T$112*INDEX($C$94:$AL$94,1,12)</f>
        <v/>
      </c>
      <c r="AF169" s="24">
        <f>$T$112*INDEX($C$94:$AL$94,1,13)</f>
        <v/>
      </c>
    </row>
    <row r="170">
      <c r="A170" s="4" t="inlineStr">
        <is>
          <t>Coorte del mese 19</t>
        </is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>
        <f>$U$112*INDEX($C$94:$AL$94,1,1)</f>
        <v/>
      </c>
      <c r="V170" s="24">
        <f>$U$112*INDEX($C$94:$AL$94,1,2)</f>
        <v/>
      </c>
      <c r="W170" s="24">
        <f>$U$112*INDEX($C$94:$AL$94,1,3)</f>
        <v/>
      </c>
      <c r="X170" s="24">
        <f>$U$112*INDEX($C$94:$AL$94,1,4)</f>
        <v/>
      </c>
      <c r="Y170" s="24">
        <f>$U$112*INDEX($C$94:$AL$94,1,5)</f>
        <v/>
      </c>
      <c r="Z170" s="24">
        <f>$U$112*INDEX($C$94:$AL$94,1,6)</f>
        <v/>
      </c>
      <c r="AA170" s="24">
        <f>$U$112*INDEX($C$94:$AL$94,1,7)</f>
        <v/>
      </c>
      <c r="AB170" s="24">
        <f>$U$112*INDEX($C$94:$AL$94,1,8)</f>
        <v/>
      </c>
      <c r="AC170" s="24">
        <f>$U$112*INDEX($C$94:$AL$94,1,9)</f>
        <v/>
      </c>
      <c r="AD170" s="24">
        <f>$U$112*INDEX($C$94:$AL$94,1,10)</f>
        <v/>
      </c>
      <c r="AE170" s="24">
        <f>$U$112*INDEX($C$94:$AL$94,1,11)</f>
        <v/>
      </c>
      <c r="AF170" s="24">
        <f>$U$112*INDEX($C$94:$AL$94,1,12)</f>
        <v/>
      </c>
    </row>
    <row r="171">
      <c r="A171" s="4" t="inlineStr">
        <is>
          <t>Coorte del mese 20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>
        <f>$V$112*INDEX($C$94:$AL$94,1,1)</f>
        <v/>
      </c>
      <c r="W171" s="24">
        <f>$V$112*INDEX($C$94:$AL$94,1,2)</f>
        <v/>
      </c>
      <c r="X171" s="24">
        <f>$V$112*INDEX($C$94:$AL$94,1,3)</f>
        <v/>
      </c>
      <c r="Y171" s="24">
        <f>$V$112*INDEX($C$94:$AL$94,1,4)</f>
        <v/>
      </c>
      <c r="Z171" s="24">
        <f>$V$112*INDEX($C$94:$AL$94,1,5)</f>
        <v/>
      </c>
      <c r="AA171" s="24">
        <f>$V$112*INDEX($C$94:$AL$94,1,6)</f>
        <v/>
      </c>
      <c r="AB171" s="24">
        <f>$V$112*INDEX($C$94:$AL$94,1,7)</f>
        <v/>
      </c>
      <c r="AC171" s="24">
        <f>$V$112*INDEX($C$94:$AL$94,1,8)</f>
        <v/>
      </c>
      <c r="AD171" s="24">
        <f>$V$112*INDEX($C$94:$AL$94,1,9)</f>
        <v/>
      </c>
      <c r="AE171" s="24">
        <f>$V$112*INDEX($C$94:$AL$94,1,10)</f>
        <v/>
      </c>
      <c r="AF171" s="24">
        <f>$V$112*INDEX($C$94:$AL$94,1,11)</f>
        <v/>
      </c>
    </row>
    <row r="172">
      <c r="A172" s="4" t="inlineStr">
        <is>
          <t>Coorte del mese 21</t>
        </is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>
        <f>$W$112*INDEX($C$94:$AL$94,1,1)</f>
        <v/>
      </c>
      <c r="X172" s="24">
        <f>$W$112*INDEX($C$94:$AL$94,1,2)</f>
        <v/>
      </c>
      <c r="Y172" s="24">
        <f>$W$112*INDEX($C$94:$AL$94,1,3)</f>
        <v/>
      </c>
      <c r="Z172" s="24">
        <f>$W$112*INDEX($C$94:$AL$94,1,4)</f>
        <v/>
      </c>
      <c r="AA172" s="24">
        <f>$W$112*INDEX($C$94:$AL$94,1,5)</f>
        <v/>
      </c>
      <c r="AB172" s="24">
        <f>$W$112*INDEX($C$94:$AL$94,1,6)</f>
        <v/>
      </c>
      <c r="AC172" s="24">
        <f>$W$112*INDEX($C$94:$AL$94,1,7)</f>
        <v/>
      </c>
      <c r="AD172" s="24">
        <f>$W$112*INDEX($C$94:$AL$94,1,8)</f>
        <v/>
      </c>
      <c r="AE172" s="24">
        <f>$W$112*INDEX($C$94:$AL$94,1,9)</f>
        <v/>
      </c>
      <c r="AF172" s="24">
        <f>$W$112*INDEX($C$94:$AL$94,1,10)</f>
        <v/>
      </c>
    </row>
    <row r="173">
      <c r="A173" s="4" t="inlineStr">
        <is>
          <t>Coorte del mese 22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>
        <f>$X$112*INDEX($C$94:$AL$94,1,1)</f>
        <v/>
      </c>
      <c r="Y173" s="24">
        <f>$X$112*INDEX($C$94:$AL$94,1,2)</f>
        <v/>
      </c>
      <c r="Z173" s="24">
        <f>$X$112*INDEX($C$94:$AL$94,1,3)</f>
        <v/>
      </c>
      <c r="AA173" s="24">
        <f>$X$112*INDEX($C$94:$AL$94,1,4)</f>
        <v/>
      </c>
      <c r="AB173" s="24">
        <f>$X$112*INDEX($C$94:$AL$94,1,5)</f>
        <v/>
      </c>
      <c r="AC173" s="24">
        <f>$X$112*INDEX($C$94:$AL$94,1,6)</f>
        <v/>
      </c>
      <c r="AD173" s="24">
        <f>$X$112*INDEX($C$94:$AL$94,1,7)</f>
        <v/>
      </c>
      <c r="AE173" s="24">
        <f>$X$112*INDEX($C$94:$AL$94,1,8)</f>
        <v/>
      </c>
      <c r="AF173" s="24">
        <f>$X$112*INDEX($C$94:$AL$94,1,9)</f>
        <v/>
      </c>
    </row>
    <row r="174">
      <c r="A174" s="4" t="inlineStr">
        <is>
          <t>Coorte del mese 23</t>
        </is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>
        <f>$Y$112*INDEX($C$94:$AL$94,1,1)</f>
        <v/>
      </c>
      <c r="Z174" s="24">
        <f>$Y$112*INDEX($C$94:$AL$94,1,2)</f>
        <v/>
      </c>
      <c r="AA174" s="24">
        <f>$Y$112*INDEX($C$94:$AL$94,1,3)</f>
        <v/>
      </c>
      <c r="AB174" s="24">
        <f>$Y$112*INDEX($C$94:$AL$94,1,4)</f>
        <v/>
      </c>
      <c r="AC174" s="24">
        <f>$Y$112*INDEX($C$94:$AL$94,1,5)</f>
        <v/>
      </c>
      <c r="AD174" s="24">
        <f>$Y$112*INDEX($C$94:$AL$94,1,6)</f>
        <v/>
      </c>
      <c r="AE174" s="24">
        <f>$Y$112*INDEX($C$94:$AL$94,1,7)</f>
        <v/>
      </c>
      <c r="AF174" s="24">
        <f>$Y$112*INDEX($C$94:$AL$94,1,8)</f>
        <v/>
      </c>
    </row>
    <row r="175">
      <c r="A175" s="4" t="inlineStr">
        <is>
          <t>Coorte del mese 24</t>
        </is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>
        <f>$Z$112*INDEX($C$94:$AL$94,1,1)</f>
        <v/>
      </c>
      <c r="AA175" s="24">
        <f>$Z$112*INDEX($C$94:$AL$94,1,2)</f>
        <v/>
      </c>
      <c r="AB175" s="24">
        <f>$Z$112*INDEX($C$94:$AL$94,1,3)</f>
        <v/>
      </c>
      <c r="AC175" s="24">
        <f>$Z$112*INDEX($C$94:$AL$94,1,4)</f>
        <v/>
      </c>
      <c r="AD175" s="24">
        <f>$Z$112*INDEX($C$94:$AL$94,1,5)</f>
        <v/>
      </c>
      <c r="AE175" s="24">
        <f>$Z$112*INDEX($C$94:$AL$94,1,6)</f>
        <v/>
      </c>
      <c r="AF175" s="24">
        <f>$Z$112*INDEX($C$94:$AL$94,1,7)</f>
        <v/>
      </c>
    </row>
    <row r="176">
      <c r="A176" s="4" t="inlineStr">
        <is>
          <t>Coorte del mese 25</t>
        </is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24">
        <f>$AA$112*INDEX($C$94:$AL$94,1,1)</f>
        <v/>
      </c>
      <c r="AB176" s="24">
        <f>$AA$112*INDEX($C$94:$AL$94,1,2)</f>
        <v/>
      </c>
      <c r="AC176" s="24">
        <f>$AA$112*INDEX($C$94:$AL$94,1,3)</f>
        <v/>
      </c>
      <c r="AD176" s="24">
        <f>$AA$112*INDEX($C$94:$AL$94,1,4)</f>
        <v/>
      </c>
      <c r="AE176" s="24">
        <f>$AA$112*INDEX($C$94:$AL$94,1,5)</f>
        <v/>
      </c>
      <c r="AF176" s="24">
        <f>$AA$112*INDEX($C$94:$AL$94,1,6)</f>
        <v/>
      </c>
    </row>
    <row r="177">
      <c r="A177" s="4" t="inlineStr">
        <is>
          <t>Coorte del mese 26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>
        <f>$AB$112*INDEX($C$94:$AL$94,1,1)</f>
        <v/>
      </c>
      <c r="AC177" s="24">
        <f>$AB$112*INDEX($C$94:$AL$94,1,2)</f>
        <v/>
      </c>
      <c r="AD177" s="24">
        <f>$AB$112*INDEX($C$94:$AL$94,1,3)</f>
        <v/>
      </c>
      <c r="AE177" s="24">
        <f>$AB$112*INDEX($C$94:$AL$94,1,4)</f>
        <v/>
      </c>
      <c r="AF177" s="24">
        <f>$AB$112*INDEX($C$94:$AL$94,1,5)</f>
        <v/>
      </c>
    </row>
    <row r="178">
      <c r="A178" s="4" t="inlineStr">
        <is>
          <t>Coorte del mese 27</t>
        </is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>
        <f>$AC$112*INDEX($C$94:$AL$94,1,1)</f>
        <v/>
      </c>
      <c r="AD178" s="24">
        <f>$AC$112*INDEX($C$94:$AL$94,1,2)</f>
        <v/>
      </c>
      <c r="AE178" s="24">
        <f>$AC$112*INDEX($C$94:$AL$94,1,3)</f>
        <v/>
      </c>
      <c r="AF178" s="24">
        <f>$AC$112*INDEX($C$94:$AL$94,1,4)</f>
        <v/>
      </c>
    </row>
    <row r="179">
      <c r="A179" s="4" t="inlineStr">
        <is>
          <t>Coorte del mese 28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>
        <f>$AD$112*INDEX($C$94:$AL$94,1,1)</f>
        <v/>
      </c>
      <c r="AE179" s="24">
        <f>$AD$112*INDEX($C$94:$AL$94,1,2)</f>
        <v/>
      </c>
      <c r="AF179" s="24">
        <f>$AD$112*INDEX($C$94:$AL$94,1,3)</f>
        <v/>
      </c>
    </row>
    <row r="180">
      <c r="A180" s="4" t="inlineStr">
        <is>
          <t>Coorte del mese 29</t>
        </is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24" t="n">
        <v>0</v>
      </c>
      <c r="AB180" s="24" t="n">
        <v>0</v>
      </c>
      <c r="AC180" s="24" t="n">
        <v>0</v>
      </c>
      <c r="AD180" s="24" t="n">
        <v>0</v>
      </c>
      <c r="AE180" s="24">
        <f>$AE$112*INDEX($C$94:$AL$94,1,1)</f>
        <v/>
      </c>
      <c r="AF180" s="24">
        <f>$AE$112*INDEX($C$94:$AL$94,1,2)</f>
        <v/>
      </c>
    </row>
    <row r="181">
      <c r="A181" s="4" t="inlineStr">
        <is>
          <t>Coorte del mese 30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4" t="n">
        <v>0</v>
      </c>
      <c r="AD181" s="24" t="n">
        <v>0</v>
      </c>
      <c r="AE181" s="24" t="n">
        <v>0</v>
      </c>
      <c r="AF181" s="24">
        <f>$AF$112*INDEX($C$94:$AL$94,1,1)</f>
        <v/>
      </c>
    </row>
    <row r="182">
      <c r="A182" s="3" t="inlineStr">
        <is>
          <t>Totale percorso 6: rimborsi</t>
        </is>
      </c>
      <c r="C182" s="25">
        <f>SUM(C152:C181)</f>
        <v/>
      </c>
      <c r="D182" s="25">
        <f>SUM(D152:D181)</f>
        <v/>
      </c>
      <c r="E182" s="25">
        <f>SUM(E152:E181)</f>
        <v/>
      </c>
      <c r="F182" s="25">
        <f>SUM(F152:F181)</f>
        <v/>
      </c>
      <c r="G182" s="25">
        <f>SUM(G152:G181)</f>
        <v/>
      </c>
      <c r="H182" s="25">
        <f>SUM(H152:H181)</f>
        <v/>
      </c>
      <c r="I182" s="25">
        <f>SUM(I152:I181)</f>
        <v/>
      </c>
      <c r="J182" s="25">
        <f>SUM(J152:J181)</f>
        <v/>
      </c>
      <c r="K182" s="25">
        <f>SUM(K152:K181)</f>
        <v/>
      </c>
      <c r="L182" s="25">
        <f>SUM(L152:L181)</f>
        <v/>
      </c>
      <c r="M182" s="25">
        <f>SUM(M152:M181)</f>
        <v/>
      </c>
      <c r="N182" s="25">
        <f>SUM(N152:N181)</f>
        <v/>
      </c>
      <c r="O182" s="25">
        <f>SUM(O152:O181)</f>
        <v/>
      </c>
      <c r="P182" s="25">
        <f>SUM(P152:P181)</f>
        <v/>
      </c>
      <c r="Q182" s="25">
        <f>SUM(Q152:Q181)</f>
        <v/>
      </c>
      <c r="R182" s="25">
        <f>SUM(R152:R181)</f>
        <v/>
      </c>
      <c r="S182" s="25">
        <f>SUM(S152:S181)</f>
        <v/>
      </c>
      <c r="T182" s="25">
        <f>SUM(T152:T181)</f>
        <v/>
      </c>
      <c r="U182" s="25">
        <f>SUM(U152:U181)</f>
        <v/>
      </c>
      <c r="V182" s="25">
        <f>SUM(V152:V181)</f>
        <v/>
      </c>
      <c r="W182" s="25">
        <f>SUM(W152:W181)</f>
        <v/>
      </c>
      <c r="X182" s="25">
        <f>SUM(X152:X181)</f>
        <v/>
      </c>
      <c r="Y182" s="25">
        <f>SUM(Y152:Y181)</f>
        <v/>
      </c>
      <c r="Z182" s="25">
        <f>SUM(Z152:Z181)</f>
        <v/>
      </c>
      <c r="AA182" s="25">
        <f>SUM(AA152:AA181)</f>
        <v/>
      </c>
      <c r="AB182" s="25">
        <f>SUM(AB152:AB181)</f>
        <v/>
      </c>
      <c r="AC182" s="25">
        <f>SUM(AC152:AC181)</f>
        <v/>
      </c>
      <c r="AD182" s="25">
        <f>SUM(AD152:AD181)</f>
        <v/>
      </c>
      <c r="AE182" s="25">
        <f>SUM(AE152:AE181)</f>
        <v/>
      </c>
      <c r="AF182" s="25">
        <f>SUM(AF152:AF181)</f>
        <v/>
      </c>
    </row>
    <row r="184">
      <c r="A184" s="10" t="inlineStr">
        <is>
          <t>Percorso 3: ordini per coorte (righe = mese di acquisizione, colonne = mese di calendario)</t>
        </is>
      </c>
    </row>
    <row r="185">
      <c r="A185" s="4" t="inlineStr">
        <is>
          <t>Coorte del mese 1</t>
        </is>
      </c>
      <c r="C185" s="24">
        <f>$C$113*INDEX($C$95:$AL$95,1,1)</f>
        <v/>
      </c>
      <c r="D185" s="24">
        <f>$C$113*INDEX($C$95:$AL$95,1,2)</f>
        <v/>
      </c>
      <c r="E185" s="24">
        <f>$C$113*INDEX($C$95:$AL$95,1,3)</f>
        <v/>
      </c>
      <c r="F185" s="24">
        <f>$C$113*INDEX($C$95:$AL$95,1,4)</f>
        <v/>
      </c>
      <c r="G185" s="24">
        <f>$C$113*INDEX($C$95:$AL$95,1,5)</f>
        <v/>
      </c>
      <c r="H185" s="24">
        <f>$C$113*INDEX($C$95:$AL$95,1,6)</f>
        <v/>
      </c>
      <c r="I185" s="24">
        <f>$C$113*INDEX($C$95:$AL$95,1,7)</f>
        <v/>
      </c>
      <c r="J185" s="24">
        <f>$C$113*INDEX($C$95:$AL$95,1,8)</f>
        <v/>
      </c>
      <c r="K185" s="24">
        <f>$C$113*INDEX($C$95:$AL$95,1,9)</f>
        <v/>
      </c>
      <c r="L185" s="24">
        <f>$C$113*INDEX($C$95:$AL$95,1,10)</f>
        <v/>
      </c>
      <c r="M185" s="24">
        <f>$C$113*INDEX($C$95:$AL$95,1,11)</f>
        <v/>
      </c>
      <c r="N185" s="24">
        <f>$C$113*INDEX($C$95:$AL$95,1,12)</f>
        <v/>
      </c>
      <c r="O185" s="24">
        <f>$C$113*INDEX($C$95:$AL$95,1,13)</f>
        <v/>
      </c>
      <c r="P185" s="24">
        <f>$C$113*INDEX($C$95:$AL$95,1,14)</f>
        <v/>
      </c>
      <c r="Q185" s="24">
        <f>$C$113*INDEX($C$95:$AL$95,1,15)</f>
        <v/>
      </c>
      <c r="R185" s="24">
        <f>$C$113*INDEX($C$95:$AL$95,1,16)</f>
        <v/>
      </c>
      <c r="S185" s="24">
        <f>$C$113*INDEX($C$95:$AL$95,1,17)</f>
        <v/>
      </c>
      <c r="T185" s="24">
        <f>$C$113*INDEX($C$95:$AL$95,1,18)</f>
        <v/>
      </c>
      <c r="U185" s="24">
        <f>$C$113*INDEX($C$95:$AL$95,1,19)</f>
        <v/>
      </c>
      <c r="V185" s="24">
        <f>$C$113*INDEX($C$95:$AL$95,1,20)</f>
        <v/>
      </c>
      <c r="W185" s="24">
        <f>$C$113*INDEX($C$95:$AL$95,1,21)</f>
        <v/>
      </c>
      <c r="X185" s="24">
        <f>$C$113*INDEX($C$95:$AL$95,1,22)</f>
        <v/>
      </c>
      <c r="Y185" s="24">
        <f>$C$113*INDEX($C$95:$AL$95,1,23)</f>
        <v/>
      </c>
      <c r="Z185" s="24">
        <f>$C$113*INDEX($C$95:$AL$95,1,24)</f>
        <v/>
      </c>
      <c r="AA185" s="24">
        <f>$C$113*INDEX($C$95:$AL$95,1,25)</f>
        <v/>
      </c>
      <c r="AB185" s="24">
        <f>$C$113*INDEX($C$95:$AL$95,1,26)</f>
        <v/>
      </c>
      <c r="AC185" s="24">
        <f>$C$113*INDEX($C$95:$AL$95,1,27)</f>
        <v/>
      </c>
      <c r="AD185" s="24">
        <f>$C$113*INDEX($C$95:$AL$95,1,28)</f>
        <v/>
      </c>
      <c r="AE185" s="24">
        <f>$C$113*INDEX($C$95:$AL$95,1,29)</f>
        <v/>
      </c>
      <c r="AF185" s="24">
        <f>$C$113*INDEX($C$95:$AL$95,1,30)</f>
        <v/>
      </c>
    </row>
    <row r="186">
      <c r="A186" s="4" t="inlineStr">
        <is>
          <t>Coorte del mese 2</t>
        </is>
      </c>
      <c r="C186" s="24" t="n">
        <v>0</v>
      </c>
      <c r="D186" s="24">
        <f>$D$113*INDEX($C$95:$AL$95,1,1)</f>
        <v/>
      </c>
      <c r="E186" s="24">
        <f>$D$113*INDEX($C$95:$AL$95,1,2)</f>
        <v/>
      </c>
      <c r="F186" s="24">
        <f>$D$113*INDEX($C$95:$AL$95,1,3)</f>
        <v/>
      </c>
      <c r="G186" s="24">
        <f>$D$113*INDEX($C$95:$AL$95,1,4)</f>
        <v/>
      </c>
      <c r="H186" s="24">
        <f>$D$113*INDEX($C$95:$AL$95,1,5)</f>
        <v/>
      </c>
      <c r="I186" s="24">
        <f>$D$113*INDEX($C$95:$AL$95,1,6)</f>
        <v/>
      </c>
      <c r="J186" s="24">
        <f>$D$113*INDEX($C$95:$AL$95,1,7)</f>
        <v/>
      </c>
      <c r="K186" s="24">
        <f>$D$113*INDEX($C$95:$AL$95,1,8)</f>
        <v/>
      </c>
      <c r="L186" s="24">
        <f>$D$113*INDEX($C$95:$AL$95,1,9)</f>
        <v/>
      </c>
      <c r="M186" s="24">
        <f>$D$113*INDEX($C$95:$AL$95,1,10)</f>
        <v/>
      </c>
      <c r="N186" s="24">
        <f>$D$113*INDEX($C$95:$AL$95,1,11)</f>
        <v/>
      </c>
      <c r="O186" s="24">
        <f>$D$113*INDEX($C$95:$AL$95,1,12)</f>
        <v/>
      </c>
      <c r="P186" s="24">
        <f>$D$113*INDEX($C$95:$AL$95,1,13)</f>
        <v/>
      </c>
      <c r="Q186" s="24">
        <f>$D$113*INDEX($C$95:$AL$95,1,14)</f>
        <v/>
      </c>
      <c r="R186" s="24">
        <f>$D$113*INDEX($C$95:$AL$95,1,15)</f>
        <v/>
      </c>
      <c r="S186" s="24">
        <f>$D$113*INDEX($C$95:$AL$95,1,16)</f>
        <v/>
      </c>
      <c r="T186" s="24">
        <f>$D$113*INDEX($C$95:$AL$95,1,17)</f>
        <v/>
      </c>
      <c r="U186" s="24">
        <f>$D$113*INDEX($C$95:$AL$95,1,18)</f>
        <v/>
      </c>
      <c r="V186" s="24">
        <f>$D$113*INDEX($C$95:$AL$95,1,19)</f>
        <v/>
      </c>
      <c r="W186" s="24">
        <f>$D$113*INDEX($C$95:$AL$95,1,20)</f>
        <v/>
      </c>
      <c r="X186" s="24">
        <f>$D$113*INDEX($C$95:$AL$95,1,21)</f>
        <v/>
      </c>
      <c r="Y186" s="24">
        <f>$D$113*INDEX($C$95:$AL$95,1,22)</f>
        <v/>
      </c>
      <c r="Z186" s="24">
        <f>$D$113*INDEX($C$95:$AL$95,1,23)</f>
        <v/>
      </c>
      <c r="AA186" s="24">
        <f>$D$113*INDEX($C$95:$AL$95,1,24)</f>
        <v/>
      </c>
      <c r="AB186" s="24">
        <f>$D$113*INDEX($C$95:$AL$95,1,25)</f>
        <v/>
      </c>
      <c r="AC186" s="24">
        <f>$D$113*INDEX($C$95:$AL$95,1,26)</f>
        <v/>
      </c>
      <c r="AD186" s="24">
        <f>$D$113*INDEX($C$95:$AL$95,1,27)</f>
        <v/>
      </c>
      <c r="AE186" s="24">
        <f>$D$113*INDEX($C$95:$AL$95,1,28)</f>
        <v/>
      </c>
      <c r="AF186" s="24">
        <f>$D$113*INDEX($C$95:$AL$95,1,29)</f>
        <v/>
      </c>
    </row>
    <row r="187">
      <c r="A187" s="4" t="inlineStr">
        <is>
          <t>Coorte del mese 3</t>
        </is>
      </c>
      <c r="C187" s="24" t="n">
        <v>0</v>
      </c>
      <c r="D187" s="24" t="n">
        <v>0</v>
      </c>
      <c r="E187" s="24">
        <f>$E$113*INDEX($C$95:$AL$95,1,1)</f>
        <v/>
      </c>
      <c r="F187" s="24">
        <f>$E$113*INDEX($C$95:$AL$95,1,2)</f>
        <v/>
      </c>
      <c r="G187" s="24">
        <f>$E$113*INDEX($C$95:$AL$95,1,3)</f>
        <v/>
      </c>
      <c r="H187" s="24">
        <f>$E$113*INDEX($C$95:$AL$95,1,4)</f>
        <v/>
      </c>
      <c r="I187" s="24">
        <f>$E$113*INDEX($C$95:$AL$95,1,5)</f>
        <v/>
      </c>
      <c r="J187" s="24">
        <f>$E$113*INDEX($C$95:$AL$95,1,6)</f>
        <v/>
      </c>
      <c r="K187" s="24">
        <f>$E$113*INDEX($C$95:$AL$95,1,7)</f>
        <v/>
      </c>
      <c r="L187" s="24">
        <f>$E$113*INDEX($C$95:$AL$95,1,8)</f>
        <v/>
      </c>
      <c r="M187" s="24">
        <f>$E$113*INDEX($C$95:$AL$95,1,9)</f>
        <v/>
      </c>
      <c r="N187" s="24">
        <f>$E$113*INDEX($C$95:$AL$95,1,10)</f>
        <v/>
      </c>
      <c r="O187" s="24">
        <f>$E$113*INDEX($C$95:$AL$95,1,11)</f>
        <v/>
      </c>
      <c r="P187" s="24">
        <f>$E$113*INDEX($C$95:$AL$95,1,12)</f>
        <v/>
      </c>
      <c r="Q187" s="24">
        <f>$E$113*INDEX($C$95:$AL$95,1,13)</f>
        <v/>
      </c>
      <c r="R187" s="24">
        <f>$E$113*INDEX($C$95:$AL$95,1,14)</f>
        <v/>
      </c>
      <c r="S187" s="24">
        <f>$E$113*INDEX($C$95:$AL$95,1,15)</f>
        <v/>
      </c>
      <c r="T187" s="24">
        <f>$E$113*INDEX($C$95:$AL$95,1,16)</f>
        <v/>
      </c>
      <c r="U187" s="24">
        <f>$E$113*INDEX($C$95:$AL$95,1,17)</f>
        <v/>
      </c>
      <c r="V187" s="24">
        <f>$E$113*INDEX($C$95:$AL$95,1,18)</f>
        <v/>
      </c>
      <c r="W187" s="24">
        <f>$E$113*INDEX($C$95:$AL$95,1,19)</f>
        <v/>
      </c>
      <c r="X187" s="24">
        <f>$E$113*INDEX($C$95:$AL$95,1,20)</f>
        <v/>
      </c>
      <c r="Y187" s="24">
        <f>$E$113*INDEX($C$95:$AL$95,1,21)</f>
        <v/>
      </c>
      <c r="Z187" s="24">
        <f>$E$113*INDEX($C$95:$AL$95,1,22)</f>
        <v/>
      </c>
      <c r="AA187" s="24">
        <f>$E$113*INDEX($C$95:$AL$95,1,23)</f>
        <v/>
      </c>
      <c r="AB187" s="24">
        <f>$E$113*INDEX($C$95:$AL$95,1,24)</f>
        <v/>
      </c>
      <c r="AC187" s="24">
        <f>$E$113*INDEX($C$95:$AL$95,1,25)</f>
        <v/>
      </c>
      <c r="AD187" s="24">
        <f>$E$113*INDEX($C$95:$AL$95,1,26)</f>
        <v/>
      </c>
      <c r="AE187" s="24">
        <f>$E$113*INDEX($C$95:$AL$95,1,27)</f>
        <v/>
      </c>
      <c r="AF187" s="24">
        <f>$E$113*INDEX($C$95:$AL$95,1,28)</f>
        <v/>
      </c>
    </row>
    <row r="188">
      <c r="A188" s="4" t="inlineStr">
        <is>
          <t>Coorte del mese 4</t>
        </is>
      </c>
      <c r="C188" s="24" t="n">
        <v>0</v>
      </c>
      <c r="D188" s="24" t="n">
        <v>0</v>
      </c>
      <c r="E188" s="24" t="n">
        <v>0</v>
      </c>
      <c r="F188" s="24">
        <f>$F$113*INDEX($C$95:$AL$95,1,1)</f>
        <v/>
      </c>
      <c r="G188" s="24">
        <f>$F$113*INDEX($C$95:$AL$95,1,2)</f>
        <v/>
      </c>
      <c r="H188" s="24">
        <f>$F$113*INDEX($C$95:$AL$95,1,3)</f>
        <v/>
      </c>
      <c r="I188" s="24">
        <f>$F$113*INDEX($C$95:$AL$95,1,4)</f>
        <v/>
      </c>
      <c r="J188" s="24">
        <f>$F$113*INDEX($C$95:$AL$95,1,5)</f>
        <v/>
      </c>
      <c r="K188" s="24">
        <f>$F$113*INDEX($C$95:$AL$95,1,6)</f>
        <v/>
      </c>
      <c r="L188" s="24">
        <f>$F$113*INDEX($C$95:$AL$95,1,7)</f>
        <v/>
      </c>
      <c r="M188" s="24">
        <f>$F$113*INDEX($C$95:$AL$95,1,8)</f>
        <v/>
      </c>
      <c r="N188" s="24">
        <f>$F$113*INDEX($C$95:$AL$95,1,9)</f>
        <v/>
      </c>
      <c r="O188" s="24">
        <f>$F$113*INDEX($C$95:$AL$95,1,10)</f>
        <v/>
      </c>
      <c r="P188" s="24">
        <f>$F$113*INDEX($C$95:$AL$95,1,11)</f>
        <v/>
      </c>
      <c r="Q188" s="24">
        <f>$F$113*INDEX($C$95:$AL$95,1,12)</f>
        <v/>
      </c>
      <c r="R188" s="24">
        <f>$F$113*INDEX($C$95:$AL$95,1,13)</f>
        <v/>
      </c>
      <c r="S188" s="24">
        <f>$F$113*INDEX($C$95:$AL$95,1,14)</f>
        <v/>
      </c>
      <c r="T188" s="24">
        <f>$F$113*INDEX($C$95:$AL$95,1,15)</f>
        <v/>
      </c>
      <c r="U188" s="24">
        <f>$F$113*INDEX($C$95:$AL$95,1,16)</f>
        <v/>
      </c>
      <c r="V188" s="24">
        <f>$F$113*INDEX($C$95:$AL$95,1,17)</f>
        <v/>
      </c>
      <c r="W188" s="24">
        <f>$F$113*INDEX($C$95:$AL$95,1,18)</f>
        <v/>
      </c>
      <c r="X188" s="24">
        <f>$F$113*INDEX($C$95:$AL$95,1,19)</f>
        <v/>
      </c>
      <c r="Y188" s="24">
        <f>$F$113*INDEX($C$95:$AL$95,1,20)</f>
        <v/>
      </c>
      <c r="Z188" s="24">
        <f>$F$113*INDEX($C$95:$AL$95,1,21)</f>
        <v/>
      </c>
      <c r="AA188" s="24">
        <f>$F$113*INDEX($C$95:$AL$95,1,22)</f>
        <v/>
      </c>
      <c r="AB188" s="24">
        <f>$F$113*INDEX($C$95:$AL$95,1,23)</f>
        <v/>
      </c>
      <c r="AC188" s="24">
        <f>$F$113*INDEX($C$95:$AL$95,1,24)</f>
        <v/>
      </c>
      <c r="AD188" s="24">
        <f>$F$113*INDEX($C$95:$AL$95,1,25)</f>
        <v/>
      </c>
      <c r="AE188" s="24">
        <f>$F$113*INDEX($C$95:$AL$95,1,26)</f>
        <v/>
      </c>
      <c r="AF188" s="24">
        <f>$F$113*INDEX($C$95:$AL$95,1,27)</f>
        <v/>
      </c>
    </row>
    <row r="189">
      <c r="A189" s="4" t="inlineStr">
        <is>
          <t>Coorte del mese 5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>
        <f>$G$113*INDEX($C$95:$AL$95,1,1)</f>
        <v/>
      </c>
      <c r="H189" s="24">
        <f>$G$113*INDEX($C$95:$AL$95,1,2)</f>
        <v/>
      </c>
      <c r="I189" s="24">
        <f>$G$113*INDEX($C$95:$AL$95,1,3)</f>
        <v/>
      </c>
      <c r="J189" s="24">
        <f>$G$113*INDEX($C$95:$AL$95,1,4)</f>
        <v/>
      </c>
      <c r="K189" s="24">
        <f>$G$113*INDEX($C$95:$AL$95,1,5)</f>
        <v/>
      </c>
      <c r="L189" s="24">
        <f>$G$113*INDEX($C$95:$AL$95,1,6)</f>
        <v/>
      </c>
      <c r="M189" s="24">
        <f>$G$113*INDEX($C$95:$AL$95,1,7)</f>
        <v/>
      </c>
      <c r="N189" s="24">
        <f>$G$113*INDEX($C$95:$AL$95,1,8)</f>
        <v/>
      </c>
      <c r="O189" s="24">
        <f>$G$113*INDEX($C$95:$AL$95,1,9)</f>
        <v/>
      </c>
      <c r="P189" s="24">
        <f>$G$113*INDEX($C$95:$AL$95,1,10)</f>
        <v/>
      </c>
      <c r="Q189" s="24">
        <f>$G$113*INDEX($C$95:$AL$95,1,11)</f>
        <v/>
      </c>
      <c r="R189" s="24">
        <f>$G$113*INDEX($C$95:$AL$95,1,12)</f>
        <v/>
      </c>
      <c r="S189" s="24">
        <f>$G$113*INDEX($C$95:$AL$95,1,13)</f>
        <v/>
      </c>
      <c r="T189" s="24">
        <f>$G$113*INDEX($C$95:$AL$95,1,14)</f>
        <v/>
      </c>
      <c r="U189" s="24">
        <f>$G$113*INDEX($C$95:$AL$95,1,15)</f>
        <v/>
      </c>
      <c r="V189" s="24">
        <f>$G$113*INDEX($C$95:$AL$95,1,16)</f>
        <v/>
      </c>
      <c r="W189" s="24">
        <f>$G$113*INDEX($C$95:$AL$95,1,17)</f>
        <v/>
      </c>
      <c r="X189" s="24">
        <f>$G$113*INDEX($C$95:$AL$95,1,18)</f>
        <v/>
      </c>
      <c r="Y189" s="24">
        <f>$G$113*INDEX($C$95:$AL$95,1,19)</f>
        <v/>
      </c>
      <c r="Z189" s="24">
        <f>$G$113*INDEX($C$95:$AL$95,1,20)</f>
        <v/>
      </c>
      <c r="AA189" s="24">
        <f>$G$113*INDEX($C$95:$AL$95,1,21)</f>
        <v/>
      </c>
      <c r="AB189" s="24">
        <f>$G$113*INDEX($C$95:$AL$95,1,22)</f>
        <v/>
      </c>
      <c r="AC189" s="24">
        <f>$G$113*INDEX($C$95:$AL$95,1,23)</f>
        <v/>
      </c>
      <c r="AD189" s="24">
        <f>$G$113*INDEX($C$95:$AL$95,1,24)</f>
        <v/>
      </c>
      <c r="AE189" s="24">
        <f>$G$113*INDEX($C$95:$AL$95,1,25)</f>
        <v/>
      </c>
      <c r="AF189" s="24">
        <f>$G$113*INDEX($C$95:$AL$95,1,26)</f>
        <v/>
      </c>
    </row>
    <row r="190">
      <c r="A190" s="4" t="inlineStr">
        <is>
          <t>Coorte del mese 6</t>
        </is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>
        <f>$H$113*INDEX($C$95:$AL$95,1,1)</f>
        <v/>
      </c>
      <c r="I190" s="24">
        <f>$H$113*INDEX($C$95:$AL$95,1,2)</f>
        <v/>
      </c>
      <c r="J190" s="24">
        <f>$H$113*INDEX($C$95:$AL$95,1,3)</f>
        <v/>
      </c>
      <c r="K190" s="24">
        <f>$H$113*INDEX($C$95:$AL$95,1,4)</f>
        <v/>
      </c>
      <c r="L190" s="24">
        <f>$H$113*INDEX($C$95:$AL$95,1,5)</f>
        <v/>
      </c>
      <c r="M190" s="24">
        <f>$H$113*INDEX($C$95:$AL$95,1,6)</f>
        <v/>
      </c>
      <c r="N190" s="24">
        <f>$H$113*INDEX($C$95:$AL$95,1,7)</f>
        <v/>
      </c>
      <c r="O190" s="24">
        <f>$H$113*INDEX($C$95:$AL$95,1,8)</f>
        <v/>
      </c>
      <c r="P190" s="24">
        <f>$H$113*INDEX($C$95:$AL$95,1,9)</f>
        <v/>
      </c>
      <c r="Q190" s="24">
        <f>$H$113*INDEX($C$95:$AL$95,1,10)</f>
        <v/>
      </c>
      <c r="R190" s="24">
        <f>$H$113*INDEX($C$95:$AL$95,1,11)</f>
        <v/>
      </c>
      <c r="S190" s="24">
        <f>$H$113*INDEX($C$95:$AL$95,1,12)</f>
        <v/>
      </c>
      <c r="T190" s="24">
        <f>$H$113*INDEX($C$95:$AL$95,1,13)</f>
        <v/>
      </c>
      <c r="U190" s="24">
        <f>$H$113*INDEX($C$95:$AL$95,1,14)</f>
        <v/>
      </c>
      <c r="V190" s="24">
        <f>$H$113*INDEX($C$95:$AL$95,1,15)</f>
        <v/>
      </c>
      <c r="W190" s="24">
        <f>$H$113*INDEX($C$95:$AL$95,1,16)</f>
        <v/>
      </c>
      <c r="X190" s="24">
        <f>$H$113*INDEX($C$95:$AL$95,1,17)</f>
        <v/>
      </c>
      <c r="Y190" s="24">
        <f>$H$113*INDEX($C$95:$AL$95,1,18)</f>
        <v/>
      </c>
      <c r="Z190" s="24">
        <f>$H$113*INDEX($C$95:$AL$95,1,19)</f>
        <v/>
      </c>
      <c r="AA190" s="24">
        <f>$H$113*INDEX($C$95:$AL$95,1,20)</f>
        <v/>
      </c>
      <c r="AB190" s="24">
        <f>$H$113*INDEX($C$95:$AL$95,1,21)</f>
        <v/>
      </c>
      <c r="AC190" s="24">
        <f>$H$113*INDEX($C$95:$AL$95,1,22)</f>
        <v/>
      </c>
      <c r="AD190" s="24">
        <f>$H$113*INDEX($C$95:$AL$95,1,23)</f>
        <v/>
      </c>
      <c r="AE190" s="24">
        <f>$H$113*INDEX($C$95:$AL$95,1,24)</f>
        <v/>
      </c>
      <c r="AF190" s="24">
        <f>$H$113*INDEX($C$95:$AL$95,1,25)</f>
        <v/>
      </c>
    </row>
    <row r="191">
      <c r="A191" s="4" t="inlineStr">
        <is>
          <t>Coorte del mese 7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>
        <f>$I$113*INDEX($C$95:$AL$95,1,1)</f>
        <v/>
      </c>
      <c r="J191" s="24">
        <f>$I$113*INDEX($C$95:$AL$95,1,2)</f>
        <v/>
      </c>
      <c r="K191" s="24">
        <f>$I$113*INDEX($C$95:$AL$95,1,3)</f>
        <v/>
      </c>
      <c r="L191" s="24">
        <f>$I$113*INDEX($C$95:$AL$95,1,4)</f>
        <v/>
      </c>
      <c r="M191" s="24">
        <f>$I$113*INDEX($C$95:$AL$95,1,5)</f>
        <v/>
      </c>
      <c r="N191" s="24">
        <f>$I$113*INDEX($C$95:$AL$95,1,6)</f>
        <v/>
      </c>
      <c r="O191" s="24">
        <f>$I$113*INDEX($C$95:$AL$95,1,7)</f>
        <v/>
      </c>
      <c r="P191" s="24">
        <f>$I$113*INDEX($C$95:$AL$95,1,8)</f>
        <v/>
      </c>
      <c r="Q191" s="24">
        <f>$I$113*INDEX($C$95:$AL$95,1,9)</f>
        <v/>
      </c>
      <c r="R191" s="24">
        <f>$I$113*INDEX($C$95:$AL$95,1,10)</f>
        <v/>
      </c>
      <c r="S191" s="24">
        <f>$I$113*INDEX($C$95:$AL$95,1,11)</f>
        <v/>
      </c>
      <c r="T191" s="24">
        <f>$I$113*INDEX($C$95:$AL$95,1,12)</f>
        <v/>
      </c>
      <c r="U191" s="24">
        <f>$I$113*INDEX($C$95:$AL$95,1,13)</f>
        <v/>
      </c>
      <c r="V191" s="24">
        <f>$I$113*INDEX($C$95:$AL$95,1,14)</f>
        <v/>
      </c>
      <c r="W191" s="24">
        <f>$I$113*INDEX($C$95:$AL$95,1,15)</f>
        <v/>
      </c>
      <c r="X191" s="24">
        <f>$I$113*INDEX($C$95:$AL$95,1,16)</f>
        <v/>
      </c>
      <c r="Y191" s="24">
        <f>$I$113*INDEX($C$95:$AL$95,1,17)</f>
        <v/>
      </c>
      <c r="Z191" s="24">
        <f>$I$113*INDEX($C$95:$AL$95,1,18)</f>
        <v/>
      </c>
      <c r="AA191" s="24">
        <f>$I$113*INDEX($C$95:$AL$95,1,19)</f>
        <v/>
      </c>
      <c r="AB191" s="24">
        <f>$I$113*INDEX($C$95:$AL$95,1,20)</f>
        <v/>
      </c>
      <c r="AC191" s="24">
        <f>$I$113*INDEX($C$95:$AL$95,1,21)</f>
        <v/>
      </c>
      <c r="AD191" s="24">
        <f>$I$113*INDEX($C$95:$AL$95,1,22)</f>
        <v/>
      </c>
      <c r="AE191" s="24">
        <f>$I$113*INDEX($C$95:$AL$95,1,23)</f>
        <v/>
      </c>
      <c r="AF191" s="24">
        <f>$I$113*INDEX($C$95:$AL$95,1,24)</f>
        <v/>
      </c>
    </row>
    <row r="192">
      <c r="A192" s="4" t="inlineStr">
        <is>
          <t>Coorte del mese 8</t>
        </is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>
        <f>$J$113*INDEX($C$95:$AL$95,1,1)</f>
        <v/>
      </c>
      <c r="K192" s="24">
        <f>$J$113*INDEX($C$95:$AL$95,1,2)</f>
        <v/>
      </c>
      <c r="L192" s="24">
        <f>$J$113*INDEX($C$95:$AL$95,1,3)</f>
        <v/>
      </c>
      <c r="M192" s="24">
        <f>$J$113*INDEX($C$95:$AL$95,1,4)</f>
        <v/>
      </c>
      <c r="N192" s="24">
        <f>$J$113*INDEX($C$95:$AL$95,1,5)</f>
        <v/>
      </c>
      <c r="O192" s="24">
        <f>$J$113*INDEX($C$95:$AL$95,1,6)</f>
        <v/>
      </c>
      <c r="P192" s="24">
        <f>$J$113*INDEX($C$95:$AL$95,1,7)</f>
        <v/>
      </c>
      <c r="Q192" s="24">
        <f>$J$113*INDEX($C$95:$AL$95,1,8)</f>
        <v/>
      </c>
      <c r="R192" s="24">
        <f>$J$113*INDEX($C$95:$AL$95,1,9)</f>
        <v/>
      </c>
      <c r="S192" s="24">
        <f>$J$113*INDEX($C$95:$AL$95,1,10)</f>
        <v/>
      </c>
      <c r="T192" s="24">
        <f>$J$113*INDEX($C$95:$AL$95,1,11)</f>
        <v/>
      </c>
      <c r="U192" s="24">
        <f>$J$113*INDEX($C$95:$AL$95,1,12)</f>
        <v/>
      </c>
      <c r="V192" s="24">
        <f>$J$113*INDEX($C$95:$AL$95,1,13)</f>
        <v/>
      </c>
      <c r="W192" s="24">
        <f>$J$113*INDEX($C$95:$AL$95,1,14)</f>
        <v/>
      </c>
      <c r="X192" s="24">
        <f>$J$113*INDEX($C$95:$AL$95,1,15)</f>
        <v/>
      </c>
      <c r="Y192" s="24">
        <f>$J$113*INDEX($C$95:$AL$95,1,16)</f>
        <v/>
      </c>
      <c r="Z192" s="24">
        <f>$J$113*INDEX($C$95:$AL$95,1,17)</f>
        <v/>
      </c>
      <c r="AA192" s="24">
        <f>$J$113*INDEX($C$95:$AL$95,1,18)</f>
        <v/>
      </c>
      <c r="AB192" s="24">
        <f>$J$113*INDEX($C$95:$AL$95,1,19)</f>
        <v/>
      </c>
      <c r="AC192" s="24">
        <f>$J$113*INDEX($C$95:$AL$95,1,20)</f>
        <v/>
      </c>
      <c r="AD192" s="24">
        <f>$J$113*INDEX($C$95:$AL$95,1,21)</f>
        <v/>
      </c>
      <c r="AE192" s="24">
        <f>$J$113*INDEX($C$95:$AL$95,1,22)</f>
        <v/>
      </c>
      <c r="AF192" s="24">
        <f>$J$113*INDEX($C$95:$AL$95,1,23)</f>
        <v/>
      </c>
    </row>
    <row r="193">
      <c r="A193" s="4" t="inlineStr">
        <is>
          <t>Coorte del mese 9</t>
        </is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>
        <f>$K$113*INDEX($C$95:$AL$95,1,1)</f>
        <v/>
      </c>
      <c r="L193" s="24">
        <f>$K$113*INDEX($C$95:$AL$95,1,2)</f>
        <v/>
      </c>
      <c r="M193" s="24">
        <f>$K$113*INDEX($C$95:$AL$95,1,3)</f>
        <v/>
      </c>
      <c r="N193" s="24">
        <f>$K$113*INDEX($C$95:$AL$95,1,4)</f>
        <v/>
      </c>
      <c r="O193" s="24">
        <f>$K$113*INDEX($C$95:$AL$95,1,5)</f>
        <v/>
      </c>
      <c r="P193" s="24">
        <f>$K$113*INDEX($C$95:$AL$95,1,6)</f>
        <v/>
      </c>
      <c r="Q193" s="24">
        <f>$K$113*INDEX($C$95:$AL$95,1,7)</f>
        <v/>
      </c>
      <c r="R193" s="24">
        <f>$K$113*INDEX($C$95:$AL$95,1,8)</f>
        <v/>
      </c>
      <c r="S193" s="24">
        <f>$K$113*INDEX($C$95:$AL$95,1,9)</f>
        <v/>
      </c>
      <c r="T193" s="24">
        <f>$K$113*INDEX($C$95:$AL$95,1,10)</f>
        <v/>
      </c>
      <c r="U193" s="24">
        <f>$K$113*INDEX($C$95:$AL$95,1,11)</f>
        <v/>
      </c>
      <c r="V193" s="24">
        <f>$K$113*INDEX($C$95:$AL$95,1,12)</f>
        <v/>
      </c>
      <c r="W193" s="24">
        <f>$K$113*INDEX($C$95:$AL$95,1,13)</f>
        <v/>
      </c>
      <c r="X193" s="24">
        <f>$K$113*INDEX($C$95:$AL$95,1,14)</f>
        <v/>
      </c>
      <c r="Y193" s="24">
        <f>$K$113*INDEX($C$95:$AL$95,1,15)</f>
        <v/>
      </c>
      <c r="Z193" s="24">
        <f>$K$113*INDEX($C$95:$AL$95,1,16)</f>
        <v/>
      </c>
      <c r="AA193" s="24">
        <f>$K$113*INDEX($C$95:$AL$95,1,17)</f>
        <v/>
      </c>
      <c r="AB193" s="24">
        <f>$K$113*INDEX($C$95:$AL$95,1,18)</f>
        <v/>
      </c>
      <c r="AC193" s="24">
        <f>$K$113*INDEX($C$95:$AL$95,1,19)</f>
        <v/>
      </c>
      <c r="AD193" s="24">
        <f>$K$113*INDEX($C$95:$AL$95,1,20)</f>
        <v/>
      </c>
      <c r="AE193" s="24">
        <f>$K$113*INDEX($C$95:$AL$95,1,21)</f>
        <v/>
      </c>
      <c r="AF193" s="24">
        <f>$K$113*INDEX($C$95:$AL$95,1,22)</f>
        <v/>
      </c>
    </row>
    <row r="194">
      <c r="A194" s="4" t="inlineStr">
        <is>
          <t>Coorte del mese 10</t>
        </is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>
        <f>$L$113*INDEX($C$95:$AL$95,1,1)</f>
        <v/>
      </c>
      <c r="M194" s="24">
        <f>$L$113*INDEX($C$95:$AL$95,1,2)</f>
        <v/>
      </c>
      <c r="N194" s="24">
        <f>$L$113*INDEX($C$95:$AL$95,1,3)</f>
        <v/>
      </c>
      <c r="O194" s="24">
        <f>$L$113*INDEX($C$95:$AL$95,1,4)</f>
        <v/>
      </c>
      <c r="P194" s="24">
        <f>$L$113*INDEX($C$95:$AL$95,1,5)</f>
        <v/>
      </c>
      <c r="Q194" s="24">
        <f>$L$113*INDEX($C$95:$AL$95,1,6)</f>
        <v/>
      </c>
      <c r="R194" s="24">
        <f>$L$113*INDEX($C$95:$AL$95,1,7)</f>
        <v/>
      </c>
      <c r="S194" s="24">
        <f>$L$113*INDEX($C$95:$AL$95,1,8)</f>
        <v/>
      </c>
      <c r="T194" s="24">
        <f>$L$113*INDEX($C$95:$AL$95,1,9)</f>
        <v/>
      </c>
      <c r="U194" s="24">
        <f>$L$113*INDEX($C$95:$AL$95,1,10)</f>
        <v/>
      </c>
      <c r="V194" s="24">
        <f>$L$113*INDEX($C$95:$AL$95,1,11)</f>
        <v/>
      </c>
      <c r="W194" s="24">
        <f>$L$113*INDEX($C$95:$AL$95,1,12)</f>
        <v/>
      </c>
      <c r="X194" s="24">
        <f>$L$113*INDEX($C$95:$AL$95,1,13)</f>
        <v/>
      </c>
      <c r="Y194" s="24">
        <f>$L$113*INDEX($C$95:$AL$95,1,14)</f>
        <v/>
      </c>
      <c r="Z194" s="24">
        <f>$L$113*INDEX($C$95:$AL$95,1,15)</f>
        <v/>
      </c>
      <c r="AA194" s="24">
        <f>$L$113*INDEX($C$95:$AL$95,1,16)</f>
        <v/>
      </c>
      <c r="AB194" s="24">
        <f>$L$113*INDEX($C$95:$AL$95,1,17)</f>
        <v/>
      </c>
      <c r="AC194" s="24">
        <f>$L$113*INDEX($C$95:$AL$95,1,18)</f>
        <v/>
      </c>
      <c r="AD194" s="24">
        <f>$L$113*INDEX($C$95:$AL$95,1,19)</f>
        <v/>
      </c>
      <c r="AE194" s="24">
        <f>$L$113*INDEX($C$95:$AL$95,1,20)</f>
        <v/>
      </c>
      <c r="AF194" s="24">
        <f>$L$113*INDEX($C$95:$AL$95,1,21)</f>
        <v/>
      </c>
    </row>
    <row r="195">
      <c r="A195" s="4" t="inlineStr">
        <is>
          <t>Coorte del mese 11</t>
        </is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>
        <f>$M$113*INDEX($C$95:$AL$95,1,1)</f>
        <v/>
      </c>
      <c r="N195" s="24">
        <f>$M$113*INDEX($C$95:$AL$95,1,2)</f>
        <v/>
      </c>
      <c r="O195" s="24">
        <f>$M$113*INDEX($C$95:$AL$95,1,3)</f>
        <v/>
      </c>
      <c r="P195" s="24">
        <f>$M$113*INDEX($C$95:$AL$95,1,4)</f>
        <v/>
      </c>
      <c r="Q195" s="24">
        <f>$M$113*INDEX($C$95:$AL$95,1,5)</f>
        <v/>
      </c>
      <c r="R195" s="24">
        <f>$M$113*INDEX($C$95:$AL$95,1,6)</f>
        <v/>
      </c>
      <c r="S195" s="24">
        <f>$M$113*INDEX($C$95:$AL$95,1,7)</f>
        <v/>
      </c>
      <c r="T195" s="24">
        <f>$M$113*INDEX($C$95:$AL$95,1,8)</f>
        <v/>
      </c>
      <c r="U195" s="24">
        <f>$M$113*INDEX($C$95:$AL$95,1,9)</f>
        <v/>
      </c>
      <c r="V195" s="24">
        <f>$M$113*INDEX($C$95:$AL$95,1,10)</f>
        <v/>
      </c>
      <c r="W195" s="24">
        <f>$M$113*INDEX($C$95:$AL$95,1,11)</f>
        <v/>
      </c>
      <c r="X195" s="24">
        <f>$M$113*INDEX($C$95:$AL$95,1,12)</f>
        <v/>
      </c>
      <c r="Y195" s="24">
        <f>$M$113*INDEX($C$95:$AL$95,1,13)</f>
        <v/>
      </c>
      <c r="Z195" s="24">
        <f>$M$113*INDEX($C$95:$AL$95,1,14)</f>
        <v/>
      </c>
      <c r="AA195" s="24">
        <f>$M$113*INDEX($C$95:$AL$95,1,15)</f>
        <v/>
      </c>
      <c r="AB195" s="24">
        <f>$M$113*INDEX($C$95:$AL$95,1,16)</f>
        <v/>
      </c>
      <c r="AC195" s="24">
        <f>$M$113*INDEX($C$95:$AL$95,1,17)</f>
        <v/>
      </c>
      <c r="AD195" s="24">
        <f>$M$113*INDEX($C$95:$AL$95,1,18)</f>
        <v/>
      </c>
      <c r="AE195" s="24">
        <f>$M$113*INDEX($C$95:$AL$95,1,19)</f>
        <v/>
      </c>
      <c r="AF195" s="24">
        <f>$M$113*INDEX($C$95:$AL$95,1,20)</f>
        <v/>
      </c>
    </row>
    <row r="196">
      <c r="A196" s="4" t="inlineStr">
        <is>
          <t>Coorte del mese 12</t>
        </is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>
        <f>$N$113*INDEX($C$95:$AL$95,1,1)</f>
        <v/>
      </c>
      <c r="O196" s="24">
        <f>$N$113*INDEX($C$95:$AL$95,1,2)</f>
        <v/>
      </c>
      <c r="P196" s="24">
        <f>$N$113*INDEX($C$95:$AL$95,1,3)</f>
        <v/>
      </c>
      <c r="Q196" s="24">
        <f>$N$113*INDEX($C$95:$AL$95,1,4)</f>
        <v/>
      </c>
      <c r="R196" s="24">
        <f>$N$113*INDEX($C$95:$AL$95,1,5)</f>
        <v/>
      </c>
      <c r="S196" s="24">
        <f>$N$113*INDEX($C$95:$AL$95,1,6)</f>
        <v/>
      </c>
      <c r="T196" s="24">
        <f>$N$113*INDEX($C$95:$AL$95,1,7)</f>
        <v/>
      </c>
      <c r="U196" s="24">
        <f>$N$113*INDEX($C$95:$AL$95,1,8)</f>
        <v/>
      </c>
      <c r="V196" s="24">
        <f>$N$113*INDEX($C$95:$AL$95,1,9)</f>
        <v/>
      </c>
      <c r="W196" s="24">
        <f>$N$113*INDEX($C$95:$AL$95,1,10)</f>
        <v/>
      </c>
      <c r="X196" s="24">
        <f>$N$113*INDEX($C$95:$AL$95,1,11)</f>
        <v/>
      </c>
      <c r="Y196" s="24">
        <f>$N$113*INDEX($C$95:$AL$95,1,12)</f>
        <v/>
      </c>
      <c r="Z196" s="24">
        <f>$N$113*INDEX($C$95:$AL$95,1,13)</f>
        <v/>
      </c>
      <c r="AA196" s="24">
        <f>$N$113*INDEX($C$95:$AL$95,1,14)</f>
        <v/>
      </c>
      <c r="AB196" s="24">
        <f>$N$113*INDEX($C$95:$AL$95,1,15)</f>
        <v/>
      </c>
      <c r="AC196" s="24">
        <f>$N$113*INDEX($C$95:$AL$95,1,16)</f>
        <v/>
      </c>
      <c r="AD196" s="24">
        <f>$N$113*INDEX($C$95:$AL$95,1,17)</f>
        <v/>
      </c>
      <c r="AE196" s="24">
        <f>$N$113*INDEX($C$95:$AL$95,1,18)</f>
        <v/>
      </c>
      <c r="AF196" s="24">
        <f>$N$113*INDEX($C$95:$AL$95,1,19)</f>
        <v/>
      </c>
    </row>
    <row r="197">
      <c r="A197" s="4" t="inlineStr">
        <is>
          <t>Coorte del mese 13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>
        <f>$O$113*INDEX($C$95:$AL$95,1,1)</f>
        <v/>
      </c>
      <c r="P197" s="24">
        <f>$O$113*INDEX($C$95:$AL$95,1,2)</f>
        <v/>
      </c>
      <c r="Q197" s="24">
        <f>$O$113*INDEX($C$95:$AL$95,1,3)</f>
        <v/>
      </c>
      <c r="R197" s="24">
        <f>$O$113*INDEX($C$95:$AL$95,1,4)</f>
        <v/>
      </c>
      <c r="S197" s="24">
        <f>$O$113*INDEX($C$95:$AL$95,1,5)</f>
        <v/>
      </c>
      <c r="T197" s="24">
        <f>$O$113*INDEX($C$95:$AL$95,1,6)</f>
        <v/>
      </c>
      <c r="U197" s="24">
        <f>$O$113*INDEX($C$95:$AL$95,1,7)</f>
        <v/>
      </c>
      <c r="V197" s="24">
        <f>$O$113*INDEX($C$95:$AL$95,1,8)</f>
        <v/>
      </c>
      <c r="W197" s="24">
        <f>$O$113*INDEX($C$95:$AL$95,1,9)</f>
        <v/>
      </c>
      <c r="X197" s="24">
        <f>$O$113*INDEX($C$95:$AL$95,1,10)</f>
        <v/>
      </c>
      <c r="Y197" s="24">
        <f>$O$113*INDEX($C$95:$AL$95,1,11)</f>
        <v/>
      </c>
      <c r="Z197" s="24">
        <f>$O$113*INDEX($C$95:$AL$95,1,12)</f>
        <v/>
      </c>
      <c r="AA197" s="24">
        <f>$O$113*INDEX($C$95:$AL$95,1,13)</f>
        <v/>
      </c>
      <c r="AB197" s="24">
        <f>$O$113*INDEX($C$95:$AL$95,1,14)</f>
        <v/>
      </c>
      <c r="AC197" s="24">
        <f>$O$113*INDEX($C$95:$AL$95,1,15)</f>
        <v/>
      </c>
      <c r="AD197" s="24">
        <f>$O$113*INDEX($C$95:$AL$95,1,16)</f>
        <v/>
      </c>
      <c r="AE197" s="24">
        <f>$O$113*INDEX($C$95:$AL$95,1,17)</f>
        <v/>
      </c>
      <c r="AF197" s="24">
        <f>$O$113*INDEX($C$95:$AL$95,1,18)</f>
        <v/>
      </c>
    </row>
    <row r="198">
      <c r="A198" s="4" t="inlineStr">
        <is>
          <t>Coorte del mese 14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>
        <f>$P$113*INDEX($C$95:$AL$95,1,1)</f>
        <v/>
      </c>
      <c r="Q198" s="24">
        <f>$P$113*INDEX($C$95:$AL$95,1,2)</f>
        <v/>
      </c>
      <c r="R198" s="24">
        <f>$P$113*INDEX($C$95:$AL$95,1,3)</f>
        <v/>
      </c>
      <c r="S198" s="24">
        <f>$P$113*INDEX($C$95:$AL$95,1,4)</f>
        <v/>
      </c>
      <c r="T198" s="24">
        <f>$P$113*INDEX($C$95:$AL$95,1,5)</f>
        <v/>
      </c>
      <c r="U198" s="24">
        <f>$P$113*INDEX($C$95:$AL$95,1,6)</f>
        <v/>
      </c>
      <c r="V198" s="24">
        <f>$P$113*INDEX($C$95:$AL$95,1,7)</f>
        <v/>
      </c>
      <c r="W198" s="24">
        <f>$P$113*INDEX($C$95:$AL$95,1,8)</f>
        <v/>
      </c>
      <c r="X198" s="24">
        <f>$P$113*INDEX($C$95:$AL$95,1,9)</f>
        <v/>
      </c>
      <c r="Y198" s="24">
        <f>$P$113*INDEX($C$95:$AL$95,1,10)</f>
        <v/>
      </c>
      <c r="Z198" s="24">
        <f>$P$113*INDEX($C$95:$AL$95,1,11)</f>
        <v/>
      </c>
      <c r="AA198" s="24">
        <f>$P$113*INDEX($C$95:$AL$95,1,12)</f>
        <v/>
      </c>
      <c r="AB198" s="24">
        <f>$P$113*INDEX($C$95:$AL$95,1,13)</f>
        <v/>
      </c>
      <c r="AC198" s="24">
        <f>$P$113*INDEX($C$95:$AL$95,1,14)</f>
        <v/>
      </c>
      <c r="AD198" s="24">
        <f>$P$113*INDEX($C$95:$AL$95,1,15)</f>
        <v/>
      </c>
      <c r="AE198" s="24">
        <f>$P$113*INDEX($C$95:$AL$95,1,16)</f>
        <v/>
      </c>
      <c r="AF198" s="24">
        <f>$P$113*INDEX($C$95:$AL$95,1,17)</f>
        <v/>
      </c>
    </row>
    <row r="199">
      <c r="A199" s="4" t="inlineStr">
        <is>
          <t>Coorte del mese 15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>
        <f>$Q$113*INDEX($C$95:$AL$95,1,1)</f>
        <v/>
      </c>
      <c r="R199" s="24">
        <f>$Q$113*INDEX($C$95:$AL$95,1,2)</f>
        <v/>
      </c>
      <c r="S199" s="24">
        <f>$Q$113*INDEX($C$95:$AL$95,1,3)</f>
        <v/>
      </c>
      <c r="T199" s="24">
        <f>$Q$113*INDEX($C$95:$AL$95,1,4)</f>
        <v/>
      </c>
      <c r="U199" s="24">
        <f>$Q$113*INDEX($C$95:$AL$95,1,5)</f>
        <v/>
      </c>
      <c r="V199" s="24">
        <f>$Q$113*INDEX($C$95:$AL$95,1,6)</f>
        <v/>
      </c>
      <c r="W199" s="24">
        <f>$Q$113*INDEX($C$95:$AL$95,1,7)</f>
        <v/>
      </c>
      <c r="X199" s="24">
        <f>$Q$113*INDEX($C$95:$AL$95,1,8)</f>
        <v/>
      </c>
      <c r="Y199" s="24">
        <f>$Q$113*INDEX($C$95:$AL$95,1,9)</f>
        <v/>
      </c>
      <c r="Z199" s="24">
        <f>$Q$113*INDEX($C$95:$AL$95,1,10)</f>
        <v/>
      </c>
      <c r="AA199" s="24">
        <f>$Q$113*INDEX($C$95:$AL$95,1,11)</f>
        <v/>
      </c>
      <c r="AB199" s="24">
        <f>$Q$113*INDEX($C$95:$AL$95,1,12)</f>
        <v/>
      </c>
      <c r="AC199" s="24">
        <f>$Q$113*INDEX($C$95:$AL$95,1,13)</f>
        <v/>
      </c>
      <c r="AD199" s="24">
        <f>$Q$113*INDEX($C$95:$AL$95,1,14)</f>
        <v/>
      </c>
      <c r="AE199" s="24">
        <f>$Q$113*INDEX($C$95:$AL$95,1,15)</f>
        <v/>
      </c>
      <c r="AF199" s="24">
        <f>$Q$113*INDEX($C$95:$AL$95,1,16)</f>
        <v/>
      </c>
    </row>
    <row r="200">
      <c r="A200" s="4" t="inlineStr">
        <is>
          <t>Coorte del mese 16</t>
        </is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>
        <f>$R$113*INDEX($C$95:$AL$95,1,1)</f>
        <v/>
      </c>
      <c r="S200" s="24">
        <f>$R$113*INDEX($C$95:$AL$95,1,2)</f>
        <v/>
      </c>
      <c r="T200" s="24">
        <f>$R$113*INDEX($C$95:$AL$95,1,3)</f>
        <v/>
      </c>
      <c r="U200" s="24">
        <f>$R$113*INDEX($C$95:$AL$95,1,4)</f>
        <v/>
      </c>
      <c r="V200" s="24">
        <f>$R$113*INDEX($C$95:$AL$95,1,5)</f>
        <v/>
      </c>
      <c r="W200" s="24">
        <f>$R$113*INDEX($C$95:$AL$95,1,6)</f>
        <v/>
      </c>
      <c r="X200" s="24">
        <f>$R$113*INDEX($C$95:$AL$95,1,7)</f>
        <v/>
      </c>
      <c r="Y200" s="24">
        <f>$R$113*INDEX($C$95:$AL$95,1,8)</f>
        <v/>
      </c>
      <c r="Z200" s="24">
        <f>$R$113*INDEX($C$95:$AL$95,1,9)</f>
        <v/>
      </c>
      <c r="AA200" s="24">
        <f>$R$113*INDEX($C$95:$AL$95,1,10)</f>
        <v/>
      </c>
      <c r="AB200" s="24">
        <f>$R$113*INDEX($C$95:$AL$95,1,11)</f>
        <v/>
      </c>
      <c r="AC200" s="24">
        <f>$R$113*INDEX($C$95:$AL$95,1,12)</f>
        <v/>
      </c>
      <c r="AD200" s="24">
        <f>$R$113*INDEX($C$95:$AL$95,1,13)</f>
        <v/>
      </c>
      <c r="AE200" s="24">
        <f>$R$113*INDEX($C$95:$AL$95,1,14)</f>
        <v/>
      </c>
      <c r="AF200" s="24">
        <f>$R$113*INDEX($C$95:$AL$95,1,15)</f>
        <v/>
      </c>
    </row>
    <row r="201">
      <c r="A201" s="4" t="inlineStr">
        <is>
          <t>Coorte del mese 17</t>
        </is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>
        <f>$S$113*INDEX($C$95:$AL$95,1,1)</f>
        <v/>
      </c>
      <c r="T201" s="24">
        <f>$S$113*INDEX($C$95:$AL$95,1,2)</f>
        <v/>
      </c>
      <c r="U201" s="24">
        <f>$S$113*INDEX($C$95:$AL$95,1,3)</f>
        <v/>
      </c>
      <c r="V201" s="24">
        <f>$S$113*INDEX($C$95:$AL$95,1,4)</f>
        <v/>
      </c>
      <c r="W201" s="24">
        <f>$S$113*INDEX($C$95:$AL$95,1,5)</f>
        <v/>
      </c>
      <c r="X201" s="24">
        <f>$S$113*INDEX($C$95:$AL$95,1,6)</f>
        <v/>
      </c>
      <c r="Y201" s="24">
        <f>$S$113*INDEX($C$95:$AL$95,1,7)</f>
        <v/>
      </c>
      <c r="Z201" s="24">
        <f>$S$113*INDEX($C$95:$AL$95,1,8)</f>
        <v/>
      </c>
      <c r="AA201" s="24">
        <f>$S$113*INDEX($C$95:$AL$95,1,9)</f>
        <v/>
      </c>
      <c r="AB201" s="24">
        <f>$S$113*INDEX($C$95:$AL$95,1,10)</f>
        <v/>
      </c>
      <c r="AC201" s="24">
        <f>$S$113*INDEX($C$95:$AL$95,1,11)</f>
        <v/>
      </c>
      <c r="AD201" s="24">
        <f>$S$113*INDEX($C$95:$AL$95,1,12)</f>
        <v/>
      </c>
      <c r="AE201" s="24">
        <f>$S$113*INDEX($C$95:$AL$95,1,13)</f>
        <v/>
      </c>
      <c r="AF201" s="24">
        <f>$S$113*INDEX($C$95:$AL$95,1,14)</f>
        <v/>
      </c>
    </row>
    <row r="202">
      <c r="A202" s="4" t="inlineStr">
        <is>
          <t>Coorte del mese 18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>
        <f>$T$113*INDEX($C$95:$AL$95,1,1)</f>
        <v/>
      </c>
      <c r="U202" s="24">
        <f>$T$113*INDEX($C$95:$AL$95,1,2)</f>
        <v/>
      </c>
      <c r="V202" s="24">
        <f>$T$113*INDEX($C$95:$AL$95,1,3)</f>
        <v/>
      </c>
      <c r="W202" s="24">
        <f>$T$113*INDEX($C$95:$AL$95,1,4)</f>
        <v/>
      </c>
      <c r="X202" s="24">
        <f>$T$113*INDEX($C$95:$AL$95,1,5)</f>
        <v/>
      </c>
      <c r="Y202" s="24">
        <f>$T$113*INDEX($C$95:$AL$95,1,6)</f>
        <v/>
      </c>
      <c r="Z202" s="24">
        <f>$T$113*INDEX($C$95:$AL$95,1,7)</f>
        <v/>
      </c>
      <c r="AA202" s="24">
        <f>$T$113*INDEX($C$95:$AL$95,1,8)</f>
        <v/>
      </c>
      <c r="AB202" s="24">
        <f>$T$113*INDEX($C$95:$AL$95,1,9)</f>
        <v/>
      </c>
      <c r="AC202" s="24">
        <f>$T$113*INDEX($C$95:$AL$95,1,10)</f>
        <v/>
      </c>
      <c r="AD202" s="24">
        <f>$T$113*INDEX($C$95:$AL$95,1,11)</f>
        <v/>
      </c>
      <c r="AE202" s="24">
        <f>$T$113*INDEX($C$95:$AL$95,1,12)</f>
        <v/>
      </c>
      <c r="AF202" s="24">
        <f>$T$113*INDEX($C$95:$AL$95,1,13)</f>
        <v/>
      </c>
    </row>
    <row r="203">
      <c r="A203" s="4" t="inlineStr">
        <is>
          <t>Coorte del mese 19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>
        <f>$U$113*INDEX($C$95:$AL$95,1,1)</f>
        <v/>
      </c>
      <c r="V203" s="24">
        <f>$U$113*INDEX($C$95:$AL$95,1,2)</f>
        <v/>
      </c>
      <c r="W203" s="24">
        <f>$U$113*INDEX($C$95:$AL$95,1,3)</f>
        <v/>
      </c>
      <c r="X203" s="24">
        <f>$U$113*INDEX($C$95:$AL$95,1,4)</f>
        <v/>
      </c>
      <c r="Y203" s="24">
        <f>$U$113*INDEX($C$95:$AL$95,1,5)</f>
        <v/>
      </c>
      <c r="Z203" s="24">
        <f>$U$113*INDEX($C$95:$AL$95,1,6)</f>
        <v/>
      </c>
      <c r="AA203" s="24">
        <f>$U$113*INDEX($C$95:$AL$95,1,7)</f>
        <v/>
      </c>
      <c r="AB203" s="24">
        <f>$U$113*INDEX($C$95:$AL$95,1,8)</f>
        <v/>
      </c>
      <c r="AC203" s="24">
        <f>$U$113*INDEX($C$95:$AL$95,1,9)</f>
        <v/>
      </c>
      <c r="AD203" s="24">
        <f>$U$113*INDEX($C$95:$AL$95,1,10)</f>
        <v/>
      </c>
      <c r="AE203" s="24">
        <f>$U$113*INDEX($C$95:$AL$95,1,11)</f>
        <v/>
      </c>
      <c r="AF203" s="24">
        <f>$U$113*INDEX($C$95:$AL$95,1,12)</f>
        <v/>
      </c>
    </row>
    <row r="204">
      <c r="A204" s="4" t="inlineStr">
        <is>
          <t>Coorte del mese 20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>
        <f>$V$113*INDEX($C$95:$AL$95,1,1)</f>
        <v/>
      </c>
      <c r="W204" s="24">
        <f>$V$113*INDEX($C$95:$AL$95,1,2)</f>
        <v/>
      </c>
      <c r="X204" s="24">
        <f>$V$113*INDEX($C$95:$AL$95,1,3)</f>
        <v/>
      </c>
      <c r="Y204" s="24">
        <f>$V$113*INDEX($C$95:$AL$95,1,4)</f>
        <v/>
      </c>
      <c r="Z204" s="24">
        <f>$V$113*INDEX($C$95:$AL$95,1,5)</f>
        <v/>
      </c>
      <c r="AA204" s="24">
        <f>$V$113*INDEX($C$95:$AL$95,1,6)</f>
        <v/>
      </c>
      <c r="AB204" s="24">
        <f>$V$113*INDEX($C$95:$AL$95,1,7)</f>
        <v/>
      </c>
      <c r="AC204" s="24">
        <f>$V$113*INDEX($C$95:$AL$95,1,8)</f>
        <v/>
      </c>
      <c r="AD204" s="24">
        <f>$V$113*INDEX($C$95:$AL$95,1,9)</f>
        <v/>
      </c>
      <c r="AE204" s="24">
        <f>$V$113*INDEX($C$95:$AL$95,1,10)</f>
        <v/>
      </c>
      <c r="AF204" s="24">
        <f>$V$113*INDEX($C$95:$AL$95,1,11)</f>
        <v/>
      </c>
    </row>
    <row r="205">
      <c r="A205" s="4" t="inlineStr">
        <is>
          <t>Coorte del mese 21</t>
        </is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>
        <f>$W$113*INDEX($C$95:$AL$95,1,1)</f>
        <v/>
      </c>
      <c r="X205" s="24">
        <f>$W$113*INDEX($C$95:$AL$95,1,2)</f>
        <v/>
      </c>
      <c r="Y205" s="24">
        <f>$W$113*INDEX($C$95:$AL$95,1,3)</f>
        <v/>
      </c>
      <c r="Z205" s="24">
        <f>$W$113*INDEX($C$95:$AL$95,1,4)</f>
        <v/>
      </c>
      <c r="AA205" s="24">
        <f>$W$113*INDEX($C$95:$AL$95,1,5)</f>
        <v/>
      </c>
      <c r="AB205" s="24">
        <f>$W$113*INDEX($C$95:$AL$95,1,6)</f>
        <v/>
      </c>
      <c r="AC205" s="24">
        <f>$W$113*INDEX($C$95:$AL$95,1,7)</f>
        <v/>
      </c>
      <c r="AD205" s="24">
        <f>$W$113*INDEX($C$95:$AL$95,1,8)</f>
        <v/>
      </c>
      <c r="AE205" s="24">
        <f>$W$113*INDEX($C$95:$AL$95,1,9)</f>
        <v/>
      </c>
      <c r="AF205" s="24">
        <f>$W$113*INDEX($C$95:$AL$95,1,10)</f>
        <v/>
      </c>
    </row>
    <row r="206">
      <c r="A206" s="4" t="inlineStr">
        <is>
          <t>Coorte del mese 22</t>
        </is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>
        <f>$X$113*INDEX($C$95:$AL$95,1,1)</f>
        <v/>
      </c>
      <c r="Y206" s="24">
        <f>$X$113*INDEX($C$95:$AL$95,1,2)</f>
        <v/>
      </c>
      <c r="Z206" s="24">
        <f>$X$113*INDEX($C$95:$AL$95,1,3)</f>
        <v/>
      </c>
      <c r="AA206" s="24">
        <f>$X$113*INDEX($C$95:$AL$95,1,4)</f>
        <v/>
      </c>
      <c r="AB206" s="24">
        <f>$X$113*INDEX($C$95:$AL$95,1,5)</f>
        <v/>
      </c>
      <c r="AC206" s="24">
        <f>$X$113*INDEX($C$95:$AL$95,1,6)</f>
        <v/>
      </c>
      <c r="AD206" s="24">
        <f>$X$113*INDEX($C$95:$AL$95,1,7)</f>
        <v/>
      </c>
      <c r="AE206" s="24">
        <f>$X$113*INDEX($C$95:$AL$95,1,8)</f>
        <v/>
      </c>
      <c r="AF206" s="24">
        <f>$X$113*INDEX($C$95:$AL$95,1,9)</f>
        <v/>
      </c>
    </row>
    <row r="207">
      <c r="A207" s="4" t="inlineStr">
        <is>
          <t>Coorte del mese 23</t>
        </is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>
        <f>$Y$113*INDEX($C$95:$AL$95,1,1)</f>
        <v/>
      </c>
      <c r="Z207" s="24">
        <f>$Y$113*INDEX($C$95:$AL$95,1,2)</f>
        <v/>
      </c>
      <c r="AA207" s="24">
        <f>$Y$113*INDEX($C$95:$AL$95,1,3)</f>
        <v/>
      </c>
      <c r="AB207" s="24">
        <f>$Y$113*INDEX($C$95:$AL$95,1,4)</f>
        <v/>
      </c>
      <c r="AC207" s="24">
        <f>$Y$113*INDEX($C$95:$AL$95,1,5)</f>
        <v/>
      </c>
      <c r="AD207" s="24">
        <f>$Y$113*INDEX($C$95:$AL$95,1,6)</f>
        <v/>
      </c>
      <c r="AE207" s="24">
        <f>$Y$113*INDEX($C$95:$AL$95,1,7)</f>
        <v/>
      </c>
      <c r="AF207" s="24">
        <f>$Y$113*INDEX($C$95:$AL$95,1,8)</f>
        <v/>
      </c>
    </row>
    <row r="208">
      <c r="A208" s="4" t="inlineStr">
        <is>
          <t>Coorte del mese 24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>
        <f>$Z$113*INDEX($C$95:$AL$95,1,1)</f>
        <v/>
      </c>
      <c r="AA208" s="24">
        <f>$Z$113*INDEX($C$95:$AL$95,1,2)</f>
        <v/>
      </c>
      <c r="AB208" s="24">
        <f>$Z$113*INDEX($C$95:$AL$95,1,3)</f>
        <v/>
      </c>
      <c r="AC208" s="24">
        <f>$Z$113*INDEX($C$95:$AL$95,1,4)</f>
        <v/>
      </c>
      <c r="AD208" s="24">
        <f>$Z$113*INDEX($C$95:$AL$95,1,5)</f>
        <v/>
      </c>
      <c r="AE208" s="24">
        <f>$Z$113*INDEX($C$95:$AL$95,1,6)</f>
        <v/>
      </c>
      <c r="AF208" s="24">
        <f>$Z$113*INDEX($C$95:$AL$95,1,7)</f>
        <v/>
      </c>
    </row>
    <row r="209">
      <c r="A209" s="4" t="inlineStr">
        <is>
          <t>Coorte del mese 25</t>
        </is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>
        <f>$AA$113*INDEX($C$95:$AL$95,1,1)</f>
        <v/>
      </c>
      <c r="AB209" s="24">
        <f>$AA$113*INDEX($C$95:$AL$95,1,2)</f>
        <v/>
      </c>
      <c r="AC209" s="24">
        <f>$AA$113*INDEX($C$95:$AL$95,1,3)</f>
        <v/>
      </c>
      <c r="AD209" s="24">
        <f>$AA$113*INDEX($C$95:$AL$95,1,4)</f>
        <v/>
      </c>
      <c r="AE209" s="24">
        <f>$AA$113*INDEX($C$95:$AL$95,1,5)</f>
        <v/>
      </c>
      <c r="AF209" s="24">
        <f>$AA$113*INDEX($C$95:$AL$95,1,6)</f>
        <v/>
      </c>
    </row>
    <row r="210">
      <c r="A210" s="4" t="inlineStr">
        <is>
          <t>Coorte del mese 26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24" t="n">
        <v>0</v>
      </c>
      <c r="AA210" s="24" t="n">
        <v>0</v>
      </c>
      <c r="AB210" s="24">
        <f>$AB$113*INDEX($C$95:$AL$95,1,1)</f>
        <v/>
      </c>
      <c r="AC210" s="24">
        <f>$AB$113*INDEX($C$95:$AL$95,1,2)</f>
        <v/>
      </c>
      <c r="AD210" s="24">
        <f>$AB$113*INDEX($C$95:$AL$95,1,3)</f>
        <v/>
      </c>
      <c r="AE210" s="24">
        <f>$AB$113*INDEX($C$95:$AL$95,1,4)</f>
        <v/>
      </c>
      <c r="AF210" s="24">
        <f>$AB$113*INDEX($C$95:$AL$95,1,5)</f>
        <v/>
      </c>
    </row>
    <row r="211">
      <c r="A211" s="4" t="inlineStr">
        <is>
          <t>Coorte del mese 27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>
        <f>$AC$113*INDEX($C$95:$AL$95,1,1)</f>
        <v/>
      </c>
      <c r="AD211" s="24">
        <f>$AC$113*INDEX($C$95:$AL$95,1,2)</f>
        <v/>
      </c>
      <c r="AE211" s="24">
        <f>$AC$113*INDEX($C$95:$AL$95,1,3)</f>
        <v/>
      </c>
      <c r="AF211" s="24">
        <f>$AC$113*INDEX($C$95:$AL$95,1,4)</f>
        <v/>
      </c>
    </row>
    <row r="212">
      <c r="A212" s="4" t="inlineStr">
        <is>
          <t>Coorte del mese 28</t>
        </is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>
        <f>$AD$113*INDEX($C$95:$AL$95,1,1)</f>
        <v/>
      </c>
      <c r="AE212" s="24">
        <f>$AD$113*INDEX($C$95:$AL$95,1,2)</f>
        <v/>
      </c>
      <c r="AF212" s="24">
        <f>$AD$113*INDEX($C$95:$AL$95,1,3)</f>
        <v/>
      </c>
    </row>
    <row r="213">
      <c r="A213" s="4" t="inlineStr">
        <is>
          <t>Coorte del mese 29</t>
        </is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>
        <f>$AE$113*INDEX($C$95:$AL$95,1,1)</f>
        <v/>
      </c>
      <c r="AF213" s="24">
        <f>$AE$113*INDEX($C$95:$AL$95,1,2)</f>
        <v/>
      </c>
    </row>
    <row r="214">
      <c r="A214" s="4" t="inlineStr">
        <is>
          <t>Coorte del mese 30</t>
        </is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4" t="n">
        <v>0</v>
      </c>
      <c r="AD214" s="24" t="n">
        <v>0</v>
      </c>
      <c r="AE214" s="24" t="n">
        <v>0</v>
      </c>
      <c r="AF214" s="24">
        <f>$AF$113*INDEX($C$95:$AL$95,1,1)</f>
        <v/>
      </c>
    </row>
    <row r="215">
      <c r="A215" s="3" t="inlineStr">
        <is>
          <t>Totale percorso 3: ordini</t>
        </is>
      </c>
      <c r="C215" s="25">
        <f>SUM(C185:C214)</f>
        <v/>
      </c>
      <c r="D215" s="25">
        <f>SUM(D185:D214)</f>
        <v/>
      </c>
      <c r="E215" s="25">
        <f>SUM(E185:E214)</f>
        <v/>
      </c>
      <c r="F215" s="25">
        <f>SUM(F185:F214)</f>
        <v/>
      </c>
      <c r="G215" s="25">
        <f>SUM(G185:G214)</f>
        <v/>
      </c>
      <c r="H215" s="25">
        <f>SUM(H185:H214)</f>
        <v/>
      </c>
      <c r="I215" s="25">
        <f>SUM(I185:I214)</f>
        <v/>
      </c>
      <c r="J215" s="25">
        <f>SUM(J185:J214)</f>
        <v/>
      </c>
      <c r="K215" s="25">
        <f>SUM(K185:K214)</f>
        <v/>
      </c>
      <c r="L215" s="25">
        <f>SUM(L185:L214)</f>
        <v/>
      </c>
      <c r="M215" s="25">
        <f>SUM(M185:M214)</f>
        <v/>
      </c>
      <c r="N215" s="25">
        <f>SUM(N185:N214)</f>
        <v/>
      </c>
      <c r="O215" s="25">
        <f>SUM(O185:O214)</f>
        <v/>
      </c>
      <c r="P215" s="25">
        <f>SUM(P185:P214)</f>
        <v/>
      </c>
      <c r="Q215" s="25">
        <f>SUM(Q185:Q214)</f>
        <v/>
      </c>
      <c r="R215" s="25">
        <f>SUM(R185:R214)</f>
        <v/>
      </c>
      <c r="S215" s="25">
        <f>SUM(S185:S214)</f>
        <v/>
      </c>
      <c r="T215" s="25">
        <f>SUM(T185:T214)</f>
        <v/>
      </c>
      <c r="U215" s="25">
        <f>SUM(U185:U214)</f>
        <v/>
      </c>
      <c r="V215" s="25">
        <f>SUM(V185:V214)</f>
        <v/>
      </c>
      <c r="W215" s="25">
        <f>SUM(W185:W214)</f>
        <v/>
      </c>
      <c r="X215" s="25">
        <f>SUM(X185:X214)</f>
        <v/>
      </c>
      <c r="Y215" s="25">
        <f>SUM(Y185:Y214)</f>
        <v/>
      </c>
      <c r="Z215" s="25">
        <f>SUM(Z185:Z214)</f>
        <v/>
      </c>
      <c r="AA215" s="25">
        <f>SUM(AA185:AA214)</f>
        <v/>
      </c>
      <c r="AB215" s="25">
        <f>SUM(AB185:AB214)</f>
        <v/>
      </c>
      <c r="AC215" s="25">
        <f>SUM(AC185:AC214)</f>
        <v/>
      </c>
      <c r="AD215" s="25">
        <f>SUM(AD185:AD214)</f>
        <v/>
      </c>
      <c r="AE215" s="25">
        <f>SUM(AE185:AE214)</f>
        <v/>
      </c>
      <c r="AF215" s="25">
        <f>SUM(AF185:AF214)</f>
        <v/>
      </c>
    </row>
    <row r="217">
      <c r="A217" s="10" t="inlineStr">
        <is>
          <t>Abbonamento: ordini per coorte (righe = mese di acquisizione, colonne = mese di calendario)</t>
        </is>
      </c>
    </row>
    <row r="218">
      <c r="A218" s="4" t="inlineStr">
        <is>
          <t>Coorte del mese 1</t>
        </is>
      </c>
      <c r="C218" s="24">
        <f>$C$114*INDEX($C$96:$AL$96,1,1)</f>
        <v/>
      </c>
      <c r="D218" s="24">
        <f>$C$114*INDEX($C$96:$AL$96,1,2)</f>
        <v/>
      </c>
      <c r="E218" s="24">
        <f>$C$114*INDEX($C$96:$AL$96,1,3)</f>
        <v/>
      </c>
      <c r="F218" s="24">
        <f>$C$114*INDEX($C$96:$AL$96,1,4)</f>
        <v/>
      </c>
      <c r="G218" s="24">
        <f>$C$114*INDEX($C$96:$AL$96,1,5)</f>
        <v/>
      </c>
      <c r="H218" s="24">
        <f>$C$114*INDEX($C$96:$AL$96,1,6)</f>
        <v/>
      </c>
      <c r="I218" s="24">
        <f>$C$114*INDEX($C$96:$AL$96,1,7)</f>
        <v/>
      </c>
      <c r="J218" s="24">
        <f>$C$114*INDEX($C$96:$AL$96,1,8)</f>
        <v/>
      </c>
      <c r="K218" s="24">
        <f>$C$114*INDEX($C$96:$AL$96,1,9)</f>
        <v/>
      </c>
      <c r="L218" s="24">
        <f>$C$114*INDEX($C$96:$AL$96,1,10)</f>
        <v/>
      </c>
      <c r="M218" s="24">
        <f>$C$114*INDEX($C$96:$AL$96,1,11)</f>
        <v/>
      </c>
      <c r="N218" s="24">
        <f>$C$114*INDEX($C$96:$AL$96,1,12)</f>
        <v/>
      </c>
      <c r="O218" s="24">
        <f>$C$114*INDEX($C$96:$AL$96,1,13)</f>
        <v/>
      </c>
      <c r="P218" s="24">
        <f>$C$114*INDEX($C$96:$AL$96,1,14)</f>
        <v/>
      </c>
      <c r="Q218" s="24">
        <f>$C$114*INDEX($C$96:$AL$96,1,15)</f>
        <v/>
      </c>
      <c r="R218" s="24">
        <f>$C$114*INDEX($C$96:$AL$96,1,16)</f>
        <v/>
      </c>
      <c r="S218" s="24">
        <f>$C$114*INDEX($C$96:$AL$96,1,17)</f>
        <v/>
      </c>
      <c r="T218" s="24">
        <f>$C$114*INDEX($C$96:$AL$96,1,18)</f>
        <v/>
      </c>
      <c r="U218" s="24">
        <f>$C$114*INDEX($C$96:$AL$96,1,19)</f>
        <v/>
      </c>
      <c r="V218" s="24">
        <f>$C$114*INDEX($C$96:$AL$96,1,20)</f>
        <v/>
      </c>
      <c r="W218" s="24">
        <f>$C$114*INDEX($C$96:$AL$96,1,21)</f>
        <v/>
      </c>
      <c r="X218" s="24">
        <f>$C$114*INDEX($C$96:$AL$96,1,22)</f>
        <v/>
      </c>
      <c r="Y218" s="24">
        <f>$C$114*INDEX($C$96:$AL$96,1,23)</f>
        <v/>
      </c>
      <c r="Z218" s="24">
        <f>$C$114*INDEX($C$96:$AL$96,1,24)</f>
        <v/>
      </c>
      <c r="AA218" s="24">
        <f>$C$114*INDEX($C$96:$AL$96,1,25)</f>
        <v/>
      </c>
      <c r="AB218" s="24">
        <f>$C$114*INDEX($C$96:$AL$96,1,26)</f>
        <v/>
      </c>
      <c r="AC218" s="24">
        <f>$C$114*INDEX($C$96:$AL$96,1,27)</f>
        <v/>
      </c>
      <c r="AD218" s="24">
        <f>$C$114*INDEX($C$96:$AL$96,1,28)</f>
        <v/>
      </c>
      <c r="AE218" s="24">
        <f>$C$114*INDEX($C$96:$AL$96,1,29)</f>
        <v/>
      </c>
      <c r="AF218" s="24">
        <f>$C$114*INDEX($C$96:$AL$96,1,30)</f>
        <v/>
      </c>
    </row>
    <row r="219">
      <c r="A219" s="4" t="inlineStr">
        <is>
          <t>Coorte del mese 2</t>
        </is>
      </c>
      <c r="C219" s="24" t="n">
        <v>0</v>
      </c>
      <c r="D219" s="24">
        <f>$D$114*INDEX($C$96:$AL$96,1,1)</f>
        <v/>
      </c>
      <c r="E219" s="24">
        <f>$D$114*INDEX($C$96:$AL$96,1,2)</f>
        <v/>
      </c>
      <c r="F219" s="24">
        <f>$D$114*INDEX($C$96:$AL$96,1,3)</f>
        <v/>
      </c>
      <c r="G219" s="24">
        <f>$D$114*INDEX($C$96:$AL$96,1,4)</f>
        <v/>
      </c>
      <c r="H219" s="24">
        <f>$D$114*INDEX($C$96:$AL$96,1,5)</f>
        <v/>
      </c>
      <c r="I219" s="24">
        <f>$D$114*INDEX($C$96:$AL$96,1,6)</f>
        <v/>
      </c>
      <c r="J219" s="24">
        <f>$D$114*INDEX($C$96:$AL$96,1,7)</f>
        <v/>
      </c>
      <c r="K219" s="24">
        <f>$D$114*INDEX($C$96:$AL$96,1,8)</f>
        <v/>
      </c>
      <c r="L219" s="24">
        <f>$D$114*INDEX($C$96:$AL$96,1,9)</f>
        <v/>
      </c>
      <c r="M219" s="24">
        <f>$D$114*INDEX($C$96:$AL$96,1,10)</f>
        <v/>
      </c>
      <c r="N219" s="24">
        <f>$D$114*INDEX($C$96:$AL$96,1,11)</f>
        <v/>
      </c>
      <c r="O219" s="24">
        <f>$D$114*INDEX($C$96:$AL$96,1,12)</f>
        <v/>
      </c>
      <c r="P219" s="24">
        <f>$D$114*INDEX($C$96:$AL$96,1,13)</f>
        <v/>
      </c>
      <c r="Q219" s="24">
        <f>$D$114*INDEX($C$96:$AL$96,1,14)</f>
        <v/>
      </c>
      <c r="R219" s="24">
        <f>$D$114*INDEX($C$96:$AL$96,1,15)</f>
        <v/>
      </c>
      <c r="S219" s="24">
        <f>$D$114*INDEX($C$96:$AL$96,1,16)</f>
        <v/>
      </c>
      <c r="T219" s="24">
        <f>$D$114*INDEX($C$96:$AL$96,1,17)</f>
        <v/>
      </c>
      <c r="U219" s="24">
        <f>$D$114*INDEX($C$96:$AL$96,1,18)</f>
        <v/>
      </c>
      <c r="V219" s="24">
        <f>$D$114*INDEX($C$96:$AL$96,1,19)</f>
        <v/>
      </c>
      <c r="W219" s="24">
        <f>$D$114*INDEX($C$96:$AL$96,1,20)</f>
        <v/>
      </c>
      <c r="X219" s="24">
        <f>$D$114*INDEX($C$96:$AL$96,1,21)</f>
        <v/>
      </c>
      <c r="Y219" s="24">
        <f>$D$114*INDEX($C$96:$AL$96,1,22)</f>
        <v/>
      </c>
      <c r="Z219" s="24">
        <f>$D$114*INDEX($C$96:$AL$96,1,23)</f>
        <v/>
      </c>
      <c r="AA219" s="24">
        <f>$D$114*INDEX($C$96:$AL$96,1,24)</f>
        <v/>
      </c>
      <c r="AB219" s="24">
        <f>$D$114*INDEX($C$96:$AL$96,1,25)</f>
        <v/>
      </c>
      <c r="AC219" s="24">
        <f>$D$114*INDEX($C$96:$AL$96,1,26)</f>
        <v/>
      </c>
      <c r="AD219" s="24">
        <f>$D$114*INDEX($C$96:$AL$96,1,27)</f>
        <v/>
      </c>
      <c r="AE219" s="24">
        <f>$D$114*INDEX($C$96:$AL$96,1,28)</f>
        <v/>
      </c>
      <c r="AF219" s="24">
        <f>$D$114*INDEX($C$96:$AL$96,1,29)</f>
        <v/>
      </c>
    </row>
    <row r="220">
      <c r="A220" s="4" t="inlineStr">
        <is>
          <t>Coorte del mese 3</t>
        </is>
      </c>
      <c r="C220" s="24" t="n">
        <v>0</v>
      </c>
      <c r="D220" s="24" t="n">
        <v>0</v>
      </c>
      <c r="E220" s="24">
        <f>$E$114*INDEX($C$96:$AL$96,1,1)</f>
        <v/>
      </c>
      <c r="F220" s="24">
        <f>$E$114*INDEX($C$96:$AL$96,1,2)</f>
        <v/>
      </c>
      <c r="G220" s="24">
        <f>$E$114*INDEX($C$96:$AL$96,1,3)</f>
        <v/>
      </c>
      <c r="H220" s="24">
        <f>$E$114*INDEX($C$96:$AL$96,1,4)</f>
        <v/>
      </c>
      <c r="I220" s="24">
        <f>$E$114*INDEX($C$96:$AL$96,1,5)</f>
        <v/>
      </c>
      <c r="J220" s="24">
        <f>$E$114*INDEX($C$96:$AL$96,1,6)</f>
        <v/>
      </c>
      <c r="K220" s="24">
        <f>$E$114*INDEX($C$96:$AL$96,1,7)</f>
        <v/>
      </c>
      <c r="L220" s="24">
        <f>$E$114*INDEX($C$96:$AL$96,1,8)</f>
        <v/>
      </c>
      <c r="M220" s="24">
        <f>$E$114*INDEX($C$96:$AL$96,1,9)</f>
        <v/>
      </c>
      <c r="N220" s="24">
        <f>$E$114*INDEX($C$96:$AL$96,1,10)</f>
        <v/>
      </c>
      <c r="O220" s="24">
        <f>$E$114*INDEX($C$96:$AL$96,1,11)</f>
        <v/>
      </c>
      <c r="P220" s="24">
        <f>$E$114*INDEX($C$96:$AL$96,1,12)</f>
        <v/>
      </c>
      <c r="Q220" s="24">
        <f>$E$114*INDEX($C$96:$AL$96,1,13)</f>
        <v/>
      </c>
      <c r="R220" s="24">
        <f>$E$114*INDEX($C$96:$AL$96,1,14)</f>
        <v/>
      </c>
      <c r="S220" s="24">
        <f>$E$114*INDEX($C$96:$AL$96,1,15)</f>
        <v/>
      </c>
      <c r="T220" s="24">
        <f>$E$114*INDEX($C$96:$AL$96,1,16)</f>
        <v/>
      </c>
      <c r="U220" s="24">
        <f>$E$114*INDEX($C$96:$AL$96,1,17)</f>
        <v/>
      </c>
      <c r="V220" s="24">
        <f>$E$114*INDEX($C$96:$AL$96,1,18)</f>
        <v/>
      </c>
      <c r="W220" s="24">
        <f>$E$114*INDEX($C$96:$AL$96,1,19)</f>
        <v/>
      </c>
      <c r="X220" s="24">
        <f>$E$114*INDEX($C$96:$AL$96,1,20)</f>
        <v/>
      </c>
      <c r="Y220" s="24">
        <f>$E$114*INDEX($C$96:$AL$96,1,21)</f>
        <v/>
      </c>
      <c r="Z220" s="24">
        <f>$E$114*INDEX($C$96:$AL$96,1,22)</f>
        <v/>
      </c>
      <c r="AA220" s="24">
        <f>$E$114*INDEX($C$96:$AL$96,1,23)</f>
        <v/>
      </c>
      <c r="AB220" s="24">
        <f>$E$114*INDEX($C$96:$AL$96,1,24)</f>
        <v/>
      </c>
      <c r="AC220" s="24">
        <f>$E$114*INDEX($C$96:$AL$96,1,25)</f>
        <v/>
      </c>
      <c r="AD220" s="24">
        <f>$E$114*INDEX($C$96:$AL$96,1,26)</f>
        <v/>
      </c>
      <c r="AE220" s="24">
        <f>$E$114*INDEX($C$96:$AL$96,1,27)</f>
        <v/>
      </c>
      <c r="AF220" s="24">
        <f>$E$114*INDEX($C$96:$AL$96,1,28)</f>
        <v/>
      </c>
    </row>
    <row r="221">
      <c r="A221" s="4" t="inlineStr">
        <is>
          <t>Coorte del mese 4</t>
        </is>
      </c>
      <c r="C221" s="24" t="n">
        <v>0</v>
      </c>
      <c r="D221" s="24" t="n">
        <v>0</v>
      </c>
      <c r="E221" s="24" t="n">
        <v>0</v>
      </c>
      <c r="F221" s="24">
        <f>$F$114*INDEX($C$96:$AL$96,1,1)</f>
        <v/>
      </c>
      <c r="G221" s="24">
        <f>$F$114*INDEX($C$96:$AL$96,1,2)</f>
        <v/>
      </c>
      <c r="H221" s="24">
        <f>$F$114*INDEX($C$96:$AL$96,1,3)</f>
        <v/>
      </c>
      <c r="I221" s="24">
        <f>$F$114*INDEX($C$96:$AL$96,1,4)</f>
        <v/>
      </c>
      <c r="J221" s="24">
        <f>$F$114*INDEX($C$96:$AL$96,1,5)</f>
        <v/>
      </c>
      <c r="K221" s="24">
        <f>$F$114*INDEX($C$96:$AL$96,1,6)</f>
        <v/>
      </c>
      <c r="L221" s="24">
        <f>$F$114*INDEX($C$96:$AL$96,1,7)</f>
        <v/>
      </c>
      <c r="M221" s="24">
        <f>$F$114*INDEX($C$96:$AL$96,1,8)</f>
        <v/>
      </c>
      <c r="N221" s="24">
        <f>$F$114*INDEX($C$96:$AL$96,1,9)</f>
        <v/>
      </c>
      <c r="O221" s="24">
        <f>$F$114*INDEX($C$96:$AL$96,1,10)</f>
        <v/>
      </c>
      <c r="P221" s="24">
        <f>$F$114*INDEX($C$96:$AL$96,1,11)</f>
        <v/>
      </c>
      <c r="Q221" s="24">
        <f>$F$114*INDEX($C$96:$AL$96,1,12)</f>
        <v/>
      </c>
      <c r="R221" s="24">
        <f>$F$114*INDEX($C$96:$AL$96,1,13)</f>
        <v/>
      </c>
      <c r="S221" s="24">
        <f>$F$114*INDEX($C$96:$AL$96,1,14)</f>
        <v/>
      </c>
      <c r="T221" s="24">
        <f>$F$114*INDEX($C$96:$AL$96,1,15)</f>
        <v/>
      </c>
      <c r="U221" s="24">
        <f>$F$114*INDEX($C$96:$AL$96,1,16)</f>
        <v/>
      </c>
      <c r="V221" s="24">
        <f>$F$114*INDEX($C$96:$AL$96,1,17)</f>
        <v/>
      </c>
      <c r="W221" s="24">
        <f>$F$114*INDEX($C$96:$AL$96,1,18)</f>
        <v/>
      </c>
      <c r="X221" s="24">
        <f>$F$114*INDEX($C$96:$AL$96,1,19)</f>
        <v/>
      </c>
      <c r="Y221" s="24">
        <f>$F$114*INDEX($C$96:$AL$96,1,20)</f>
        <v/>
      </c>
      <c r="Z221" s="24">
        <f>$F$114*INDEX($C$96:$AL$96,1,21)</f>
        <v/>
      </c>
      <c r="AA221" s="24">
        <f>$F$114*INDEX($C$96:$AL$96,1,22)</f>
        <v/>
      </c>
      <c r="AB221" s="24">
        <f>$F$114*INDEX($C$96:$AL$96,1,23)</f>
        <v/>
      </c>
      <c r="AC221" s="24">
        <f>$F$114*INDEX($C$96:$AL$96,1,24)</f>
        <v/>
      </c>
      <c r="AD221" s="24">
        <f>$F$114*INDEX($C$96:$AL$96,1,25)</f>
        <v/>
      </c>
      <c r="AE221" s="24">
        <f>$F$114*INDEX($C$96:$AL$96,1,26)</f>
        <v/>
      </c>
      <c r="AF221" s="24">
        <f>$F$114*INDEX($C$96:$AL$96,1,27)</f>
        <v/>
      </c>
    </row>
    <row r="222">
      <c r="A222" s="4" t="inlineStr">
        <is>
          <t>Coorte del mese 5</t>
        </is>
      </c>
      <c r="C222" s="24" t="n">
        <v>0</v>
      </c>
      <c r="D222" s="24" t="n">
        <v>0</v>
      </c>
      <c r="E222" s="24" t="n">
        <v>0</v>
      </c>
      <c r="F222" s="24" t="n">
        <v>0</v>
      </c>
      <c r="G222" s="24">
        <f>$G$114*INDEX($C$96:$AL$96,1,1)</f>
        <v/>
      </c>
      <c r="H222" s="24">
        <f>$G$114*INDEX($C$96:$AL$96,1,2)</f>
        <v/>
      </c>
      <c r="I222" s="24">
        <f>$G$114*INDEX($C$96:$AL$96,1,3)</f>
        <v/>
      </c>
      <c r="J222" s="24">
        <f>$G$114*INDEX($C$96:$AL$96,1,4)</f>
        <v/>
      </c>
      <c r="K222" s="24">
        <f>$G$114*INDEX($C$96:$AL$96,1,5)</f>
        <v/>
      </c>
      <c r="L222" s="24">
        <f>$G$114*INDEX($C$96:$AL$96,1,6)</f>
        <v/>
      </c>
      <c r="M222" s="24">
        <f>$G$114*INDEX($C$96:$AL$96,1,7)</f>
        <v/>
      </c>
      <c r="N222" s="24">
        <f>$G$114*INDEX($C$96:$AL$96,1,8)</f>
        <v/>
      </c>
      <c r="O222" s="24">
        <f>$G$114*INDEX($C$96:$AL$96,1,9)</f>
        <v/>
      </c>
      <c r="P222" s="24">
        <f>$G$114*INDEX($C$96:$AL$96,1,10)</f>
        <v/>
      </c>
      <c r="Q222" s="24">
        <f>$G$114*INDEX($C$96:$AL$96,1,11)</f>
        <v/>
      </c>
      <c r="R222" s="24">
        <f>$G$114*INDEX($C$96:$AL$96,1,12)</f>
        <v/>
      </c>
      <c r="S222" s="24">
        <f>$G$114*INDEX($C$96:$AL$96,1,13)</f>
        <v/>
      </c>
      <c r="T222" s="24">
        <f>$G$114*INDEX($C$96:$AL$96,1,14)</f>
        <v/>
      </c>
      <c r="U222" s="24">
        <f>$G$114*INDEX($C$96:$AL$96,1,15)</f>
        <v/>
      </c>
      <c r="V222" s="24">
        <f>$G$114*INDEX($C$96:$AL$96,1,16)</f>
        <v/>
      </c>
      <c r="W222" s="24">
        <f>$G$114*INDEX($C$96:$AL$96,1,17)</f>
        <v/>
      </c>
      <c r="X222" s="24">
        <f>$G$114*INDEX($C$96:$AL$96,1,18)</f>
        <v/>
      </c>
      <c r="Y222" s="24">
        <f>$G$114*INDEX($C$96:$AL$96,1,19)</f>
        <v/>
      </c>
      <c r="Z222" s="24">
        <f>$G$114*INDEX($C$96:$AL$96,1,20)</f>
        <v/>
      </c>
      <c r="AA222" s="24">
        <f>$G$114*INDEX($C$96:$AL$96,1,21)</f>
        <v/>
      </c>
      <c r="AB222" s="24">
        <f>$G$114*INDEX($C$96:$AL$96,1,22)</f>
        <v/>
      </c>
      <c r="AC222" s="24">
        <f>$G$114*INDEX($C$96:$AL$96,1,23)</f>
        <v/>
      </c>
      <c r="AD222" s="24">
        <f>$G$114*INDEX($C$96:$AL$96,1,24)</f>
        <v/>
      </c>
      <c r="AE222" s="24">
        <f>$G$114*INDEX($C$96:$AL$96,1,25)</f>
        <v/>
      </c>
      <c r="AF222" s="24">
        <f>$G$114*INDEX($C$96:$AL$96,1,26)</f>
        <v/>
      </c>
    </row>
    <row r="223">
      <c r="A223" s="4" t="inlineStr">
        <is>
          <t>Coorte del mese 6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>
        <f>$H$114*INDEX($C$96:$AL$96,1,1)</f>
        <v/>
      </c>
      <c r="I223" s="24">
        <f>$H$114*INDEX($C$96:$AL$96,1,2)</f>
        <v/>
      </c>
      <c r="J223" s="24">
        <f>$H$114*INDEX($C$96:$AL$96,1,3)</f>
        <v/>
      </c>
      <c r="K223" s="24">
        <f>$H$114*INDEX($C$96:$AL$96,1,4)</f>
        <v/>
      </c>
      <c r="L223" s="24">
        <f>$H$114*INDEX($C$96:$AL$96,1,5)</f>
        <v/>
      </c>
      <c r="M223" s="24">
        <f>$H$114*INDEX($C$96:$AL$96,1,6)</f>
        <v/>
      </c>
      <c r="N223" s="24">
        <f>$H$114*INDEX($C$96:$AL$96,1,7)</f>
        <v/>
      </c>
      <c r="O223" s="24">
        <f>$H$114*INDEX($C$96:$AL$96,1,8)</f>
        <v/>
      </c>
      <c r="P223" s="24">
        <f>$H$114*INDEX($C$96:$AL$96,1,9)</f>
        <v/>
      </c>
      <c r="Q223" s="24">
        <f>$H$114*INDEX($C$96:$AL$96,1,10)</f>
        <v/>
      </c>
      <c r="R223" s="24">
        <f>$H$114*INDEX($C$96:$AL$96,1,11)</f>
        <v/>
      </c>
      <c r="S223" s="24">
        <f>$H$114*INDEX($C$96:$AL$96,1,12)</f>
        <v/>
      </c>
      <c r="T223" s="24">
        <f>$H$114*INDEX($C$96:$AL$96,1,13)</f>
        <v/>
      </c>
      <c r="U223" s="24">
        <f>$H$114*INDEX($C$96:$AL$96,1,14)</f>
        <v/>
      </c>
      <c r="V223" s="24">
        <f>$H$114*INDEX($C$96:$AL$96,1,15)</f>
        <v/>
      </c>
      <c r="W223" s="24">
        <f>$H$114*INDEX($C$96:$AL$96,1,16)</f>
        <v/>
      </c>
      <c r="X223" s="24">
        <f>$H$114*INDEX($C$96:$AL$96,1,17)</f>
        <v/>
      </c>
      <c r="Y223" s="24">
        <f>$H$114*INDEX($C$96:$AL$96,1,18)</f>
        <v/>
      </c>
      <c r="Z223" s="24">
        <f>$H$114*INDEX($C$96:$AL$96,1,19)</f>
        <v/>
      </c>
      <c r="AA223" s="24">
        <f>$H$114*INDEX($C$96:$AL$96,1,20)</f>
        <v/>
      </c>
      <c r="AB223" s="24">
        <f>$H$114*INDEX($C$96:$AL$96,1,21)</f>
        <v/>
      </c>
      <c r="AC223" s="24">
        <f>$H$114*INDEX($C$96:$AL$96,1,22)</f>
        <v/>
      </c>
      <c r="AD223" s="24">
        <f>$H$114*INDEX($C$96:$AL$96,1,23)</f>
        <v/>
      </c>
      <c r="AE223" s="24">
        <f>$H$114*INDEX($C$96:$AL$96,1,24)</f>
        <v/>
      </c>
      <c r="AF223" s="24">
        <f>$H$114*INDEX($C$96:$AL$96,1,25)</f>
        <v/>
      </c>
    </row>
    <row r="224">
      <c r="A224" s="4" t="inlineStr">
        <is>
          <t>Coorte del mese 7</t>
        </is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>
        <f>$I$114*INDEX($C$96:$AL$96,1,1)</f>
        <v/>
      </c>
      <c r="J224" s="24">
        <f>$I$114*INDEX($C$96:$AL$96,1,2)</f>
        <v/>
      </c>
      <c r="K224" s="24">
        <f>$I$114*INDEX($C$96:$AL$96,1,3)</f>
        <v/>
      </c>
      <c r="L224" s="24">
        <f>$I$114*INDEX($C$96:$AL$96,1,4)</f>
        <v/>
      </c>
      <c r="M224" s="24">
        <f>$I$114*INDEX($C$96:$AL$96,1,5)</f>
        <v/>
      </c>
      <c r="N224" s="24">
        <f>$I$114*INDEX($C$96:$AL$96,1,6)</f>
        <v/>
      </c>
      <c r="O224" s="24">
        <f>$I$114*INDEX($C$96:$AL$96,1,7)</f>
        <v/>
      </c>
      <c r="P224" s="24">
        <f>$I$114*INDEX($C$96:$AL$96,1,8)</f>
        <v/>
      </c>
      <c r="Q224" s="24">
        <f>$I$114*INDEX($C$96:$AL$96,1,9)</f>
        <v/>
      </c>
      <c r="R224" s="24">
        <f>$I$114*INDEX($C$96:$AL$96,1,10)</f>
        <v/>
      </c>
      <c r="S224" s="24">
        <f>$I$114*INDEX($C$96:$AL$96,1,11)</f>
        <v/>
      </c>
      <c r="T224" s="24">
        <f>$I$114*INDEX($C$96:$AL$96,1,12)</f>
        <v/>
      </c>
      <c r="U224" s="24">
        <f>$I$114*INDEX($C$96:$AL$96,1,13)</f>
        <v/>
      </c>
      <c r="V224" s="24">
        <f>$I$114*INDEX($C$96:$AL$96,1,14)</f>
        <v/>
      </c>
      <c r="W224" s="24">
        <f>$I$114*INDEX($C$96:$AL$96,1,15)</f>
        <v/>
      </c>
      <c r="X224" s="24">
        <f>$I$114*INDEX($C$96:$AL$96,1,16)</f>
        <v/>
      </c>
      <c r="Y224" s="24">
        <f>$I$114*INDEX($C$96:$AL$96,1,17)</f>
        <v/>
      </c>
      <c r="Z224" s="24">
        <f>$I$114*INDEX($C$96:$AL$96,1,18)</f>
        <v/>
      </c>
      <c r="AA224" s="24">
        <f>$I$114*INDEX($C$96:$AL$96,1,19)</f>
        <v/>
      </c>
      <c r="AB224" s="24">
        <f>$I$114*INDEX($C$96:$AL$96,1,20)</f>
        <v/>
      </c>
      <c r="AC224" s="24">
        <f>$I$114*INDEX($C$96:$AL$96,1,21)</f>
        <v/>
      </c>
      <c r="AD224" s="24">
        <f>$I$114*INDEX($C$96:$AL$96,1,22)</f>
        <v/>
      </c>
      <c r="AE224" s="24">
        <f>$I$114*INDEX($C$96:$AL$96,1,23)</f>
        <v/>
      </c>
      <c r="AF224" s="24">
        <f>$I$114*INDEX($C$96:$AL$96,1,24)</f>
        <v/>
      </c>
    </row>
    <row r="225">
      <c r="A225" s="4" t="inlineStr">
        <is>
          <t>Coorte del mese 8</t>
        </is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>
        <f>$J$114*INDEX($C$96:$AL$96,1,1)</f>
        <v/>
      </c>
      <c r="K225" s="24">
        <f>$J$114*INDEX($C$96:$AL$96,1,2)</f>
        <v/>
      </c>
      <c r="L225" s="24">
        <f>$J$114*INDEX($C$96:$AL$96,1,3)</f>
        <v/>
      </c>
      <c r="M225" s="24">
        <f>$J$114*INDEX($C$96:$AL$96,1,4)</f>
        <v/>
      </c>
      <c r="N225" s="24">
        <f>$J$114*INDEX($C$96:$AL$96,1,5)</f>
        <v/>
      </c>
      <c r="O225" s="24">
        <f>$J$114*INDEX($C$96:$AL$96,1,6)</f>
        <v/>
      </c>
      <c r="P225" s="24">
        <f>$J$114*INDEX($C$96:$AL$96,1,7)</f>
        <v/>
      </c>
      <c r="Q225" s="24">
        <f>$J$114*INDEX($C$96:$AL$96,1,8)</f>
        <v/>
      </c>
      <c r="R225" s="24">
        <f>$J$114*INDEX($C$96:$AL$96,1,9)</f>
        <v/>
      </c>
      <c r="S225" s="24">
        <f>$J$114*INDEX($C$96:$AL$96,1,10)</f>
        <v/>
      </c>
      <c r="T225" s="24">
        <f>$J$114*INDEX($C$96:$AL$96,1,11)</f>
        <v/>
      </c>
      <c r="U225" s="24">
        <f>$J$114*INDEX($C$96:$AL$96,1,12)</f>
        <v/>
      </c>
      <c r="V225" s="24">
        <f>$J$114*INDEX($C$96:$AL$96,1,13)</f>
        <v/>
      </c>
      <c r="W225" s="24">
        <f>$J$114*INDEX($C$96:$AL$96,1,14)</f>
        <v/>
      </c>
      <c r="X225" s="24">
        <f>$J$114*INDEX($C$96:$AL$96,1,15)</f>
        <v/>
      </c>
      <c r="Y225" s="24">
        <f>$J$114*INDEX($C$96:$AL$96,1,16)</f>
        <v/>
      </c>
      <c r="Z225" s="24">
        <f>$J$114*INDEX($C$96:$AL$96,1,17)</f>
        <v/>
      </c>
      <c r="AA225" s="24">
        <f>$J$114*INDEX($C$96:$AL$96,1,18)</f>
        <v/>
      </c>
      <c r="AB225" s="24">
        <f>$J$114*INDEX($C$96:$AL$96,1,19)</f>
        <v/>
      </c>
      <c r="AC225" s="24">
        <f>$J$114*INDEX($C$96:$AL$96,1,20)</f>
        <v/>
      </c>
      <c r="AD225" s="24">
        <f>$J$114*INDEX($C$96:$AL$96,1,21)</f>
        <v/>
      </c>
      <c r="AE225" s="24">
        <f>$J$114*INDEX($C$96:$AL$96,1,22)</f>
        <v/>
      </c>
      <c r="AF225" s="24">
        <f>$J$114*INDEX($C$96:$AL$96,1,23)</f>
        <v/>
      </c>
    </row>
    <row r="226">
      <c r="A226" s="4" t="inlineStr">
        <is>
          <t>Coorte del mese 9</t>
        </is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>
        <f>$K$114*INDEX($C$96:$AL$96,1,1)</f>
        <v/>
      </c>
      <c r="L226" s="24">
        <f>$K$114*INDEX($C$96:$AL$96,1,2)</f>
        <v/>
      </c>
      <c r="M226" s="24">
        <f>$K$114*INDEX($C$96:$AL$96,1,3)</f>
        <v/>
      </c>
      <c r="N226" s="24">
        <f>$K$114*INDEX($C$96:$AL$96,1,4)</f>
        <v/>
      </c>
      <c r="O226" s="24">
        <f>$K$114*INDEX($C$96:$AL$96,1,5)</f>
        <v/>
      </c>
      <c r="P226" s="24">
        <f>$K$114*INDEX($C$96:$AL$96,1,6)</f>
        <v/>
      </c>
      <c r="Q226" s="24">
        <f>$K$114*INDEX($C$96:$AL$96,1,7)</f>
        <v/>
      </c>
      <c r="R226" s="24">
        <f>$K$114*INDEX($C$96:$AL$96,1,8)</f>
        <v/>
      </c>
      <c r="S226" s="24">
        <f>$K$114*INDEX($C$96:$AL$96,1,9)</f>
        <v/>
      </c>
      <c r="T226" s="24">
        <f>$K$114*INDEX($C$96:$AL$96,1,10)</f>
        <v/>
      </c>
      <c r="U226" s="24">
        <f>$K$114*INDEX($C$96:$AL$96,1,11)</f>
        <v/>
      </c>
      <c r="V226" s="24">
        <f>$K$114*INDEX($C$96:$AL$96,1,12)</f>
        <v/>
      </c>
      <c r="W226" s="24">
        <f>$K$114*INDEX($C$96:$AL$96,1,13)</f>
        <v/>
      </c>
      <c r="X226" s="24">
        <f>$K$114*INDEX($C$96:$AL$96,1,14)</f>
        <v/>
      </c>
      <c r="Y226" s="24">
        <f>$K$114*INDEX($C$96:$AL$96,1,15)</f>
        <v/>
      </c>
      <c r="Z226" s="24">
        <f>$K$114*INDEX($C$96:$AL$96,1,16)</f>
        <v/>
      </c>
      <c r="AA226" s="24">
        <f>$K$114*INDEX($C$96:$AL$96,1,17)</f>
        <v/>
      </c>
      <c r="AB226" s="24">
        <f>$K$114*INDEX($C$96:$AL$96,1,18)</f>
        <v/>
      </c>
      <c r="AC226" s="24">
        <f>$K$114*INDEX($C$96:$AL$96,1,19)</f>
        <v/>
      </c>
      <c r="AD226" s="24">
        <f>$K$114*INDEX($C$96:$AL$96,1,20)</f>
        <v/>
      </c>
      <c r="AE226" s="24">
        <f>$K$114*INDEX($C$96:$AL$96,1,21)</f>
        <v/>
      </c>
      <c r="AF226" s="24">
        <f>$K$114*INDEX($C$96:$AL$96,1,22)</f>
        <v/>
      </c>
    </row>
    <row r="227">
      <c r="A227" s="4" t="inlineStr">
        <is>
          <t>Coorte del mese 10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>
        <f>$L$114*INDEX($C$96:$AL$96,1,1)</f>
        <v/>
      </c>
      <c r="M227" s="24">
        <f>$L$114*INDEX($C$96:$AL$96,1,2)</f>
        <v/>
      </c>
      <c r="N227" s="24">
        <f>$L$114*INDEX($C$96:$AL$96,1,3)</f>
        <v/>
      </c>
      <c r="O227" s="24">
        <f>$L$114*INDEX($C$96:$AL$96,1,4)</f>
        <v/>
      </c>
      <c r="P227" s="24">
        <f>$L$114*INDEX($C$96:$AL$96,1,5)</f>
        <v/>
      </c>
      <c r="Q227" s="24">
        <f>$L$114*INDEX($C$96:$AL$96,1,6)</f>
        <v/>
      </c>
      <c r="R227" s="24">
        <f>$L$114*INDEX($C$96:$AL$96,1,7)</f>
        <v/>
      </c>
      <c r="S227" s="24">
        <f>$L$114*INDEX($C$96:$AL$96,1,8)</f>
        <v/>
      </c>
      <c r="T227" s="24">
        <f>$L$114*INDEX($C$96:$AL$96,1,9)</f>
        <v/>
      </c>
      <c r="U227" s="24">
        <f>$L$114*INDEX($C$96:$AL$96,1,10)</f>
        <v/>
      </c>
      <c r="V227" s="24">
        <f>$L$114*INDEX($C$96:$AL$96,1,11)</f>
        <v/>
      </c>
      <c r="W227" s="24">
        <f>$L$114*INDEX($C$96:$AL$96,1,12)</f>
        <v/>
      </c>
      <c r="X227" s="24">
        <f>$L$114*INDEX($C$96:$AL$96,1,13)</f>
        <v/>
      </c>
      <c r="Y227" s="24">
        <f>$L$114*INDEX($C$96:$AL$96,1,14)</f>
        <v/>
      </c>
      <c r="Z227" s="24">
        <f>$L$114*INDEX($C$96:$AL$96,1,15)</f>
        <v/>
      </c>
      <c r="AA227" s="24">
        <f>$L$114*INDEX($C$96:$AL$96,1,16)</f>
        <v/>
      </c>
      <c r="AB227" s="24">
        <f>$L$114*INDEX($C$96:$AL$96,1,17)</f>
        <v/>
      </c>
      <c r="AC227" s="24">
        <f>$L$114*INDEX($C$96:$AL$96,1,18)</f>
        <v/>
      </c>
      <c r="AD227" s="24">
        <f>$L$114*INDEX($C$96:$AL$96,1,19)</f>
        <v/>
      </c>
      <c r="AE227" s="24">
        <f>$L$114*INDEX($C$96:$AL$96,1,20)</f>
        <v/>
      </c>
      <c r="AF227" s="24">
        <f>$L$114*INDEX($C$96:$AL$96,1,21)</f>
        <v/>
      </c>
    </row>
    <row r="228">
      <c r="A228" s="4" t="inlineStr">
        <is>
          <t>Coorte del mese 11</t>
        </is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>
        <f>$M$114*INDEX($C$96:$AL$96,1,1)</f>
        <v/>
      </c>
      <c r="N228" s="24">
        <f>$M$114*INDEX($C$96:$AL$96,1,2)</f>
        <v/>
      </c>
      <c r="O228" s="24">
        <f>$M$114*INDEX($C$96:$AL$96,1,3)</f>
        <v/>
      </c>
      <c r="P228" s="24">
        <f>$M$114*INDEX($C$96:$AL$96,1,4)</f>
        <v/>
      </c>
      <c r="Q228" s="24">
        <f>$M$114*INDEX($C$96:$AL$96,1,5)</f>
        <v/>
      </c>
      <c r="R228" s="24">
        <f>$M$114*INDEX($C$96:$AL$96,1,6)</f>
        <v/>
      </c>
      <c r="S228" s="24">
        <f>$M$114*INDEX($C$96:$AL$96,1,7)</f>
        <v/>
      </c>
      <c r="T228" s="24">
        <f>$M$114*INDEX($C$96:$AL$96,1,8)</f>
        <v/>
      </c>
      <c r="U228" s="24">
        <f>$M$114*INDEX($C$96:$AL$96,1,9)</f>
        <v/>
      </c>
      <c r="V228" s="24">
        <f>$M$114*INDEX($C$96:$AL$96,1,10)</f>
        <v/>
      </c>
      <c r="W228" s="24">
        <f>$M$114*INDEX($C$96:$AL$96,1,11)</f>
        <v/>
      </c>
      <c r="X228" s="24">
        <f>$M$114*INDEX($C$96:$AL$96,1,12)</f>
        <v/>
      </c>
      <c r="Y228" s="24">
        <f>$M$114*INDEX($C$96:$AL$96,1,13)</f>
        <v/>
      </c>
      <c r="Z228" s="24">
        <f>$M$114*INDEX($C$96:$AL$96,1,14)</f>
        <v/>
      </c>
      <c r="AA228" s="24">
        <f>$M$114*INDEX($C$96:$AL$96,1,15)</f>
        <v/>
      </c>
      <c r="AB228" s="24">
        <f>$M$114*INDEX($C$96:$AL$96,1,16)</f>
        <v/>
      </c>
      <c r="AC228" s="24">
        <f>$M$114*INDEX($C$96:$AL$96,1,17)</f>
        <v/>
      </c>
      <c r="AD228" s="24">
        <f>$M$114*INDEX($C$96:$AL$96,1,18)</f>
        <v/>
      </c>
      <c r="AE228" s="24">
        <f>$M$114*INDEX($C$96:$AL$96,1,19)</f>
        <v/>
      </c>
      <c r="AF228" s="24">
        <f>$M$114*INDEX($C$96:$AL$96,1,20)</f>
        <v/>
      </c>
    </row>
    <row r="229">
      <c r="A229" s="4" t="inlineStr">
        <is>
          <t>Coorte del mese 12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>
        <f>$N$114*INDEX($C$96:$AL$96,1,1)</f>
        <v/>
      </c>
      <c r="O229" s="24">
        <f>$N$114*INDEX($C$96:$AL$96,1,2)</f>
        <v/>
      </c>
      <c r="P229" s="24">
        <f>$N$114*INDEX($C$96:$AL$96,1,3)</f>
        <v/>
      </c>
      <c r="Q229" s="24">
        <f>$N$114*INDEX($C$96:$AL$96,1,4)</f>
        <v/>
      </c>
      <c r="R229" s="24">
        <f>$N$114*INDEX($C$96:$AL$96,1,5)</f>
        <v/>
      </c>
      <c r="S229" s="24">
        <f>$N$114*INDEX($C$96:$AL$96,1,6)</f>
        <v/>
      </c>
      <c r="T229" s="24">
        <f>$N$114*INDEX($C$96:$AL$96,1,7)</f>
        <v/>
      </c>
      <c r="U229" s="24">
        <f>$N$114*INDEX($C$96:$AL$96,1,8)</f>
        <v/>
      </c>
      <c r="V229" s="24">
        <f>$N$114*INDEX($C$96:$AL$96,1,9)</f>
        <v/>
      </c>
      <c r="W229" s="24">
        <f>$N$114*INDEX($C$96:$AL$96,1,10)</f>
        <v/>
      </c>
      <c r="X229" s="24">
        <f>$N$114*INDEX($C$96:$AL$96,1,11)</f>
        <v/>
      </c>
      <c r="Y229" s="24">
        <f>$N$114*INDEX($C$96:$AL$96,1,12)</f>
        <v/>
      </c>
      <c r="Z229" s="24">
        <f>$N$114*INDEX($C$96:$AL$96,1,13)</f>
        <v/>
      </c>
      <c r="AA229" s="24">
        <f>$N$114*INDEX($C$96:$AL$96,1,14)</f>
        <v/>
      </c>
      <c r="AB229" s="24">
        <f>$N$114*INDEX($C$96:$AL$96,1,15)</f>
        <v/>
      </c>
      <c r="AC229" s="24">
        <f>$N$114*INDEX($C$96:$AL$96,1,16)</f>
        <v/>
      </c>
      <c r="AD229" s="24">
        <f>$N$114*INDEX($C$96:$AL$96,1,17)</f>
        <v/>
      </c>
      <c r="AE229" s="24">
        <f>$N$114*INDEX($C$96:$AL$96,1,18)</f>
        <v/>
      </c>
      <c r="AF229" s="24">
        <f>$N$114*INDEX($C$96:$AL$96,1,19)</f>
        <v/>
      </c>
    </row>
    <row r="230">
      <c r="A230" s="4" t="inlineStr">
        <is>
          <t>Coorte del mese 13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>
        <f>$O$114*INDEX($C$96:$AL$96,1,1)</f>
        <v/>
      </c>
      <c r="P230" s="24">
        <f>$O$114*INDEX($C$96:$AL$96,1,2)</f>
        <v/>
      </c>
      <c r="Q230" s="24">
        <f>$O$114*INDEX($C$96:$AL$96,1,3)</f>
        <v/>
      </c>
      <c r="R230" s="24">
        <f>$O$114*INDEX($C$96:$AL$96,1,4)</f>
        <v/>
      </c>
      <c r="S230" s="24">
        <f>$O$114*INDEX($C$96:$AL$96,1,5)</f>
        <v/>
      </c>
      <c r="T230" s="24">
        <f>$O$114*INDEX($C$96:$AL$96,1,6)</f>
        <v/>
      </c>
      <c r="U230" s="24">
        <f>$O$114*INDEX($C$96:$AL$96,1,7)</f>
        <v/>
      </c>
      <c r="V230" s="24">
        <f>$O$114*INDEX($C$96:$AL$96,1,8)</f>
        <v/>
      </c>
      <c r="W230" s="24">
        <f>$O$114*INDEX($C$96:$AL$96,1,9)</f>
        <v/>
      </c>
      <c r="X230" s="24">
        <f>$O$114*INDEX($C$96:$AL$96,1,10)</f>
        <v/>
      </c>
      <c r="Y230" s="24">
        <f>$O$114*INDEX($C$96:$AL$96,1,11)</f>
        <v/>
      </c>
      <c r="Z230" s="24">
        <f>$O$114*INDEX($C$96:$AL$96,1,12)</f>
        <v/>
      </c>
      <c r="AA230" s="24">
        <f>$O$114*INDEX($C$96:$AL$96,1,13)</f>
        <v/>
      </c>
      <c r="AB230" s="24">
        <f>$O$114*INDEX($C$96:$AL$96,1,14)</f>
        <v/>
      </c>
      <c r="AC230" s="24">
        <f>$O$114*INDEX($C$96:$AL$96,1,15)</f>
        <v/>
      </c>
      <c r="AD230" s="24">
        <f>$O$114*INDEX($C$96:$AL$96,1,16)</f>
        <v/>
      </c>
      <c r="AE230" s="24">
        <f>$O$114*INDEX($C$96:$AL$96,1,17)</f>
        <v/>
      </c>
      <c r="AF230" s="24">
        <f>$O$114*INDEX($C$96:$AL$96,1,18)</f>
        <v/>
      </c>
    </row>
    <row r="231">
      <c r="A231" s="4" t="inlineStr">
        <is>
          <t>Coorte del mese 14</t>
        </is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>
        <f>$P$114*INDEX($C$96:$AL$96,1,1)</f>
        <v/>
      </c>
      <c r="Q231" s="24">
        <f>$P$114*INDEX($C$96:$AL$96,1,2)</f>
        <v/>
      </c>
      <c r="R231" s="24">
        <f>$P$114*INDEX($C$96:$AL$96,1,3)</f>
        <v/>
      </c>
      <c r="S231" s="24">
        <f>$P$114*INDEX($C$96:$AL$96,1,4)</f>
        <v/>
      </c>
      <c r="T231" s="24">
        <f>$P$114*INDEX($C$96:$AL$96,1,5)</f>
        <v/>
      </c>
      <c r="U231" s="24">
        <f>$P$114*INDEX($C$96:$AL$96,1,6)</f>
        <v/>
      </c>
      <c r="V231" s="24">
        <f>$P$114*INDEX($C$96:$AL$96,1,7)</f>
        <v/>
      </c>
      <c r="W231" s="24">
        <f>$P$114*INDEX($C$96:$AL$96,1,8)</f>
        <v/>
      </c>
      <c r="X231" s="24">
        <f>$P$114*INDEX($C$96:$AL$96,1,9)</f>
        <v/>
      </c>
      <c r="Y231" s="24">
        <f>$P$114*INDEX($C$96:$AL$96,1,10)</f>
        <v/>
      </c>
      <c r="Z231" s="24">
        <f>$P$114*INDEX($C$96:$AL$96,1,11)</f>
        <v/>
      </c>
      <c r="AA231" s="24">
        <f>$P$114*INDEX($C$96:$AL$96,1,12)</f>
        <v/>
      </c>
      <c r="AB231" s="24">
        <f>$P$114*INDEX($C$96:$AL$96,1,13)</f>
        <v/>
      </c>
      <c r="AC231" s="24">
        <f>$P$114*INDEX($C$96:$AL$96,1,14)</f>
        <v/>
      </c>
      <c r="AD231" s="24">
        <f>$P$114*INDEX($C$96:$AL$96,1,15)</f>
        <v/>
      </c>
      <c r="AE231" s="24">
        <f>$P$114*INDEX($C$96:$AL$96,1,16)</f>
        <v/>
      </c>
      <c r="AF231" s="24">
        <f>$P$114*INDEX($C$96:$AL$96,1,17)</f>
        <v/>
      </c>
    </row>
    <row r="232">
      <c r="A232" s="4" t="inlineStr">
        <is>
          <t>Coorte del mese 15</t>
        </is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>
        <f>$Q$114*INDEX($C$96:$AL$96,1,1)</f>
        <v/>
      </c>
      <c r="R232" s="24">
        <f>$Q$114*INDEX($C$96:$AL$96,1,2)</f>
        <v/>
      </c>
      <c r="S232" s="24">
        <f>$Q$114*INDEX($C$96:$AL$96,1,3)</f>
        <v/>
      </c>
      <c r="T232" s="24">
        <f>$Q$114*INDEX($C$96:$AL$96,1,4)</f>
        <v/>
      </c>
      <c r="U232" s="24">
        <f>$Q$114*INDEX($C$96:$AL$96,1,5)</f>
        <v/>
      </c>
      <c r="V232" s="24">
        <f>$Q$114*INDEX($C$96:$AL$96,1,6)</f>
        <v/>
      </c>
      <c r="W232" s="24">
        <f>$Q$114*INDEX($C$96:$AL$96,1,7)</f>
        <v/>
      </c>
      <c r="X232" s="24">
        <f>$Q$114*INDEX($C$96:$AL$96,1,8)</f>
        <v/>
      </c>
      <c r="Y232" s="24">
        <f>$Q$114*INDEX($C$96:$AL$96,1,9)</f>
        <v/>
      </c>
      <c r="Z232" s="24">
        <f>$Q$114*INDEX($C$96:$AL$96,1,10)</f>
        <v/>
      </c>
      <c r="AA232" s="24">
        <f>$Q$114*INDEX($C$96:$AL$96,1,11)</f>
        <v/>
      </c>
      <c r="AB232" s="24">
        <f>$Q$114*INDEX($C$96:$AL$96,1,12)</f>
        <v/>
      </c>
      <c r="AC232" s="24">
        <f>$Q$114*INDEX($C$96:$AL$96,1,13)</f>
        <v/>
      </c>
      <c r="AD232" s="24">
        <f>$Q$114*INDEX($C$96:$AL$96,1,14)</f>
        <v/>
      </c>
      <c r="AE232" s="24">
        <f>$Q$114*INDEX($C$96:$AL$96,1,15)</f>
        <v/>
      </c>
      <c r="AF232" s="24">
        <f>$Q$114*INDEX($C$96:$AL$96,1,16)</f>
        <v/>
      </c>
    </row>
    <row r="233">
      <c r="A233" s="4" t="inlineStr">
        <is>
          <t>Coorte del mese 16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>
        <f>$R$114*INDEX($C$96:$AL$96,1,1)</f>
        <v/>
      </c>
      <c r="S233" s="24">
        <f>$R$114*INDEX($C$96:$AL$96,1,2)</f>
        <v/>
      </c>
      <c r="T233" s="24">
        <f>$R$114*INDEX($C$96:$AL$96,1,3)</f>
        <v/>
      </c>
      <c r="U233" s="24">
        <f>$R$114*INDEX($C$96:$AL$96,1,4)</f>
        <v/>
      </c>
      <c r="V233" s="24">
        <f>$R$114*INDEX($C$96:$AL$96,1,5)</f>
        <v/>
      </c>
      <c r="W233" s="24">
        <f>$R$114*INDEX($C$96:$AL$96,1,6)</f>
        <v/>
      </c>
      <c r="X233" s="24">
        <f>$R$114*INDEX($C$96:$AL$96,1,7)</f>
        <v/>
      </c>
      <c r="Y233" s="24">
        <f>$R$114*INDEX($C$96:$AL$96,1,8)</f>
        <v/>
      </c>
      <c r="Z233" s="24">
        <f>$R$114*INDEX($C$96:$AL$96,1,9)</f>
        <v/>
      </c>
      <c r="AA233" s="24">
        <f>$R$114*INDEX($C$96:$AL$96,1,10)</f>
        <v/>
      </c>
      <c r="AB233" s="24">
        <f>$R$114*INDEX($C$96:$AL$96,1,11)</f>
        <v/>
      </c>
      <c r="AC233" s="24">
        <f>$R$114*INDEX($C$96:$AL$96,1,12)</f>
        <v/>
      </c>
      <c r="AD233" s="24">
        <f>$R$114*INDEX($C$96:$AL$96,1,13)</f>
        <v/>
      </c>
      <c r="AE233" s="24">
        <f>$R$114*INDEX($C$96:$AL$96,1,14)</f>
        <v/>
      </c>
      <c r="AF233" s="24">
        <f>$R$114*INDEX($C$96:$AL$96,1,15)</f>
        <v/>
      </c>
    </row>
    <row r="234">
      <c r="A234" s="4" t="inlineStr">
        <is>
          <t>Coorte del mese 17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>
        <f>$S$114*INDEX($C$96:$AL$96,1,1)</f>
        <v/>
      </c>
      <c r="T234" s="24">
        <f>$S$114*INDEX($C$96:$AL$96,1,2)</f>
        <v/>
      </c>
      <c r="U234" s="24">
        <f>$S$114*INDEX($C$96:$AL$96,1,3)</f>
        <v/>
      </c>
      <c r="V234" s="24">
        <f>$S$114*INDEX($C$96:$AL$96,1,4)</f>
        <v/>
      </c>
      <c r="W234" s="24">
        <f>$S$114*INDEX($C$96:$AL$96,1,5)</f>
        <v/>
      </c>
      <c r="X234" s="24">
        <f>$S$114*INDEX($C$96:$AL$96,1,6)</f>
        <v/>
      </c>
      <c r="Y234" s="24">
        <f>$S$114*INDEX($C$96:$AL$96,1,7)</f>
        <v/>
      </c>
      <c r="Z234" s="24">
        <f>$S$114*INDEX($C$96:$AL$96,1,8)</f>
        <v/>
      </c>
      <c r="AA234" s="24">
        <f>$S$114*INDEX($C$96:$AL$96,1,9)</f>
        <v/>
      </c>
      <c r="AB234" s="24">
        <f>$S$114*INDEX($C$96:$AL$96,1,10)</f>
        <v/>
      </c>
      <c r="AC234" s="24">
        <f>$S$114*INDEX($C$96:$AL$96,1,11)</f>
        <v/>
      </c>
      <c r="AD234" s="24">
        <f>$S$114*INDEX($C$96:$AL$96,1,12)</f>
        <v/>
      </c>
      <c r="AE234" s="24">
        <f>$S$114*INDEX($C$96:$AL$96,1,13)</f>
        <v/>
      </c>
      <c r="AF234" s="24">
        <f>$S$114*INDEX($C$96:$AL$96,1,14)</f>
        <v/>
      </c>
    </row>
    <row r="235">
      <c r="A235" s="4" t="inlineStr">
        <is>
          <t>Coorte del mese 18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>
        <f>$T$114*INDEX($C$96:$AL$96,1,1)</f>
        <v/>
      </c>
      <c r="U235" s="24">
        <f>$T$114*INDEX($C$96:$AL$96,1,2)</f>
        <v/>
      </c>
      <c r="V235" s="24">
        <f>$T$114*INDEX($C$96:$AL$96,1,3)</f>
        <v/>
      </c>
      <c r="W235" s="24">
        <f>$T$114*INDEX($C$96:$AL$96,1,4)</f>
        <v/>
      </c>
      <c r="X235" s="24">
        <f>$T$114*INDEX($C$96:$AL$96,1,5)</f>
        <v/>
      </c>
      <c r="Y235" s="24">
        <f>$T$114*INDEX($C$96:$AL$96,1,6)</f>
        <v/>
      </c>
      <c r="Z235" s="24">
        <f>$T$114*INDEX($C$96:$AL$96,1,7)</f>
        <v/>
      </c>
      <c r="AA235" s="24">
        <f>$T$114*INDEX($C$96:$AL$96,1,8)</f>
        <v/>
      </c>
      <c r="AB235" s="24">
        <f>$T$114*INDEX($C$96:$AL$96,1,9)</f>
        <v/>
      </c>
      <c r="AC235" s="24">
        <f>$T$114*INDEX($C$96:$AL$96,1,10)</f>
        <v/>
      </c>
      <c r="AD235" s="24">
        <f>$T$114*INDEX($C$96:$AL$96,1,11)</f>
        <v/>
      </c>
      <c r="AE235" s="24">
        <f>$T$114*INDEX($C$96:$AL$96,1,12)</f>
        <v/>
      </c>
      <c r="AF235" s="24">
        <f>$T$114*INDEX($C$96:$AL$96,1,13)</f>
        <v/>
      </c>
    </row>
    <row r="236">
      <c r="A236" s="4" t="inlineStr">
        <is>
          <t>Coorte del mese 19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>
        <f>$U$114*INDEX($C$96:$AL$96,1,1)</f>
        <v/>
      </c>
      <c r="V236" s="24">
        <f>$U$114*INDEX($C$96:$AL$96,1,2)</f>
        <v/>
      </c>
      <c r="W236" s="24">
        <f>$U$114*INDEX($C$96:$AL$96,1,3)</f>
        <v/>
      </c>
      <c r="X236" s="24">
        <f>$U$114*INDEX($C$96:$AL$96,1,4)</f>
        <v/>
      </c>
      <c r="Y236" s="24">
        <f>$U$114*INDEX($C$96:$AL$96,1,5)</f>
        <v/>
      </c>
      <c r="Z236" s="24">
        <f>$U$114*INDEX($C$96:$AL$96,1,6)</f>
        <v/>
      </c>
      <c r="AA236" s="24">
        <f>$U$114*INDEX($C$96:$AL$96,1,7)</f>
        <v/>
      </c>
      <c r="AB236" s="24">
        <f>$U$114*INDEX($C$96:$AL$96,1,8)</f>
        <v/>
      </c>
      <c r="AC236" s="24">
        <f>$U$114*INDEX($C$96:$AL$96,1,9)</f>
        <v/>
      </c>
      <c r="AD236" s="24">
        <f>$U$114*INDEX($C$96:$AL$96,1,10)</f>
        <v/>
      </c>
      <c r="AE236" s="24">
        <f>$U$114*INDEX($C$96:$AL$96,1,11)</f>
        <v/>
      </c>
      <c r="AF236" s="24">
        <f>$U$114*INDEX($C$96:$AL$96,1,12)</f>
        <v/>
      </c>
    </row>
    <row r="237">
      <c r="A237" s="4" t="inlineStr">
        <is>
          <t>Coorte del mese 20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>
        <f>$V$114*INDEX($C$96:$AL$96,1,1)</f>
        <v/>
      </c>
      <c r="W237" s="24">
        <f>$V$114*INDEX($C$96:$AL$96,1,2)</f>
        <v/>
      </c>
      <c r="X237" s="24">
        <f>$V$114*INDEX($C$96:$AL$96,1,3)</f>
        <v/>
      </c>
      <c r="Y237" s="24">
        <f>$V$114*INDEX($C$96:$AL$96,1,4)</f>
        <v/>
      </c>
      <c r="Z237" s="24">
        <f>$V$114*INDEX($C$96:$AL$96,1,5)</f>
        <v/>
      </c>
      <c r="AA237" s="24">
        <f>$V$114*INDEX($C$96:$AL$96,1,6)</f>
        <v/>
      </c>
      <c r="AB237" s="24">
        <f>$V$114*INDEX($C$96:$AL$96,1,7)</f>
        <v/>
      </c>
      <c r="AC237" s="24">
        <f>$V$114*INDEX($C$96:$AL$96,1,8)</f>
        <v/>
      </c>
      <c r="AD237" s="24">
        <f>$V$114*INDEX($C$96:$AL$96,1,9)</f>
        <v/>
      </c>
      <c r="AE237" s="24">
        <f>$V$114*INDEX($C$96:$AL$96,1,10)</f>
        <v/>
      </c>
      <c r="AF237" s="24">
        <f>$V$114*INDEX($C$96:$AL$96,1,11)</f>
        <v/>
      </c>
    </row>
    <row r="238">
      <c r="A238" s="4" t="inlineStr">
        <is>
          <t>Coorte del mese 21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>
        <f>$W$114*INDEX($C$96:$AL$96,1,1)</f>
        <v/>
      </c>
      <c r="X238" s="24">
        <f>$W$114*INDEX($C$96:$AL$96,1,2)</f>
        <v/>
      </c>
      <c r="Y238" s="24">
        <f>$W$114*INDEX($C$96:$AL$96,1,3)</f>
        <v/>
      </c>
      <c r="Z238" s="24">
        <f>$W$114*INDEX($C$96:$AL$96,1,4)</f>
        <v/>
      </c>
      <c r="AA238" s="24">
        <f>$W$114*INDEX($C$96:$AL$96,1,5)</f>
        <v/>
      </c>
      <c r="AB238" s="24">
        <f>$W$114*INDEX($C$96:$AL$96,1,6)</f>
        <v/>
      </c>
      <c r="AC238" s="24">
        <f>$W$114*INDEX($C$96:$AL$96,1,7)</f>
        <v/>
      </c>
      <c r="AD238" s="24">
        <f>$W$114*INDEX($C$96:$AL$96,1,8)</f>
        <v/>
      </c>
      <c r="AE238" s="24">
        <f>$W$114*INDEX($C$96:$AL$96,1,9)</f>
        <v/>
      </c>
      <c r="AF238" s="24">
        <f>$W$114*INDEX($C$96:$AL$96,1,10)</f>
        <v/>
      </c>
    </row>
    <row r="239">
      <c r="A239" s="4" t="inlineStr">
        <is>
          <t>Coorte del mese 22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>
        <f>$X$114*INDEX($C$96:$AL$96,1,1)</f>
        <v/>
      </c>
      <c r="Y239" s="24">
        <f>$X$114*INDEX($C$96:$AL$96,1,2)</f>
        <v/>
      </c>
      <c r="Z239" s="24">
        <f>$X$114*INDEX($C$96:$AL$96,1,3)</f>
        <v/>
      </c>
      <c r="AA239" s="24">
        <f>$X$114*INDEX($C$96:$AL$96,1,4)</f>
        <v/>
      </c>
      <c r="AB239" s="24">
        <f>$X$114*INDEX($C$96:$AL$96,1,5)</f>
        <v/>
      </c>
      <c r="AC239" s="24">
        <f>$X$114*INDEX($C$96:$AL$96,1,6)</f>
        <v/>
      </c>
      <c r="AD239" s="24">
        <f>$X$114*INDEX($C$96:$AL$96,1,7)</f>
        <v/>
      </c>
      <c r="AE239" s="24">
        <f>$X$114*INDEX($C$96:$AL$96,1,8)</f>
        <v/>
      </c>
      <c r="AF239" s="24">
        <f>$X$114*INDEX($C$96:$AL$96,1,9)</f>
        <v/>
      </c>
    </row>
    <row r="240">
      <c r="A240" s="4" t="inlineStr">
        <is>
          <t>Coorte del mese 23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>
        <f>$Y$114*INDEX($C$96:$AL$96,1,1)</f>
        <v/>
      </c>
      <c r="Z240" s="24">
        <f>$Y$114*INDEX($C$96:$AL$96,1,2)</f>
        <v/>
      </c>
      <c r="AA240" s="24">
        <f>$Y$114*INDEX($C$96:$AL$96,1,3)</f>
        <v/>
      </c>
      <c r="AB240" s="24">
        <f>$Y$114*INDEX($C$96:$AL$96,1,4)</f>
        <v/>
      </c>
      <c r="AC240" s="24">
        <f>$Y$114*INDEX($C$96:$AL$96,1,5)</f>
        <v/>
      </c>
      <c r="AD240" s="24">
        <f>$Y$114*INDEX($C$96:$AL$96,1,6)</f>
        <v/>
      </c>
      <c r="AE240" s="24">
        <f>$Y$114*INDEX($C$96:$AL$96,1,7)</f>
        <v/>
      </c>
      <c r="AF240" s="24">
        <f>$Y$114*INDEX($C$96:$AL$96,1,8)</f>
        <v/>
      </c>
    </row>
    <row r="241">
      <c r="A241" s="4" t="inlineStr">
        <is>
          <t>Coorte del mese 24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>
        <f>$Z$114*INDEX($C$96:$AL$96,1,1)</f>
        <v/>
      </c>
      <c r="AA241" s="24">
        <f>$Z$114*INDEX($C$96:$AL$96,1,2)</f>
        <v/>
      </c>
      <c r="AB241" s="24">
        <f>$Z$114*INDEX($C$96:$AL$96,1,3)</f>
        <v/>
      </c>
      <c r="AC241" s="24">
        <f>$Z$114*INDEX($C$96:$AL$96,1,4)</f>
        <v/>
      </c>
      <c r="AD241" s="24">
        <f>$Z$114*INDEX($C$96:$AL$96,1,5)</f>
        <v/>
      </c>
      <c r="AE241" s="24">
        <f>$Z$114*INDEX($C$96:$AL$96,1,6)</f>
        <v/>
      </c>
      <c r="AF241" s="24">
        <f>$Z$114*INDEX($C$96:$AL$96,1,7)</f>
        <v/>
      </c>
    </row>
    <row r="242">
      <c r="A242" s="4" t="inlineStr">
        <is>
          <t>Coorte del mese 25</t>
        </is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>
        <f>$AA$114*INDEX($C$96:$AL$96,1,1)</f>
        <v/>
      </c>
      <c r="AB242" s="24">
        <f>$AA$114*INDEX($C$96:$AL$96,1,2)</f>
        <v/>
      </c>
      <c r="AC242" s="24">
        <f>$AA$114*INDEX($C$96:$AL$96,1,3)</f>
        <v/>
      </c>
      <c r="AD242" s="24">
        <f>$AA$114*INDEX($C$96:$AL$96,1,4)</f>
        <v/>
      </c>
      <c r="AE242" s="24">
        <f>$AA$114*INDEX($C$96:$AL$96,1,5)</f>
        <v/>
      </c>
      <c r="AF242" s="24">
        <f>$AA$114*INDEX($C$96:$AL$96,1,6)</f>
        <v/>
      </c>
    </row>
    <row r="243">
      <c r="A243" s="4" t="inlineStr">
        <is>
          <t>Coorte del mese 26</t>
        </is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>
        <f>$AB$114*INDEX($C$96:$AL$96,1,1)</f>
        <v/>
      </c>
      <c r="AC243" s="24">
        <f>$AB$114*INDEX($C$96:$AL$96,1,2)</f>
        <v/>
      </c>
      <c r="AD243" s="24">
        <f>$AB$114*INDEX($C$96:$AL$96,1,3)</f>
        <v/>
      </c>
      <c r="AE243" s="24">
        <f>$AB$114*INDEX($C$96:$AL$96,1,4)</f>
        <v/>
      </c>
      <c r="AF243" s="24">
        <f>$AB$114*INDEX($C$96:$AL$96,1,5)</f>
        <v/>
      </c>
    </row>
    <row r="244">
      <c r="A244" s="4" t="inlineStr">
        <is>
          <t>Coorte del mese 27</t>
        </is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>
        <f>$AC$114*INDEX($C$96:$AL$96,1,1)</f>
        <v/>
      </c>
      <c r="AD244" s="24">
        <f>$AC$114*INDEX($C$96:$AL$96,1,2)</f>
        <v/>
      </c>
      <c r="AE244" s="24">
        <f>$AC$114*INDEX($C$96:$AL$96,1,3)</f>
        <v/>
      </c>
      <c r="AF244" s="24">
        <f>$AC$114*INDEX($C$96:$AL$96,1,4)</f>
        <v/>
      </c>
    </row>
    <row r="245">
      <c r="A245" s="4" t="inlineStr">
        <is>
          <t>Coorte del mese 28</t>
        </is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0</v>
      </c>
      <c r="AC245" s="24" t="n">
        <v>0</v>
      </c>
      <c r="AD245" s="24">
        <f>$AD$114*INDEX($C$96:$AL$96,1,1)</f>
        <v/>
      </c>
      <c r="AE245" s="24">
        <f>$AD$114*INDEX($C$96:$AL$96,1,2)</f>
        <v/>
      </c>
      <c r="AF245" s="24">
        <f>$AD$114*INDEX($C$96:$AL$96,1,3)</f>
        <v/>
      </c>
    </row>
    <row r="246">
      <c r="A246" s="4" t="inlineStr">
        <is>
          <t>Coorte del mese 29</t>
        </is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4" t="n">
        <v>0</v>
      </c>
      <c r="AD246" s="24" t="n">
        <v>0</v>
      </c>
      <c r="AE246" s="24">
        <f>$AE$114*INDEX($C$96:$AL$96,1,1)</f>
        <v/>
      </c>
      <c r="AF246" s="24">
        <f>$AE$114*INDEX($C$96:$AL$96,1,2)</f>
        <v/>
      </c>
    </row>
    <row r="247">
      <c r="A247" s="4" t="inlineStr">
        <is>
          <t>Coorte del mese 30</t>
        </is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>
        <f>$AF$114*INDEX($C$96:$AL$96,1,1)</f>
        <v/>
      </c>
    </row>
    <row r="248">
      <c r="A248" s="3" t="inlineStr">
        <is>
          <t>Totale abbonamento: ordini</t>
        </is>
      </c>
      <c r="C248" s="25">
        <f>SUM(C218:C247)</f>
        <v/>
      </c>
      <c r="D248" s="25">
        <f>SUM(D218:D247)</f>
        <v/>
      </c>
      <c r="E248" s="25">
        <f>SUM(E218:E247)</f>
        <v/>
      </c>
      <c r="F248" s="25">
        <f>SUM(F218:F247)</f>
        <v/>
      </c>
      <c r="G248" s="25">
        <f>SUM(G218:G247)</f>
        <v/>
      </c>
      <c r="H248" s="25">
        <f>SUM(H218:H247)</f>
        <v/>
      </c>
      <c r="I248" s="25">
        <f>SUM(I218:I247)</f>
        <v/>
      </c>
      <c r="J248" s="25">
        <f>SUM(J218:J247)</f>
        <v/>
      </c>
      <c r="K248" s="25">
        <f>SUM(K218:K247)</f>
        <v/>
      </c>
      <c r="L248" s="25">
        <f>SUM(L218:L247)</f>
        <v/>
      </c>
      <c r="M248" s="25">
        <f>SUM(M218:M247)</f>
        <v/>
      </c>
      <c r="N248" s="25">
        <f>SUM(N218:N247)</f>
        <v/>
      </c>
      <c r="O248" s="25">
        <f>SUM(O218:O247)</f>
        <v/>
      </c>
      <c r="P248" s="25">
        <f>SUM(P218:P247)</f>
        <v/>
      </c>
      <c r="Q248" s="25">
        <f>SUM(Q218:Q247)</f>
        <v/>
      </c>
      <c r="R248" s="25">
        <f>SUM(R218:R247)</f>
        <v/>
      </c>
      <c r="S248" s="25">
        <f>SUM(S218:S247)</f>
        <v/>
      </c>
      <c r="T248" s="25">
        <f>SUM(T218:T247)</f>
        <v/>
      </c>
      <c r="U248" s="25">
        <f>SUM(U218:U247)</f>
        <v/>
      </c>
      <c r="V248" s="25">
        <f>SUM(V218:V247)</f>
        <v/>
      </c>
      <c r="W248" s="25">
        <f>SUM(W218:W247)</f>
        <v/>
      </c>
      <c r="X248" s="25">
        <f>SUM(X218:X247)</f>
        <v/>
      </c>
      <c r="Y248" s="25">
        <f>SUM(Y218:Y247)</f>
        <v/>
      </c>
      <c r="Z248" s="25">
        <f>SUM(Z218:Z247)</f>
        <v/>
      </c>
      <c r="AA248" s="25">
        <f>SUM(AA218:AA247)</f>
        <v/>
      </c>
      <c r="AB248" s="25">
        <f>SUM(AB218:AB247)</f>
        <v/>
      </c>
      <c r="AC248" s="25">
        <f>SUM(AC218:AC247)</f>
        <v/>
      </c>
      <c r="AD248" s="25">
        <f>SUM(AD218:AD247)</f>
        <v/>
      </c>
      <c r="AE248" s="25">
        <f>SUM(AE218:AE247)</f>
        <v/>
      </c>
      <c r="AF248" s="25">
        <f>SUM(AF218:AF247)</f>
        <v/>
      </c>
    </row>
    <row r="250">
      <c r="A250" s="10" t="inlineStr">
        <is>
          <t>Singolo: ordini per coorte (righe = mese di acquisizione, colonne = mese di calendario)</t>
        </is>
      </c>
    </row>
    <row r="251">
      <c r="A251" s="4" t="inlineStr">
        <is>
          <t>Coorte del mese 1</t>
        </is>
      </c>
      <c r="C251" s="24">
        <f>$C$115*INDEX($C$97:$AL$97,1,1)</f>
        <v/>
      </c>
      <c r="D251" s="24">
        <f>$C$115*INDEX($C$97:$AL$97,1,2)</f>
        <v/>
      </c>
      <c r="E251" s="24">
        <f>$C$115*INDEX($C$97:$AL$97,1,3)</f>
        <v/>
      </c>
      <c r="F251" s="24">
        <f>$C$115*INDEX($C$97:$AL$97,1,4)</f>
        <v/>
      </c>
      <c r="G251" s="24">
        <f>$C$115*INDEX($C$97:$AL$97,1,5)</f>
        <v/>
      </c>
      <c r="H251" s="24">
        <f>$C$115*INDEX($C$97:$AL$97,1,6)</f>
        <v/>
      </c>
      <c r="I251" s="24">
        <f>$C$115*INDEX($C$97:$AL$97,1,7)</f>
        <v/>
      </c>
      <c r="J251" s="24">
        <f>$C$115*INDEX($C$97:$AL$97,1,8)</f>
        <v/>
      </c>
      <c r="K251" s="24">
        <f>$C$115*INDEX($C$97:$AL$97,1,9)</f>
        <v/>
      </c>
      <c r="L251" s="24">
        <f>$C$115*INDEX($C$97:$AL$97,1,10)</f>
        <v/>
      </c>
      <c r="M251" s="24">
        <f>$C$115*INDEX($C$97:$AL$97,1,11)</f>
        <v/>
      </c>
      <c r="N251" s="24">
        <f>$C$115*INDEX($C$97:$AL$97,1,12)</f>
        <v/>
      </c>
      <c r="O251" s="24">
        <f>$C$115*INDEX($C$97:$AL$97,1,13)</f>
        <v/>
      </c>
      <c r="P251" s="24">
        <f>$C$115*INDEX($C$97:$AL$97,1,14)</f>
        <v/>
      </c>
      <c r="Q251" s="24">
        <f>$C$115*INDEX($C$97:$AL$97,1,15)</f>
        <v/>
      </c>
      <c r="R251" s="24">
        <f>$C$115*INDEX($C$97:$AL$97,1,16)</f>
        <v/>
      </c>
      <c r="S251" s="24">
        <f>$C$115*INDEX($C$97:$AL$97,1,17)</f>
        <v/>
      </c>
      <c r="T251" s="24">
        <f>$C$115*INDEX($C$97:$AL$97,1,18)</f>
        <v/>
      </c>
      <c r="U251" s="24">
        <f>$C$115*INDEX($C$97:$AL$97,1,19)</f>
        <v/>
      </c>
      <c r="V251" s="24">
        <f>$C$115*INDEX($C$97:$AL$97,1,20)</f>
        <v/>
      </c>
      <c r="W251" s="24">
        <f>$C$115*INDEX($C$97:$AL$97,1,21)</f>
        <v/>
      </c>
      <c r="X251" s="24">
        <f>$C$115*INDEX($C$97:$AL$97,1,22)</f>
        <v/>
      </c>
      <c r="Y251" s="24">
        <f>$C$115*INDEX($C$97:$AL$97,1,23)</f>
        <v/>
      </c>
      <c r="Z251" s="24">
        <f>$C$115*INDEX($C$97:$AL$97,1,24)</f>
        <v/>
      </c>
      <c r="AA251" s="24">
        <f>$C$115*INDEX($C$97:$AL$97,1,25)</f>
        <v/>
      </c>
      <c r="AB251" s="24">
        <f>$C$115*INDEX($C$97:$AL$97,1,26)</f>
        <v/>
      </c>
      <c r="AC251" s="24">
        <f>$C$115*INDEX($C$97:$AL$97,1,27)</f>
        <v/>
      </c>
      <c r="AD251" s="24">
        <f>$C$115*INDEX($C$97:$AL$97,1,28)</f>
        <v/>
      </c>
      <c r="AE251" s="24">
        <f>$C$115*INDEX($C$97:$AL$97,1,29)</f>
        <v/>
      </c>
      <c r="AF251" s="24">
        <f>$C$115*INDEX($C$97:$AL$97,1,30)</f>
        <v/>
      </c>
    </row>
    <row r="252">
      <c r="A252" s="4" t="inlineStr">
        <is>
          <t>Coorte del mese 2</t>
        </is>
      </c>
      <c r="C252" s="24" t="n">
        <v>0</v>
      </c>
      <c r="D252" s="24">
        <f>$D$115*INDEX($C$97:$AL$97,1,1)</f>
        <v/>
      </c>
      <c r="E252" s="24">
        <f>$D$115*INDEX($C$97:$AL$97,1,2)</f>
        <v/>
      </c>
      <c r="F252" s="24">
        <f>$D$115*INDEX($C$97:$AL$97,1,3)</f>
        <v/>
      </c>
      <c r="G252" s="24">
        <f>$D$115*INDEX($C$97:$AL$97,1,4)</f>
        <v/>
      </c>
      <c r="H252" s="24">
        <f>$D$115*INDEX($C$97:$AL$97,1,5)</f>
        <v/>
      </c>
      <c r="I252" s="24">
        <f>$D$115*INDEX($C$97:$AL$97,1,6)</f>
        <v/>
      </c>
      <c r="J252" s="24">
        <f>$D$115*INDEX($C$97:$AL$97,1,7)</f>
        <v/>
      </c>
      <c r="K252" s="24">
        <f>$D$115*INDEX($C$97:$AL$97,1,8)</f>
        <v/>
      </c>
      <c r="L252" s="24">
        <f>$D$115*INDEX($C$97:$AL$97,1,9)</f>
        <v/>
      </c>
      <c r="M252" s="24">
        <f>$D$115*INDEX($C$97:$AL$97,1,10)</f>
        <v/>
      </c>
      <c r="N252" s="24">
        <f>$D$115*INDEX($C$97:$AL$97,1,11)</f>
        <v/>
      </c>
      <c r="O252" s="24">
        <f>$D$115*INDEX($C$97:$AL$97,1,12)</f>
        <v/>
      </c>
      <c r="P252" s="24">
        <f>$D$115*INDEX($C$97:$AL$97,1,13)</f>
        <v/>
      </c>
      <c r="Q252" s="24">
        <f>$D$115*INDEX($C$97:$AL$97,1,14)</f>
        <v/>
      </c>
      <c r="R252" s="24">
        <f>$D$115*INDEX($C$97:$AL$97,1,15)</f>
        <v/>
      </c>
      <c r="S252" s="24">
        <f>$D$115*INDEX($C$97:$AL$97,1,16)</f>
        <v/>
      </c>
      <c r="T252" s="24">
        <f>$D$115*INDEX($C$97:$AL$97,1,17)</f>
        <v/>
      </c>
      <c r="U252" s="24">
        <f>$D$115*INDEX($C$97:$AL$97,1,18)</f>
        <v/>
      </c>
      <c r="V252" s="24">
        <f>$D$115*INDEX($C$97:$AL$97,1,19)</f>
        <v/>
      </c>
      <c r="W252" s="24">
        <f>$D$115*INDEX($C$97:$AL$97,1,20)</f>
        <v/>
      </c>
      <c r="X252" s="24">
        <f>$D$115*INDEX($C$97:$AL$97,1,21)</f>
        <v/>
      </c>
      <c r="Y252" s="24">
        <f>$D$115*INDEX($C$97:$AL$97,1,22)</f>
        <v/>
      </c>
      <c r="Z252" s="24">
        <f>$D$115*INDEX($C$97:$AL$97,1,23)</f>
        <v/>
      </c>
      <c r="AA252" s="24">
        <f>$D$115*INDEX($C$97:$AL$97,1,24)</f>
        <v/>
      </c>
      <c r="AB252" s="24">
        <f>$D$115*INDEX($C$97:$AL$97,1,25)</f>
        <v/>
      </c>
      <c r="AC252" s="24">
        <f>$D$115*INDEX($C$97:$AL$97,1,26)</f>
        <v/>
      </c>
      <c r="AD252" s="24">
        <f>$D$115*INDEX($C$97:$AL$97,1,27)</f>
        <v/>
      </c>
      <c r="AE252" s="24">
        <f>$D$115*INDEX($C$97:$AL$97,1,28)</f>
        <v/>
      </c>
      <c r="AF252" s="24">
        <f>$D$115*INDEX($C$97:$AL$97,1,29)</f>
        <v/>
      </c>
    </row>
    <row r="253">
      <c r="A253" s="4" t="inlineStr">
        <is>
          <t>Coorte del mese 3</t>
        </is>
      </c>
      <c r="C253" s="24" t="n">
        <v>0</v>
      </c>
      <c r="D253" s="24" t="n">
        <v>0</v>
      </c>
      <c r="E253" s="24">
        <f>$E$115*INDEX($C$97:$AL$97,1,1)</f>
        <v/>
      </c>
      <c r="F253" s="24">
        <f>$E$115*INDEX($C$97:$AL$97,1,2)</f>
        <v/>
      </c>
      <c r="G253" s="24">
        <f>$E$115*INDEX($C$97:$AL$97,1,3)</f>
        <v/>
      </c>
      <c r="H253" s="24">
        <f>$E$115*INDEX($C$97:$AL$97,1,4)</f>
        <v/>
      </c>
      <c r="I253" s="24">
        <f>$E$115*INDEX($C$97:$AL$97,1,5)</f>
        <v/>
      </c>
      <c r="J253" s="24">
        <f>$E$115*INDEX($C$97:$AL$97,1,6)</f>
        <v/>
      </c>
      <c r="K253" s="24">
        <f>$E$115*INDEX($C$97:$AL$97,1,7)</f>
        <v/>
      </c>
      <c r="L253" s="24">
        <f>$E$115*INDEX($C$97:$AL$97,1,8)</f>
        <v/>
      </c>
      <c r="M253" s="24">
        <f>$E$115*INDEX($C$97:$AL$97,1,9)</f>
        <v/>
      </c>
      <c r="N253" s="24">
        <f>$E$115*INDEX($C$97:$AL$97,1,10)</f>
        <v/>
      </c>
      <c r="O253" s="24">
        <f>$E$115*INDEX($C$97:$AL$97,1,11)</f>
        <v/>
      </c>
      <c r="P253" s="24">
        <f>$E$115*INDEX($C$97:$AL$97,1,12)</f>
        <v/>
      </c>
      <c r="Q253" s="24">
        <f>$E$115*INDEX($C$97:$AL$97,1,13)</f>
        <v/>
      </c>
      <c r="R253" s="24">
        <f>$E$115*INDEX($C$97:$AL$97,1,14)</f>
        <v/>
      </c>
      <c r="S253" s="24">
        <f>$E$115*INDEX($C$97:$AL$97,1,15)</f>
        <v/>
      </c>
      <c r="T253" s="24">
        <f>$E$115*INDEX($C$97:$AL$97,1,16)</f>
        <v/>
      </c>
      <c r="U253" s="24">
        <f>$E$115*INDEX($C$97:$AL$97,1,17)</f>
        <v/>
      </c>
      <c r="V253" s="24">
        <f>$E$115*INDEX($C$97:$AL$97,1,18)</f>
        <v/>
      </c>
      <c r="W253" s="24">
        <f>$E$115*INDEX($C$97:$AL$97,1,19)</f>
        <v/>
      </c>
      <c r="X253" s="24">
        <f>$E$115*INDEX($C$97:$AL$97,1,20)</f>
        <v/>
      </c>
      <c r="Y253" s="24">
        <f>$E$115*INDEX($C$97:$AL$97,1,21)</f>
        <v/>
      </c>
      <c r="Z253" s="24">
        <f>$E$115*INDEX($C$97:$AL$97,1,22)</f>
        <v/>
      </c>
      <c r="AA253" s="24">
        <f>$E$115*INDEX($C$97:$AL$97,1,23)</f>
        <v/>
      </c>
      <c r="AB253" s="24">
        <f>$E$115*INDEX($C$97:$AL$97,1,24)</f>
        <v/>
      </c>
      <c r="AC253" s="24">
        <f>$E$115*INDEX($C$97:$AL$97,1,25)</f>
        <v/>
      </c>
      <c r="AD253" s="24">
        <f>$E$115*INDEX($C$97:$AL$97,1,26)</f>
        <v/>
      </c>
      <c r="AE253" s="24">
        <f>$E$115*INDEX($C$97:$AL$97,1,27)</f>
        <v/>
      </c>
      <c r="AF253" s="24">
        <f>$E$115*INDEX($C$97:$AL$97,1,28)</f>
        <v/>
      </c>
    </row>
    <row r="254">
      <c r="A254" s="4" t="inlineStr">
        <is>
          <t>Coorte del mese 4</t>
        </is>
      </c>
      <c r="C254" s="24" t="n">
        <v>0</v>
      </c>
      <c r="D254" s="24" t="n">
        <v>0</v>
      </c>
      <c r="E254" s="24" t="n">
        <v>0</v>
      </c>
      <c r="F254" s="24">
        <f>$F$115*INDEX($C$97:$AL$97,1,1)</f>
        <v/>
      </c>
      <c r="G254" s="24">
        <f>$F$115*INDEX($C$97:$AL$97,1,2)</f>
        <v/>
      </c>
      <c r="H254" s="24">
        <f>$F$115*INDEX($C$97:$AL$97,1,3)</f>
        <v/>
      </c>
      <c r="I254" s="24">
        <f>$F$115*INDEX($C$97:$AL$97,1,4)</f>
        <v/>
      </c>
      <c r="J254" s="24">
        <f>$F$115*INDEX($C$97:$AL$97,1,5)</f>
        <v/>
      </c>
      <c r="K254" s="24">
        <f>$F$115*INDEX($C$97:$AL$97,1,6)</f>
        <v/>
      </c>
      <c r="L254" s="24">
        <f>$F$115*INDEX($C$97:$AL$97,1,7)</f>
        <v/>
      </c>
      <c r="M254" s="24">
        <f>$F$115*INDEX($C$97:$AL$97,1,8)</f>
        <v/>
      </c>
      <c r="N254" s="24">
        <f>$F$115*INDEX($C$97:$AL$97,1,9)</f>
        <v/>
      </c>
      <c r="O254" s="24">
        <f>$F$115*INDEX($C$97:$AL$97,1,10)</f>
        <v/>
      </c>
      <c r="P254" s="24">
        <f>$F$115*INDEX($C$97:$AL$97,1,11)</f>
        <v/>
      </c>
      <c r="Q254" s="24">
        <f>$F$115*INDEX($C$97:$AL$97,1,12)</f>
        <v/>
      </c>
      <c r="R254" s="24">
        <f>$F$115*INDEX($C$97:$AL$97,1,13)</f>
        <v/>
      </c>
      <c r="S254" s="24">
        <f>$F$115*INDEX($C$97:$AL$97,1,14)</f>
        <v/>
      </c>
      <c r="T254" s="24">
        <f>$F$115*INDEX($C$97:$AL$97,1,15)</f>
        <v/>
      </c>
      <c r="U254" s="24">
        <f>$F$115*INDEX($C$97:$AL$97,1,16)</f>
        <v/>
      </c>
      <c r="V254" s="24">
        <f>$F$115*INDEX($C$97:$AL$97,1,17)</f>
        <v/>
      </c>
      <c r="W254" s="24">
        <f>$F$115*INDEX($C$97:$AL$97,1,18)</f>
        <v/>
      </c>
      <c r="X254" s="24">
        <f>$F$115*INDEX($C$97:$AL$97,1,19)</f>
        <v/>
      </c>
      <c r="Y254" s="24">
        <f>$F$115*INDEX($C$97:$AL$97,1,20)</f>
        <v/>
      </c>
      <c r="Z254" s="24">
        <f>$F$115*INDEX($C$97:$AL$97,1,21)</f>
        <v/>
      </c>
      <c r="AA254" s="24">
        <f>$F$115*INDEX($C$97:$AL$97,1,22)</f>
        <v/>
      </c>
      <c r="AB254" s="24">
        <f>$F$115*INDEX($C$97:$AL$97,1,23)</f>
        <v/>
      </c>
      <c r="AC254" s="24">
        <f>$F$115*INDEX($C$97:$AL$97,1,24)</f>
        <v/>
      </c>
      <c r="AD254" s="24">
        <f>$F$115*INDEX($C$97:$AL$97,1,25)</f>
        <v/>
      </c>
      <c r="AE254" s="24">
        <f>$F$115*INDEX($C$97:$AL$97,1,26)</f>
        <v/>
      </c>
      <c r="AF254" s="24">
        <f>$F$115*INDEX($C$97:$AL$97,1,27)</f>
        <v/>
      </c>
    </row>
    <row r="255">
      <c r="A255" s="4" t="inlineStr">
        <is>
          <t>Coorte del mese 5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>
        <f>$G$115*INDEX($C$97:$AL$97,1,1)</f>
        <v/>
      </c>
      <c r="H255" s="24">
        <f>$G$115*INDEX($C$97:$AL$97,1,2)</f>
        <v/>
      </c>
      <c r="I255" s="24">
        <f>$G$115*INDEX($C$97:$AL$97,1,3)</f>
        <v/>
      </c>
      <c r="J255" s="24">
        <f>$G$115*INDEX($C$97:$AL$97,1,4)</f>
        <v/>
      </c>
      <c r="K255" s="24">
        <f>$G$115*INDEX($C$97:$AL$97,1,5)</f>
        <v/>
      </c>
      <c r="L255" s="24">
        <f>$G$115*INDEX($C$97:$AL$97,1,6)</f>
        <v/>
      </c>
      <c r="M255" s="24">
        <f>$G$115*INDEX($C$97:$AL$97,1,7)</f>
        <v/>
      </c>
      <c r="N255" s="24">
        <f>$G$115*INDEX($C$97:$AL$97,1,8)</f>
        <v/>
      </c>
      <c r="O255" s="24">
        <f>$G$115*INDEX($C$97:$AL$97,1,9)</f>
        <v/>
      </c>
      <c r="P255" s="24">
        <f>$G$115*INDEX($C$97:$AL$97,1,10)</f>
        <v/>
      </c>
      <c r="Q255" s="24">
        <f>$G$115*INDEX($C$97:$AL$97,1,11)</f>
        <v/>
      </c>
      <c r="R255" s="24">
        <f>$G$115*INDEX($C$97:$AL$97,1,12)</f>
        <v/>
      </c>
      <c r="S255" s="24">
        <f>$G$115*INDEX($C$97:$AL$97,1,13)</f>
        <v/>
      </c>
      <c r="T255" s="24">
        <f>$G$115*INDEX($C$97:$AL$97,1,14)</f>
        <v/>
      </c>
      <c r="U255" s="24">
        <f>$G$115*INDEX($C$97:$AL$97,1,15)</f>
        <v/>
      </c>
      <c r="V255" s="24">
        <f>$G$115*INDEX($C$97:$AL$97,1,16)</f>
        <v/>
      </c>
      <c r="W255" s="24">
        <f>$G$115*INDEX($C$97:$AL$97,1,17)</f>
        <v/>
      </c>
      <c r="X255" s="24">
        <f>$G$115*INDEX($C$97:$AL$97,1,18)</f>
        <v/>
      </c>
      <c r="Y255" s="24">
        <f>$G$115*INDEX($C$97:$AL$97,1,19)</f>
        <v/>
      </c>
      <c r="Z255" s="24">
        <f>$G$115*INDEX($C$97:$AL$97,1,20)</f>
        <v/>
      </c>
      <c r="AA255" s="24">
        <f>$G$115*INDEX($C$97:$AL$97,1,21)</f>
        <v/>
      </c>
      <c r="AB255" s="24">
        <f>$G$115*INDEX($C$97:$AL$97,1,22)</f>
        <v/>
      </c>
      <c r="AC255" s="24">
        <f>$G$115*INDEX($C$97:$AL$97,1,23)</f>
        <v/>
      </c>
      <c r="AD255" s="24">
        <f>$G$115*INDEX($C$97:$AL$97,1,24)</f>
        <v/>
      </c>
      <c r="AE255" s="24">
        <f>$G$115*INDEX($C$97:$AL$97,1,25)</f>
        <v/>
      </c>
      <c r="AF255" s="24">
        <f>$G$115*INDEX($C$97:$AL$97,1,26)</f>
        <v/>
      </c>
    </row>
    <row r="256">
      <c r="A256" s="4" t="inlineStr">
        <is>
          <t>Coorte del mese 6</t>
        </is>
      </c>
      <c r="C256" s="24" t="n">
        <v>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$H$115*INDEX($C$97:$AL$97,1,1)</f>
        <v/>
      </c>
      <c r="I256" s="24">
        <f>$H$115*INDEX($C$97:$AL$97,1,2)</f>
        <v/>
      </c>
      <c r="J256" s="24">
        <f>$H$115*INDEX($C$97:$AL$97,1,3)</f>
        <v/>
      </c>
      <c r="K256" s="24">
        <f>$H$115*INDEX($C$97:$AL$97,1,4)</f>
        <v/>
      </c>
      <c r="L256" s="24">
        <f>$H$115*INDEX($C$97:$AL$97,1,5)</f>
        <v/>
      </c>
      <c r="M256" s="24">
        <f>$H$115*INDEX($C$97:$AL$97,1,6)</f>
        <v/>
      </c>
      <c r="N256" s="24">
        <f>$H$115*INDEX($C$97:$AL$97,1,7)</f>
        <v/>
      </c>
      <c r="O256" s="24">
        <f>$H$115*INDEX($C$97:$AL$97,1,8)</f>
        <v/>
      </c>
      <c r="P256" s="24">
        <f>$H$115*INDEX($C$97:$AL$97,1,9)</f>
        <v/>
      </c>
      <c r="Q256" s="24">
        <f>$H$115*INDEX($C$97:$AL$97,1,10)</f>
        <v/>
      </c>
      <c r="R256" s="24">
        <f>$H$115*INDEX($C$97:$AL$97,1,11)</f>
        <v/>
      </c>
      <c r="S256" s="24">
        <f>$H$115*INDEX($C$97:$AL$97,1,12)</f>
        <v/>
      </c>
      <c r="T256" s="24">
        <f>$H$115*INDEX($C$97:$AL$97,1,13)</f>
        <v/>
      </c>
      <c r="U256" s="24">
        <f>$H$115*INDEX($C$97:$AL$97,1,14)</f>
        <v/>
      </c>
      <c r="V256" s="24">
        <f>$H$115*INDEX($C$97:$AL$97,1,15)</f>
        <v/>
      </c>
      <c r="W256" s="24">
        <f>$H$115*INDEX($C$97:$AL$97,1,16)</f>
        <v/>
      </c>
      <c r="X256" s="24">
        <f>$H$115*INDEX($C$97:$AL$97,1,17)</f>
        <v/>
      </c>
      <c r="Y256" s="24">
        <f>$H$115*INDEX($C$97:$AL$97,1,18)</f>
        <v/>
      </c>
      <c r="Z256" s="24">
        <f>$H$115*INDEX($C$97:$AL$97,1,19)</f>
        <v/>
      </c>
      <c r="AA256" s="24">
        <f>$H$115*INDEX($C$97:$AL$97,1,20)</f>
        <v/>
      </c>
      <c r="AB256" s="24">
        <f>$H$115*INDEX($C$97:$AL$97,1,21)</f>
        <v/>
      </c>
      <c r="AC256" s="24">
        <f>$H$115*INDEX($C$97:$AL$97,1,22)</f>
        <v/>
      </c>
      <c r="AD256" s="24">
        <f>$H$115*INDEX($C$97:$AL$97,1,23)</f>
        <v/>
      </c>
      <c r="AE256" s="24">
        <f>$H$115*INDEX($C$97:$AL$97,1,24)</f>
        <v/>
      </c>
      <c r="AF256" s="24">
        <f>$H$115*INDEX($C$97:$AL$97,1,25)</f>
        <v/>
      </c>
    </row>
    <row r="257">
      <c r="A257" s="4" t="inlineStr">
        <is>
          <t>Coorte del mese 7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>
        <f>$I$115*INDEX($C$97:$AL$97,1,1)</f>
        <v/>
      </c>
      <c r="J257" s="24">
        <f>$I$115*INDEX($C$97:$AL$97,1,2)</f>
        <v/>
      </c>
      <c r="K257" s="24">
        <f>$I$115*INDEX($C$97:$AL$97,1,3)</f>
        <v/>
      </c>
      <c r="L257" s="24">
        <f>$I$115*INDEX($C$97:$AL$97,1,4)</f>
        <v/>
      </c>
      <c r="M257" s="24">
        <f>$I$115*INDEX($C$97:$AL$97,1,5)</f>
        <v/>
      </c>
      <c r="N257" s="24">
        <f>$I$115*INDEX($C$97:$AL$97,1,6)</f>
        <v/>
      </c>
      <c r="O257" s="24">
        <f>$I$115*INDEX($C$97:$AL$97,1,7)</f>
        <v/>
      </c>
      <c r="P257" s="24">
        <f>$I$115*INDEX($C$97:$AL$97,1,8)</f>
        <v/>
      </c>
      <c r="Q257" s="24">
        <f>$I$115*INDEX($C$97:$AL$97,1,9)</f>
        <v/>
      </c>
      <c r="R257" s="24">
        <f>$I$115*INDEX($C$97:$AL$97,1,10)</f>
        <v/>
      </c>
      <c r="S257" s="24">
        <f>$I$115*INDEX($C$97:$AL$97,1,11)</f>
        <v/>
      </c>
      <c r="T257" s="24">
        <f>$I$115*INDEX($C$97:$AL$97,1,12)</f>
        <v/>
      </c>
      <c r="U257" s="24">
        <f>$I$115*INDEX($C$97:$AL$97,1,13)</f>
        <v/>
      </c>
      <c r="V257" s="24">
        <f>$I$115*INDEX($C$97:$AL$97,1,14)</f>
        <v/>
      </c>
      <c r="W257" s="24">
        <f>$I$115*INDEX($C$97:$AL$97,1,15)</f>
        <v/>
      </c>
      <c r="X257" s="24">
        <f>$I$115*INDEX($C$97:$AL$97,1,16)</f>
        <v/>
      </c>
      <c r="Y257" s="24">
        <f>$I$115*INDEX($C$97:$AL$97,1,17)</f>
        <v/>
      </c>
      <c r="Z257" s="24">
        <f>$I$115*INDEX($C$97:$AL$97,1,18)</f>
        <v/>
      </c>
      <c r="AA257" s="24">
        <f>$I$115*INDEX($C$97:$AL$97,1,19)</f>
        <v/>
      </c>
      <c r="AB257" s="24">
        <f>$I$115*INDEX($C$97:$AL$97,1,20)</f>
        <v/>
      </c>
      <c r="AC257" s="24">
        <f>$I$115*INDEX($C$97:$AL$97,1,21)</f>
        <v/>
      </c>
      <c r="AD257" s="24">
        <f>$I$115*INDEX($C$97:$AL$97,1,22)</f>
        <v/>
      </c>
      <c r="AE257" s="24">
        <f>$I$115*INDEX($C$97:$AL$97,1,23)</f>
        <v/>
      </c>
      <c r="AF257" s="24">
        <f>$I$115*INDEX($C$97:$AL$97,1,24)</f>
        <v/>
      </c>
    </row>
    <row r="258">
      <c r="A258" s="4" t="inlineStr">
        <is>
          <t>Coorte del mese 8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>
        <f>$J$115*INDEX($C$97:$AL$97,1,1)</f>
        <v/>
      </c>
      <c r="K258" s="24">
        <f>$J$115*INDEX($C$97:$AL$97,1,2)</f>
        <v/>
      </c>
      <c r="L258" s="24">
        <f>$J$115*INDEX($C$97:$AL$97,1,3)</f>
        <v/>
      </c>
      <c r="M258" s="24">
        <f>$J$115*INDEX($C$97:$AL$97,1,4)</f>
        <v/>
      </c>
      <c r="N258" s="24">
        <f>$J$115*INDEX($C$97:$AL$97,1,5)</f>
        <v/>
      </c>
      <c r="O258" s="24">
        <f>$J$115*INDEX($C$97:$AL$97,1,6)</f>
        <v/>
      </c>
      <c r="P258" s="24">
        <f>$J$115*INDEX($C$97:$AL$97,1,7)</f>
        <v/>
      </c>
      <c r="Q258" s="24">
        <f>$J$115*INDEX($C$97:$AL$97,1,8)</f>
        <v/>
      </c>
      <c r="R258" s="24">
        <f>$J$115*INDEX($C$97:$AL$97,1,9)</f>
        <v/>
      </c>
      <c r="S258" s="24">
        <f>$J$115*INDEX($C$97:$AL$97,1,10)</f>
        <v/>
      </c>
      <c r="T258" s="24">
        <f>$J$115*INDEX($C$97:$AL$97,1,11)</f>
        <v/>
      </c>
      <c r="U258" s="24">
        <f>$J$115*INDEX($C$97:$AL$97,1,12)</f>
        <v/>
      </c>
      <c r="V258" s="24">
        <f>$J$115*INDEX($C$97:$AL$97,1,13)</f>
        <v/>
      </c>
      <c r="W258" s="24">
        <f>$J$115*INDEX($C$97:$AL$97,1,14)</f>
        <v/>
      </c>
      <c r="X258" s="24">
        <f>$J$115*INDEX($C$97:$AL$97,1,15)</f>
        <v/>
      </c>
      <c r="Y258" s="24">
        <f>$J$115*INDEX($C$97:$AL$97,1,16)</f>
        <v/>
      </c>
      <c r="Z258" s="24">
        <f>$J$115*INDEX($C$97:$AL$97,1,17)</f>
        <v/>
      </c>
      <c r="AA258" s="24">
        <f>$J$115*INDEX($C$97:$AL$97,1,18)</f>
        <v/>
      </c>
      <c r="AB258" s="24">
        <f>$J$115*INDEX($C$97:$AL$97,1,19)</f>
        <v/>
      </c>
      <c r="AC258" s="24">
        <f>$J$115*INDEX($C$97:$AL$97,1,20)</f>
        <v/>
      </c>
      <c r="AD258" s="24">
        <f>$J$115*INDEX($C$97:$AL$97,1,21)</f>
        <v/>
      </c>
      <c r="AE258" s="24">
        <f>$J$115*INDEX($C$97:$AL$97,1,22)</f>
        <v/>
      </c>
      <c r="AF258" s="24">
        <f>$J$115*INDEX($C$97:$AL$97,1,23)</f>
        <v/>
      </c>
    </row>
    <row r="259">
      <c r="A259" s="4" t="inlineStr">
        <is>
          <t>Coorte del mese 9</t>
        </is>
      </c>
      <c r="C259" s="24" t="n">
        <v>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>
        <f>$K$115*INDEX($C$97:$AL$97,1,1)</f>
        <v/>
      </c>
      <c r="L259" s="24">
        <f>$K$115*INDEX($C$97:$AL$97,1,2)</f>
        <v/>
      </c>
      <c r="M259" s="24">
        <f>$K$115*INDEX($C$97:$AL$97,1,3)</f>
        <v/>
      </c>
      <c r="N259" s="24">
        <f>$K$115*INDEX($C$97:$AL$97,1,4)</f>
        <v/>
      </c>
      <c r="O259" s="24">
        <f>$K$115*INDEX($C$97:$AL$97,1,5)</f>
        <v/>
      </c>
      <c r="P259" s="24">
        <f>$K$115*INDEX($C$97:$AL$97,1,6)</f>
        <v/>
      </c>
      <c r="Q259" s="24">
        <f>$K$115*INDEX($C$97:$AL$97,1,7)</f>
        <v/>
      </c>
      <c r="R259" s="24">
        <f>$K$115*INDEX($C$97:$AL$97,1,8)</f>
        <v/>
      </c>
      <c r="S259" s="24">
        <f>$K$115*INDEX($C$97:$AL$97,1,9)</f>
        <v/>
      </c>
      <c r="T259" s="24">
        <f>$K$115*INDEX($C$97:$AL$97,1,10)</f>
        <v/>
      </c>
      <c r="U259" s="24">
        <f>$K$115*INDEX($C$97:$AL$97,1,11)</f>
        <v/>
      </c>
      <c r="V259" s="24">
        <f>$K$115*INDEX($C$97:$AL$97,1,12)</f>
        <v/>
      </c>
      <c r="W259" s="24">
        <f>$K$115*INDEX($C$97:$AL$97,1,13)</f>
        <v/>
      </c>
      <c r="X259" s="24">
        <f>$K$115*INDEX($C$97:$AL$97,1,14)</f>
        <v/>
      </c>
      <c r="Y259" s="24">
        <f>$K$115*INDEX($C$97:$AL$97,1,15)</f>
        <v/>
      </c>
      <c r="Z259" s="24">
        <f>$K$115*INDEX($C$97:$AL$97,1,16)</f>
        <v/>
      </c>
      <c r="AA259" s="24">
        <f>$K$115*INDEX($C$97:$AL$97,1,17)</f>
        <v/>
      </c>
      <c r="AB259" s="24">
        <f>$K$115*INDEX($C$97:$AL$97,1,18)</f>
        <v/>
      </c>
      <c r="AC259" s="24">
        <f>$K$115*INDEX($C$97:$AL$97,1,19)</f>
        <v/>
      </c>
      <c r="AD259" s="24">
        <f>$K$115*INDEX($C$97:$AL$97,1,20)</f>
        <v/>
      </c>
      <c r="AE259" s="24">
        <f>$K$115*INDEX($C$97:$AL$97,1,21)</f>
        <v/>
      </c>
      <c r="AF259" s="24">
        <f>$K$115*INDEX($C$97:$AL$97,1,22)</f>
        <v/>
      </c>
    </row>
    <row r="260">
      <c r="A260" s="4" t="inlineStr">
        <is>
          <t>Coorte del mese 10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>
        <f>$L$115*INDEX($C$97:$AL$97,1,1)</f>
        <v/>
      </c>
      <c r="M260" s="24">
        <f>$L$115*INDEX($C$97:$AL$97,1,2)</f>
        <v/>
      </c>
      <c r="N260" s="24">
        <f>$L$115*INDEX($C$97:$AL$97,1,3)</f>
        <v/>
      </c>
      <c r="O260" s="24">
        <f>$L$115*INDEX($C$97:$AL$97,1,4)</f>
        <v/>
      </c>
      <c r="P260" s="24">
        <f>$L$115*INDEX($C$97:$AL$97,1,5)</f>
        <v/>
      </c>
      <c r="Q260" s="24">
        <f>$L$115*INDEX($C$97:$AL$97,1,6)</f>
        <v/>
      </c>
      <c r="R260" s="24">
        <f>$L$115*INDEX($C$97:$AL$97,1,7)</f>
        <v/>
      </c>
      <c r="S260" s="24">
        <f>$L$115*INDEX($C$97:$AL$97,1,8)</f>
        <v/>
      </c>
      <c r="T260" s="24">
        <f>$L$115*INDEX($C$97:$AL$97,1,9)</f>
        <v/>
      </c>
      <c r="U260" s="24">
        <f>$L$115*INDEX($C$97:$AL$97,1,10)</f>
        <v/>
      </c>
      <c r="V260" s="24">
        <f>$L$115*INDEX($C$97:$AL$97,1,11)</f>
        <v/>
      </c>
      <c r="W260" s="24">
        <f>$L$115*INDEX($C$97:$AL$97,1,12)</f>
        <v/>
      </c>
      <c r="X260" s="24">
        <f>$L$115*INDEX($C$97:$AL$97,1,13)</f>
        <v/>
      </c>
      <c r="Y260" s="24">
        <f>$L$115*INDEX($C$97:$AL$97,1,14)</f>
        <v/>
      </c>
      <c r="Z260" s="24">
        <f>$L$115*INDEX($C$97:$AL$97,1,15)</f>
        <v/>
      </c>
      <c r="AA260" s="24">
        <f>$L$115*INDEX($C$97:$AL$97,1,16)</f>
        <v/>
      </c>
      <c r="AB260" s="24">
        <f>$L$115*INDEX($C$97:$AL$97,1,17)</f>
        <v/>
      </c>
      <c r="AC260" s="24">
        <f>$L$115*INDEX($C$97:$AL$97,1,18)</f>
        <v/>
      </c>
      <c r="AD260" s="24">
        <f>$L$115*INDEX($C$97:$AL$97,1,19)</f>
        <v/>
      </c>
      <c r="AE260" s="24">
        <f>$L$115*INDEX($C$97:$AL$97,1,20)</f>
        <v/>
      </c>
      <c r="AF260" s="24">
        <f>$L$115*INDEX($C$97:$AL$97,1,21)</f>
        <v/>
      </c>
    </row>
    <row r="261">
      <c r="A261" s="4" t="inlineStr">
        <is>
          <t>Coorte del mese 11</t>
        </is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4">
        <f>$M$115*INDEX($C$97:$AL$97,1,1)</f>
        <v/>
      </c>
      <c r="N261" s="24">
        <f>$M$115*INDEX($C$97:$AL$97,1,2)</f>
        <v/>
      </c>
      <c r="O261" s="24">
        <f>$M$115*INDEX($C$97:$AL$97,1,3)</f>
        <v/>
      </c>
      <c r="P261" s="24">
        <f>$M$115*INDEX($C$97:$AL$97,1,4)</f>
        <v/>
      </c>
      <c r="Q261" s="24">
        <f>$M$115*INDEX($C$97:$AL$97,1,5)</f>
        <v/>
      </c>
      <c r="R261" s="24">
        <f>$M$115*INDEX($C$97:$AL$97,1,6)</f>
        <v/>
      </c>
      <c r="S261" s="24">
        <f>$M$115*INDEX($C$97:$AL$97,1,7)</f>
        <v/>
      </c>
      <c r="T261" s="24">
        <f>$M$115*INDEX($C$97:$AL$97,1,8)</f>
        <v/>
      </c>
      <c r="U261" s="24">
        <f>$M$115*INDEX($C$97:$AL$97,1,9)</f>
        <v/>
      </c>
      <c r="V261" s="24">
        <f>$M$115*INDEX($C$97:$AL$97,1,10)</f>
        <v/>
      </c>
      <c r="W261" s="24">
        <f>$M$115*INDEX($C$97:$AL$97,1,11)</f>
        <v/>
      </c>
      <c r="X261" s="24">
        <f>$M$115*INDEX($C$97:$AL$97,1,12)</f>
        <v/>
      </c>
      <c r="Y261" s="24">
        <f>$M$115*INDEX($C$97:$AL$97,1,13)</f>
        <v/>
      </c>
      <c r="Z261" s="24">
        <f>$M$115*INDEX($C$97:$AL$97,1,14)</f>
        <v/>
      </c>
      <c r="AA261" s="24">
        <f>$M$115*INDEX($C$97:$AL$97,1,15)</f>
        <v/>
      </c>
      <c r="AB261" s="24">
        <f>$M$115*INDEX($C$97:$AL$97,1,16)</f>
        <v/>
      </c>
      <c r="AC261" s="24">
        <f>$M$115*INDEX($C$97:$AL$97,1,17)</f>
        <v/>
      </c>
      <c r="AD261" s="24">
        <f>$M$115*INDEX($C$97:$AL$97,1,18)</f>
        <v/>
      </c>
      <c r="AE261" s="24">
        <f>$M$115*INDEX($C$97:$AL$97,1,19)</f>
        <v/>
      </c>
      <c r="AF261" s="24">
        <f>$M$115*INDEX($C$97:$AL$97,1,20)</f>
        <v/>
      </c>
    </row>
    <row r="262">
      <c r="A262" s="4" t="inlineStr">
        <is>
          <t>Coorte del mese 12</t>
        </is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>
        <f>$N$115*INDEX($C$97:$AL$97,1,1)</f>
        <v/>
      </c>
      <c r="O262" s="24">
        <f>$N$115*INDEX($C$97:$AL$97,1,2)</f>
        <v/>
      </c>
      <c r="P262" s="24">
        <f>$N$115*INDEX($C$97:$AL$97,1,3)</f>
        <v/>
      </c>
      <c r="Q262" s="24">
        <f>$N$115*INDEX($C$97:$AL$97,1,4)</f>
        <v/>
      </c>
      <c r="R262" s="24">
        <f>$N$115*INDEX($C$97:$AL$97,1,5)</f>
        <v/>
      </c>
      <c r="S262" s="24">
        <f>$N$115*INDEX($C$97:$AL$97,1,6)</f>
        <v/>
      </c>
      <c r="T262" s="24">
        <f>$N$115*INDEX($C$97:$AL$97,1,7)</f>
        <v/>
      </c>
      <c r="U262" s="24">
        <f>$N$115*INDEX($C$97:$AL$97,1,8)</f>
        <v/>
      </c>
      <c r="V262" s="24">
        <f>$N$115*INDEX($C$97:$AL$97,1,9)</f>
        <v/>
      </c>
      <c r="W262" s="24">
        <f>$N$115*INDEX($C$97:$AL$97,1,10)</f>
        <v/>
      </c>
      <c r="X262" s="24">
        <f>$N$115*INDEX($C$97:$AL$97,1,11)</f>
        <v/>
      </c>
      <c r="Y262" s="24">
        <f>$N$115*INDEX($C$97:$AL$97,1,12)</f>
        <v/>
      </c>
      <c r="Z262" s="24">
        <f>$N$115*INDEX($C$97:$AL$97,1,13)</f>
        <v/>
      </c>
      <c r="AA262" s="24">
        <f>$N$115*INDEX($C$97:$AL$97,1,14)</f>
        <v/>
      </c>
      <c r="AB262" s="24">
        <f>$N$115*INDEX($C$97:$AL$97,1,15)</f>
        <v/>
      </c>
      <c r="AC262" s="24">
        <f>$N$115*INDEX($C$97:$AL$97,1,16)</f>
        <v/>
      </c>
      <c r="AD262" s="24">
        <f>$N$115*INDEX($C$97:$AL$97,1,17)</f>
        <v/>
      </c>
      <c r="AE262" s="24">
        <f>$N$115*INDEX($C$97:$AL$97,1,18)</f>
        <v/>
      </c>
      <c r="AF262" s="24">
        <f>$N$115*INDEX($C$97:$AL$97,1,19)</f>
        <v/>
      </c>
    </row>
    <row r="263">
      <c r="A263" s="4" t="inlineStr">
        <is>
          <t>Coorte del mese 13</t>
        </is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>
        <f>$O$115*INDEX($C$97:$AL$97,1,1)</f>
        <v/>
      </c>
      <c r="P263" s="24">
        <f>$O$115*INDEX($C$97:$AL$97,1,2)</f>
        <v/>
      </c>
      <c r="Q263" s="24">
        <f>$O$115*INDEX($C$97:$AL$97,1,3)</f>
        <v/>
      </c>
      <c r="R263" s="24">
        <f>$O$115*INDEX($C$97:$AL$97,1,4)</f>
        <v/>
      </c>
      <c r="S263" s="24">
        <f>$O$115*INDEX($C$97:$AL$97,1,5)</f>
        <v/>
      </c>
      <c r="T263" s="24">
        <f>$O$115*INDEX($C$97:$AL$97,1,6)</f>
        <v/>
      </c>
      <c r="U263" s="24">
        <f>$O$115*INDEX($C$97:$AL$97,1,7)</f>
        <v/>
      </c>
      <c r="V263" s="24">
        <f>$O$115*INDEX($C$97:$AL$97,1,8)</f>
        <v/>
      </c>
      <c r="W263" s="24">
        <f>$O$115*INDEX($C$97:$AL$97,1,9)</f>
        <v/>
      </c>
      <c r="X263" s="24">
        <f>$O$115*INDEX($C$97:$AL$97,1,10)</f>
        <v/>
      </c>
      <c r="Y263" s="24">
        <f>$O$115*INDEX($C$97:$AL$97,1,11)</f>
        <v/>
      </c>
      <c r="Z263" s="24">
        <f>$O$115*INDEX($C$97:$AL$97,1,12)</f>
        <v/>
      </c>
      <c r="AA263" s="24">
        <f>$O$115*INDEX($C$97:$AL$97,1,13)</f>
        <v/>
      </c>
      <c r="AB263" s="24">
        <f>$O$115*INDEX($C$97:$AL$97,1,14)</f>
        <v/>
      </c>
      <c r="AC263" s="24">
        <f>$O$115*INDEX($C$97:$AL$97,1,15)</f>
        <v/>
      </c>
      <c r="AD263" s="24">
        <f>$O$115*INDEX($C$97:$AL$97,1,16)</f>
        <v/>
      </c>
      <c r="AE263" s="24">
        <f>$O$115*INDEX($C$97:$AL$97,1,17)</f>
        <v/>
      </c>
      <c r="AF263" s="24">
        <f>$O$115*INDEX($C$97:$AL$97,1,18)</f>
        <v/>
      </c>
    </row>
    <row r="264">
      <c r="A264" s="4" t="inlineStr">
        <is>
          <t>Coorte del mese 14</t>
        </is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>
        <f>$P$115*INDEX($C$97:$AL$97,1,1)</f>
        <v/>
      </c>
      <c r="Q264" s="24">
        <f>$P$115*INDEX($C$97:$AL$97,1,2)</f>
        <v/>
      </c>
      <c r="R264" s="24">
        <f>$P$115*INDEX($C$97:$AL$97,1,3)</f>
        <v/>
      </c>
      <c r="S264" s="24">
        <f>$P$115*INDEX($C$97:$AL$97,1,4)</f>
        <v/>
      </c>
      <c r="T264" s="24">
        <f>$P$115*INDEX($C$97:$AL$97,1,5)</f>
        <v/>
      </c>
      <c r="U264" s="24">
        <f>$P$115*INDEX($C$97:$AL$97,1,6)</f>
        <v/>
      </c>
      <c r="V264" s="24">
        <f>$P$115*INDEX($C$97:$AL$97,1,7)</f>
        <v/>
      </c>
      <c r="W264" s="24">
        <f>$P$115*INDEX($C$97:$AL$97,1,8)</f>
        <v/>
      </c>
      <c r="X264" s="24">
        <f>$P$115*INDEX($C$97:$AL$97,1,9)</f>
        <v/>
      </c>
      <c r="Y264" s="24">
        <f>$P$115*INDEX($C$97:$AL$97,1,10)</f>
        <v/>
      </c>
      <c r="Z264" s="24">
        <f>$P$115*INDEX($C$97:$AL$97,1,11)</f>
        <v/>
      </c>
      <c r="AA264" s="24">
        <f>$P$115*INDEX($C$97:$AL$97,1,12)</f>
        <v/>
      </c>
      <c r="AB264" s="24">
        <f>$P$115*INDEX($C$97:$AL$97,1,13)</f>
        <v/>
      </c>
      <c r="AC264" s="24">
        <f>$P$115*INDEX($C$97:$AL$97,1,14)</f>
        <v/>
      </c>
      <c r="AD264" s="24">
        <f>$P$115*INDEX($C$97:$AL$97,1,15)</f>
        <v/>
      </c>
      <c r="AE264" s="24">
        <f>$P$115*INDEX($C$97:$AL$97,1,16)</f>
        <v/>
      </c>
      <c r="AF264" s="24">
        <f>$P$115*INDEX($C$97:$AL$97,1,17)</f>
        <v/>
      </c>
    </row>
    <row r="265">
      <c r="A265" s="4" t="inlineStr">
        <is>
          <t>Coorte del mese 15</t>
        </is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>
        <f>$Q$115*INDEX($C$97:$AL$97,1,1)</f>
        <v/>
      </c>
      <c r="R265" s="24">
        <f>$Q$115*INDEX($C$97:$AL$97,1,2)</f>
        <v/>
      </c>
      <c r="S265" s="24">
        <f>$Q$115*INDEX($C$97:$AL$97,1,3)</f>
        <v/>
      </c>
      <c r="T265" s="24">
        <f>$Q$115*INDEX($C$97:$AL$97,1,4)</f>
        <v/>
      </c>
      <c r="U265" s="24">
        <f>$Q$115*INDEX($C$97:$AL$97,1,5)</f>
        <v/>
      </c>
      <c r="V265" s="24">
        <f>$Q$115*INDEX($C$97:$AL$97,1,6)</f>
        <v/>
      </c>
      <c r="W265" s="24">
        <f>$Q$115*INDEX($C$97:$AL$97,1,7)</f>
        <v/>
      </c>
      <c r="X265" s="24">
        <f>$Q$115*INDEX($C$97:$AL$97,1,8)</f>
        <v/>
      </c>
      <c r="Y265" s="24">
        <f>$Q$115*INDEX($C$97:$AL$97,1,9)</f>
        <v/>
      </c>
      <c r="Z265" s="24">
        <f>$Q$115*INDEX($C$97:$AL$97,1,10)</f>
        <v/>
      </c>
      <c r="AA265" s="24">
        <f>$Q$115*INDEX($C$97:$AL$97,1,11)</f>
        <v/>
      </c>
      <c r="AB265" s="24">
        <f>$Q$115*INDEX($C$97:$AL$97,1,12)</f>
        <v/>
      </c>
      <c r="AC265" s="24">
        <f>$Q$115*INDEX($C$97:$AL$97,1,13)</f>
        <v/>
      </c>
      <c r="AD265" s="24">
        <f>$Q$115*INDEX($C$97:$AL$97,1,14)</f>
        <v/>
      </c>
      <c r="AE265" s="24">
        <f>$Q$115*INDEX($C$97:$AL$97,1,15)</f>
        <v/>
      </c>
      <c r="AF265" s="24">
        <f>$Q$115*INDEX($C$97:$AL$97,1,16)</f>
        <v/>
      </c>
    </row>
    <row r="266">
      <c r="A266" s="4" t="inlineStr">
        <is>
          <t>Coorte del mese 16</t>
        </is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>
        <f>$R$115*INDEX($C$97:$AL$97,1,1)</f>
        <v/>
      </c>
      <c r="S266" s="24">
        <f>$R$115*INDEX($C$97:$AL$97,1,2)</f>
        <v/>
      </c>
      <c r="T266" s="24">
        <f>$R$115*INDEX($C$97:$AL$97,1,3)</f>
        <v/>
      </c>
      <c r="U266" s="24">
        <f>$R$115*INDEX($C$97:$AL$97,1,4)</f>
        <v/>
      </c>
      <c r="V266" s="24">
        <f>$R$115*INDEX($C$97:$AL$97,1,5)</f>
        <v/>
      </c>
      <c r="W266" s="24">
        <f>$R$115*INDEX($C$97:$AL$97,1,6)</f>
        <v/>
      </c>
      <c r="X266" s="24">
        <f>$R$115*INDEX($C$97:$AL$97,1,7)</f>
        <v/>
      </c>
      <c r="Y266" s="24">
        <f>$R$115*INDEX($C$97:$AL$97,1,8)</f>
        <v/>
      </c>
      <c r="Z266" s="24">
        <f>$R$115*INDEX($C$97:$AL$97,1,9)</f>
        <v/>
      </c>
      <c r="AA266" s="24">
        <f>$R$115*INDEX($C$97:$AL$97,1,10)</f>
        <v/>
      </c>
      <c r="AB266" s="24">
        <f>$R$115*INDEX($C$97:$AL$97,1,11)</f>
        <v/>
      </c>
      <c r="AC266" s="24">
        <f>$R$115*INDEX($C$97:$AL$97,1,12)</f>
        <v/>
      </c>
      <c r="AD266" s="24">
        <f>$R$115*INDEX($C$97:$AL$97,1,13)</f>
        <v/>
      </c>
      <c r="AE266" s="24">
        <f>$R$115*INDEX($C$97:$AL$97,1,14)</f>
        <v/>
      </c>
      <c r="AF266" s="24">
        <f>$R$115*INDEX($C$97:$AL$97,1,15)</f>
        <v/>
      </c>
    </row>
    <row r="267">
      <c r="A267" s="4" t="inlineStr">
        <is>
          <t>Coorte del mese 17</t>
        </is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>
        <f>$S$115*INDEX($C$97:$AL$97,1,1)</f>
        <v/>
      </c>
      <c r="T267" s="24">
        <f>$S$115*INDEX($C$97:$AL$97,1,2)</f>
        <v/>
      </c>
      <c r="U267" s="24">
        <f>$S$115*INDEX($C$97:$AL$97,1,3)</f>
        <v/>
      </c>
      <c r="V267" s="24">
        <f>$S$115*INDEX($C$97:$AL$97,1,4)</f>
        <v/>
      </c>
      <c r="W267" s="24">
        <f>$S$115*INDEX($C$97:$AL$97,1,5)</f>
        <v/>
      </c>
      <c r="X267" s="24">
        <f>$S$115*INDEX($C$97:$AL$97,1,6)</f>
        <v/>
      </c>
      <c r="Y267" s="24">
        <f>$S$115*INDEX($C$97:$AL$97,1,7)</f>
        <v/>
      </c>
      <c r="Z267" s="24">
        <f>$S$115*INDEX($C$97:$AL$97,1,8)</f>
        <v/>
      </c>
      <c r="AA267" s="24">
        <f>$S$115*INDEX($C$97:$AL$97,1,9)</f>
        <v/>
      </c>
      <c r="AB267" s="24">
        <f>$S$115*INDEX($C$97:$AL$97,1,10)</f>
        <v/>
      </c>
      <c r="AC267" s="24">
        <f>$S$115*INDEX($C$97:$AL$97,1,11)</f>
        <v/>
      </c>
      <c r="AD267" s="24">
        <f>$S$115*INDEX($C$97:$AL$97,1,12)</f>
        <v/>
      </c>
      <c r="AE267" s="24">
        <f>$S$115*INDEX($C$97:$AL$97,1,13)</f>
        <v/>
      </c>
      <c r="AF267" s="24">
        <f>$S$115*INDEX($C$97:$AL$97,1,14)</f>
        <v/>
      </c>
    </row>
    <row r="268">
      <c r="A268" s="4" t="inlineStr">
        <is>
          <t>Coorte del mese 18</t>
        </is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>
        <f>$T$115*INDEX($C$97:$AL$97,1,1)</f>
        <v/>
      </c>
      <c r="U268" s="24">
        <f>$T$115*INDEX($C$97:$AL$97,1,2)</f>
        <v/>
      </c>
      <c r="V268" s="24">
        <f>$T$115*INDEX($C$97:$AL$97,1,3)</f>
        <v/>
      </c>
      <c r="W268" s="24">
        <f>$T$115*INDEX($C$97:$AL$97,1,4)</f>
        <v/>
      </c>
      <c r="X268" s="24">
        <f>$T$115*INDEX($C$97:$AL$97,1,5)</f>
        <v/>
      </c>
      <c r="Y268" s="24">
        <f>$T$115*INDEX($C$97:$AL$97,1,6)</f>
        <v/>
      </c>
      <c r="Z268" s="24">
        <f>$T$115*INDEX($C$97:$AL$97,1,7)</f>
        <v/>
      </c>
      <c r="AA268" s="24">
        <f>$T$115*INDEX($C$97:$AL$97,1,8)</f>
        <v/>
      </c>
      <c r="AB268" s="24">
        <f>$T$115*INDEX($C$97:$AL$97,1,9)</f>
        <v/>
      </c>
      <c r="AC268" s="24">
        <f>$T$115*INDEX($C$97:$AL$97,1,10)</f>
        <v/>
      </c>
      <c r="AD268" s="24">
        <f>$T$115*INDEX($C$97:$AL$97,1,11)</f>
        <v/>
      </c>
      <c r="AE268" s="24">
        <f>$T$115*INDEX($C$97:$AL$97,1,12)</f>
        <v/>
      </c>
      <c r="AF268" s="24">
        <f>$T$115*INDEX($C$97:$AL$97,1,13)</f>
        <v/>
      </c>
    </row>
    <row r="269">
      <c r="A269" s="4" t="inlineStr">
        <is>
          <t>Coorte del mese 19</t>
        </is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>
        <f>$U$115*INDEX($C$97:$AL$97,1,1)</f>
        <v/>
      </c>
      <c r="V269" s="24">
        <f>$U$115*INDEX($C$97:$AL$97,1,2)</f>
        <v/>
      </c>
      <c r="W269" s="24">
        <f>$U$115*INDEX($C$97:$AL$97,1,3)</f>
        <v/>
      </c>
      <c r="X269" s="24">
        <f>$U$115*INDEX($C$97:$AL$97,1,4)</f>
        <v/>
      </c>
      <c r="Y269" s="24">
        <f>$U$115*INDEX($C$97:$AL$97,1,5)</f>
        <v/>
      </c>
      <c r="Z269" s="24">
        <f>$U$115*INDEX($C$97:$AL$97,1,6)</f>
        <v/>
      </c>
      <c r="AA269" s="24">
        <f>$U$115*INDEX($C$97:$AL$97,1,7)</f>
        <v/>
      </c>
      <c r="AB269" s="24">
        <f>$U$115*INDEX($C$97:$AL$97,1,8)</f>
        <v/>
      </c>
      <c r="AC269" s="24">
        <f>$U$115*INDEX($C$97:$AL$97,1,9)</f>
        <v/>
      </c>
      <c r="AD269" s="24">
        <f>$U$115*INDEX($C$97:$AL$97,1,10)</f>
        <v/>
      </c>
      <c r="AE269" s="24">
        <f>$U$115*INDEX($C$97:$AL$97,1,11)</f>
        <v/>
      </c>
      <c r="AF269" s="24">
        <f>$U$115*INDEX($C$97:$AL$97,1,12)</f>
        <v/>
      </c>
    </row>
    <row r="270">
      <c r="A270" s="4" t="inlineStr">
        <is>
          <t>Coorte del mese 20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>
        <f>$V$115*INDEX($C$97:$AL$97,1,1)</f>
        <v/>
      </c>
      <c r="W270" s="24">
        <f>$V$115*INDEX($C$97:$AL$97,1,2)</f>
        <v/>
      </c>
      <c r="X270" s="24">
        <f>$V$115*INDEX($C$97:$AL$97,1,3)</f>
        <v/>
      </c>
      <c r="Y270" s="24">
        <f>$V$115*INDEX($C$97:$AL$97,1,4)</f>
        <v/>
      </c>
      <c r="Z270" s="24">
        <f>$V$115*INDEX($C$97:$AL$97,1,5)</f>
        <v/>
      </c>
      <c r="AA270" s="24">
        <f>$V$115*INDEX($C$97:$AL$97,1,6)</f>
        <v/>
      </c>
      <c r="AB270" s="24">
        <f>$V$115*INDEX($C$97:$AL$97,1,7)</f>
        <v/>
      </c>
      <c r="AC270" s="24">
        <f>$V$115*INDEX($C$97:$AL$97,1,8)</f>
        <v/>
      </c>
      <c r="AD270" s="24">
        <f>$V$115*INDEX($C$97:$AL$97,1,9)</f>
        <v/>
      </c>
      <c r="AE270" s="24">
        <f>$V$115*INDEX($C$97:$AL$97,1,10)</f>
        <v/>
      </c>
      <c r="AF270" s="24">
        <f>$V$115*INDEX($C$97:$AL$97,1,11)</f>
        <v/>
      </c>
    </row>
    <row r="271">
      <c r="A271" s="4" t="inlineStr">
        <is>
          <t>Coorte del mese 21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>
        <f>$W$115*INDEX($C$97:$AL$97,1,1)</f>
        <v/>
      </c>
      <c r="X271" s="24">
        <f>$W$115*INDEX($C$97:$AL$97,1,2)</f>
        <v/>
      </c>
      <c r="Y271" s="24">
        <f>$W$115*INDEX($C$97:$AL$97,1,3)</f>
        <v/>
      </c>
      <c r="Z271" s="24">
        <f>$W$115*INDEX($C$97:$AL$97,1,4)</f>
        <v/>
      </c>
      <c r="AA271" s="24">
        <f>$W$115*INDEX($C$97:$AL$97,1,5)</f>
        <v/>
      </c>
      <c r="AB271" s="24">
        <f>$W$115*INDEX($C$97:$AL$97,1,6)</f>
        <v/>
      </c>
      <c r="AC271" s="24">
        <f>$W$115*INDEX($C$97:$AL$97,1,7)</f>
        <v/>
      </c>
      <c r="AD271" s="24">
        <f>$W$115*INDEX($C$97:$AL$97,1,8)</f>
        <v/>
      </c>
      <c r="AE271" s="24">
        <f>$W$115*INDEX($C$97:$AL$97,1,9)</f>
        <v/>
      </c>
      <c r="AF271" s="24">
        <f>$W$115*INDEX($C$97:$AL$97,1,10)</f>
        <v/>
      </c>
    </row>
    <row r="272">
      <c r="A272" s="4" t="inlineStr">
        <is>
          <t>Coorte del mese 22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>
        <f>$X$115*INDEX($C$97:$AL$97,1,1)</f>
        <v/>
      </c>
      <c r="Y272" s="24">
        <f>$X$115*INDEX($C$97:$AL$97,1,2)</f>
        <v/>
      </c>
      <c r="Z272" s="24">
        <f>$X$115*INDEX($C$97:$AL$97,1,3)</f>
        <v/>
      </c>
      <c r="AA272" s="24">
        <f>$X$115*INDEX($C$97:$AL$97,1,4)</f>
        <v/>
      </c>
      <c r="AB272" s="24">
        <f>$X$115*INDEX($C$97:$AL$97,1,5)</f>
        <v/>
      </c>
      <c r="AC272" s="24">
        <f>$X$115*INDEX($C$97:$AL$97,1,6)</f>
        <v/>
      </c>
      <c r="AD272" s="24">
        <f>$X$115*INDEX($C$97:$AL$97,1,7)</f>
        <v/>
      </c>
      <c r="AE272" s="24">
        <f>$X$115*INDEX($C$97:$AL$97,1,8)</f>
        <v/>
      </c>
      <c r="AF272" s="24">
        <f>$X$115*INDEX($C$97:$AL$97,1,9)</f>
        <v/>
      </c>
    </row>
    <row r="273">
      <c r="A273" s="4" t="inlineStr">
        <is>
          <t>Coorte del mese 23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>
        <f>$Y$115*INDEX($C$97:$AL$97,1,1)</f>
        <v/>
      </c>
      <c r="Z273" s="24">
        <f>$Y$115*INDEX($C$97:$AL$97,1,2)</f>
        <v/>
      </c>
      <c r="AA273" s="24">
        <f>$Y$115*INDEX($C$97:$AL$97,1,3)</f>
        <v/>
      </c>
      <c r="AB273" s="24">
        <f>$Y$115*INDEX($C$97:$AL$97,1,4)</f>
        <v/>
      </c>
      <c r="AC273" s="24">
        <f>$Y$115*INDEX($C$97:$AL$97,1,5)</f>
        <v/>
      </c>
      <c r="AD273" s="24">
        <f>$Y$115*INDEX($C$97:$AL$97,1,6)</f>
        <v/>
      </c>
      <c r="AE273" s="24">
        <f>$Y$115*INDEX($C$97:$AL$97,1,7)</f>
        <v/>
      </c>
      <c r="AF273" s="24">
        <f>$Y$115*INDEX($C$97:$AL$97,1,8)</f>
        <v/>
      </c>
    </row>
    <row r="274">
      <c r="A274" s="4" t="inlineStr">
        <is>
          <t>Coorte del mese 24</t>
        </is>
      </c>
      <c r="C274" s="24" t="n">
        <v>0</v>
      </c>
      <c r="D274" s="24" t="n">
        <v>0</v>
      </c>
      <c r="E274" s="24" t="n">
        <v>0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24">
        <f>$Z$115*INDEX($C$97:$AL$97,1,1)</f>
        <v/>
      </c>
      <c r="AA274" s="24">
        <f>$Z$115*INDEX($C$97:$AL$97,1,2)</f>
        <v/>
      </c>
      <c r="AB274" s="24">
        <f>$Z$115*INDEX($C$97:$AL$97,1,3)</f>
        <v/>
      </c>
      <c r="AC274" s="24">
        <f>$Z$115*INDEX($C$97:$AL$97,1,4)</f>
        <v/>
      </c>
      <c r="AD274" s="24">
        <f>$Z$115*INDEX($C$97:$AL$97,1,5)</f>
        <v/>
      </c>
      <c r="AE274" s="24">
        <f>$Z$115*INDEX($C$97:$AL$97,1,6)</f>
        <v/>
      </c>
      <c r="AF274" s="24">
        <f>$Z$115*INDEX($C$97:$AL$97,1,7)</f>
        <v/>
      </c>
    </row>
    <row r="275">
      <c r="A275" s="4" t="inlineStr">
        <is>
          <t>Coorte del mese 25</t>
        </is>
      </c>
      <c r="C275" s="24" t="n">
        <v>0</v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>
        <f>$AA$115*INDEX($C$97:$AL$97,1,1)</f>
        <v/>
      </c>
      <c r="AB275" s="24">
        <f>$AA$115*INDEX($C$97:$AL$97,1,2)</f>
        <v/>
      </c>
      <c r="AC275" s="24">
        <f>$AA$115*INDEX($C$97:$AL$97,1,3)</f>
        <v/>
      </c>
      <c r="AD275" s="24">
        <f>$AA$115*INDEX($C$97:$AL$97,1,4)</f>
        <v/>
      </c>
      <c r="AE275" s="24">
        <f>$AA$115*INDEX($C$97:$AL$97,1,5)</f>
        <v/>
      </c>
      <c r="AF275" s="24">
        <f>$AA$115*INDEX($C$97:$AL$97,1,6)</f>
        <v/>
      </c>
    </row>
    <row r="276">
      <c r="A276" s="4" t="inlineStr">
        <is>
          <t>Coorte del mese 26</t>
        </is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24" t="n">
        <v>0</v>
      </c>
      <c r="AA276" s="24" t="n">
        <v>0</v>
      </c>
      <c r="AB276" s="24">
        <f>$AB$115*INDEX($C$97:$AL$97,1,1)</f>
        <v/>
      </c>
      <c r="AC276" s="24">
        <f>$AB$115*INDEX($C$97:$AL$97,1,2)</f>
        <v/>
      </c>
      <c r="AD276" s="24">
        <f>$AB$115*INDEX($C$97:$AL$97,1,3)</f>
        <v/>
      </c>
      <c r="AE276" s="24">
        <f>$AB$115*INDEX($C$97:$AL$97,1,4)</f>
        <v/>
      </c>
      <c r="AF276" s="24">
        <f>$AB$115*INDEX($C$97:$AL$97,1,5)</f>
        <v/>
      </c>
    </row>
    <row r="277">
      <c r="A277" s="4" t="inlineStr">
        <is>
          <t>Coorte del mese 27</t>
        </is>
      </c>
      <c r="C277" s="24" t="n">
        <v>0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>
        <f>$AC$115*INDEX($C$97:$AL$97,1,1)</f>
        <v/>
      </c>
      <c r="AD277" s="24">
        <f>$AC$115*INDEX($C$97:$AL$97,1,2)</f>
        <v/>
      </c>
      <c r="AE277" s="24">
        <f>$AC$115*INDEX($C$97:$AL$97,1,3)</f>
        <v/>
      </c>
      <c r="AF277" s="24">
        <f>$AC$115*INDEX($C$97:$AL$97,1,4)</f>
        <v/>
      </c>
    </row>
    <row r="278">
      <c r="A278" s="4" t="inlineStr">
        <is>
          <t>Coorte del mese 28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>
        <f>$AD$115*INDEX($C$97:$AL$97,1,1)</f>
        <v/>
      </c>
      <c r="AE278" s="24">
        <f>$AD$115*INDEX($C$97:$AL$97,1,2)</f>
        <v/>
      </c>
      <c r="AF278" s="24">
        <f>$AD$115*INDEX($C$97:$AL$97,1,3)</f>
        <v/>
      </c>
    </row>
    <row r="279">
      <c r="A279" s="4" t="inlineStr">
        <is>
          <t>Coorte del mese 29</t>
        </is>
      </c>
      <c r="C279" s="24" t="n">
        <v>0</v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>
        <f>$AE$115*INDEX($C$97:$AL$97,1,1)</f>
        <v/>
      </c>
      <c r="AF279" s="24">
        <f>$AE$115*INDEX($C$97:$AL$97,1,2)</f>
        <v/>
      </c>
    </row>
    <row r="280">
      <c r="A280" s="4" t="inlineStr">
        <is>
          <t>Coorte del mese 30</t>
        </is>
      </c>
      <c r="C280" s="24" t="n">
        <v>0</v>
      </c>
      <c r="D280" s="24" t="n">
        <v>0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24" t="n">
        <v>0</v>
      </c>
      <c r="AA280" s="24" t="n">
        <v>0</v>
      </c>
      <c r="AB280" s="24" t="n">
        <v>0</v>
      </c>
      <c r="AC280" s="24" t="n">
        <v>0</v>
      </c>
      <c r="AD280" s="24" t="n">
        <v>0</v>
      </c>
      <c r="AE280" s="24" t="n">
        <v>0</v>
      </c>
      <c r="AF280" s="24">
        <f>$AF$115*INDEX($C$97:$AL$97,1,1)</f>
        <v/>
      </c>
    </row>
    <row r="281">
      <c r="A281" s="3" t="inlineStr">
        <is>
          <t>Totale singolo: ordini</t>
        </is>
      </c>
      <c r="C281" s="25">
        <f>SUM(C251:C280)</f>
        <v/>
      </c>
      <c r="D281" s="25">
        <f>SUM(D251:D280)</f>
        <v/>
      </c>
      <c r="E281" s="25">
        <f>SUM(E251:E280)</f>
        <v/>
      </c>
      <c r="F281" s="25">
        <f>SUM(F251:F280)</f>
        <v/>
      </c>
      <c r="G281" s="25">
        <f>SUM(G251:G280)</f>
        <v/>
      </c>
      <c r="H281" s="25">
        <f>SUM(H251:H280)</f>
        <v/>
      </c>
      <c r="I281" s="25">
        <f>SUM(I251:I280)</f>
        <v/>
      </c>
      <c r="J281" s="25">
        <f>SUM(J251:J280)</f>
        <v/>
      </c>
      <c r="K281" s="25">
        <f>SUM(K251:K280)</f>
        <v/>
      </c>
      <c r="L281" s="25">
        <f>SUM(L251:L280)</f>
        <v/>
      </c>
      <c r="M281" s="25">
        <f>SUM(M251:M280)</f>
        <v/>
      </c>
      <c r="N281" s="25">
        <f>SUM(N251:N280)</f>
        <v/>
      </c>
      <c r="O281" s="25">
        <f>SUM(O251:O280)</f>
        <v/>
      </c>
      <c r="P281" s="25">
        <f>SUM(P251:P280)</f>
        <v/>
      </c>
      <c r="Q281" s="25">
        <f>SUM(Q251:Q280)</f>
        <v/>
      </c>
      <c r="R281" s="25">
        <f>SUM(R251:R280)</f>
        <v/>
      </c>
      <c r="S281" s="25">
        <f>SUM(S251:S280)</f>
        <v/>
      </c>
      <c r="T281" s="25">
        <f>SUM(T251:T280)</f>
        <v/>
      </c>
      <c r="U281" s="25">
        <f>SUM(U251:U280)</f>
        <v/>
      </c>
      <c r="V281" s="25">
        <f>SUM(V251:V280)</f>
        <v/>
      </c>
      <c r="W281" s="25">
        <f>SUM(W251:W280)</f>
        <v/>
      </c>
      <c r="X281" s="25">
        <f>SUM(X251:X280)</f>
        <v/>
      </c>
      <c r="Y281" s="25">
        <f>SUM(Y251:Y280)</f>
        <v/>
      </c>
      <c r="Z281" s="25">
        <f>SUM(Z251:Z280)</f>
        <v/>
      </c>
      <c r="AA281" s="25">
        <f>SUM(AA251:AA280)</f>
        <v/>
      </c>
      <c r="AB281" s="25">
        <f>SUM(AB251:AB280)</f>
        <v/>
      </c>
      <c r="AC281" s="25">
        <f>SUM(AC251:AC280)</f>
        <v/>
      </c>
      <c r="AD281" s="25">
        <f>SUM(AD251:AD280)</f>
        <v/>
      </c>
      <c r="AE281" s="25">
        <f>SUM(AE251:AE280)</f>
        <v/>
      </c>
      <c r="AF281" s="25">
        <f>SUM(AF251:AF280)</f>
        <v/>
      </c>
    </row>
    <row r="283">
      <c r="A283" s="10" t="inlineStr">
        <is>
          <t>Vendite e costi variabili per mese</t>
        </is>
      </c>
    </row>
    <row r="284">
      <c r="A284" s="3" t="inlineStr">
        <is>
          <t>Incassi lordi (IVA incl.)</t>
        </is>
      </c>
      <c r="B284" s="4" t="inlineStr">
        <is>
          <t>€</t>
        </is>
      </c>
      <c r="C284" s="20">
        <f>C112*$H$76+(C149-C112)*$C$76+C113*$I$76+(C215-C113)*$D$76+C114*$J$76+(C248-C114)*$E$76+C115*$K$76+(C281-C115)*$F$76</f>
        <v/>
      </c>
      <c r="D284" s="20">
        <f>D112*$H$76+(D149-D112)*$C$76+D113*$I$76+(D215-D113)*$D$76+D114*$J$76+(D248-D114)*$E$76+D115*$K$76+(D281-D115)*$F$76</f>
        <v/>
      </c>
      <c r="E284" s="20">
        <f>E112*$H$76+(E149-E112)*$C$76+E113*$I$76+(E215-E113)*$D$76+E114*$J$76+(E248-E114)*$E$76+E115*$K$76+(E281-E115)*$F$76</f>
        <v/>
      </c>
      <c r="F284" s="20">
        <f>F112*$H$76+(F149-F112)*$C$76+F113*$I$76+(F215-F113)*$D$76+F114*$J$76+(F248-F114)*$E$76+F115*$K$76+(F281-F115)*$F$76</f>
        <v/>
      </c>
      <c r="G284" s="20">
        <f>G112*$H$76+(G149-G112)*$C$76+G113*$I$76+(G215-G113)*$D$76+G114*$J$76+(G248-G114)*$E$76+G115*$K$76+(G281-G115)*$F$76</f>
        <v/>
      </c>
      <c r="H284" s="20">
        <f>H112*$H$76+(H149-H112)*$C$76+H113*$I$76+(H215-H113)*$D$76+H114*$J$76+(H248-H114)*$E$76+H115*$K$76+(H281-H115)*$F$76</f>
        <v/>
      </c>
      <c r="I284" s="20">
        <f>I112*$H$76+(I149-I112)*$C$76+I113*$I$76+(I215-I113)*$D$76+I114*$J$76+(I248-I114)*$E$76+I115*$K$76+(I281-I115)*$F$76</f>
        <v/>
      </c>
      <c r="J284" s="20">
        <f>J112*$H$76+(J149-J112)*$C$76+J113*$I$76+(J215-J113)*$D$76+J114*$J$76+(J248-J114)*$E$76+J115*$K$76+(J281-J115)*$F$76</f>
        <v/>
      </c>
      <c r="K284" s="20">
        <f>K112*$H$76+(K149-K112)*$C$76+K113*$I$76+(K215-K113)*$D$76+K114*$J$76+(K248-K114)*$E$76+K115*$K$76+(K281-K115)*$F$76</f>
        <v/>
      </c>
      <c r="L284" s="20">
        <f>L112*$H$76+(L149-L112)*$C$76+L113*$I$76+(L215-L113)*$D$76+L114*$J$76+(L248-L114)*$E$76+L115*$K$76+(L281-L115)*$F$76</f>
        <v/>
      </c>
      <c r="M284" s="20">
        <f>M112*$H$76+(M149-M112)*$C$76+M113*$I$76+(M215-M113)*$D$76+M114*$J$76+(M248-M114)*$E$76+M115*$K$76+(M281-M115)*$F$76</f>
        <v/>
      </c>
      <c r="N284" s="20">
        <f>N112*$H$76+(N149-N112)*$C$76+N113*$I$76+(N215-N113)*$D$76+N114*$J$76+(N248-N114)*$E$76+N115*$K$76+(N281-N115)*$F$76</f>
        <v/>
      </c>
      <c r="O284" s="20">
        <f>O112*$H$76+(O149-O112)*$C$76+O113*$I$76+(O215-O113)*$D$76+O114*$J$76+(O248-O114)*$E$76+O115*$K$76+(O281-O115)*$F$76</f>
        <v/>
      </c>
      <c r="P284" s="20">
        <f>P112*$H$76+(P149-P112)*$C$76+P113*$I$76+(P215-P113)*$D$76+P114*$J$76+(P248-P114)*$E$76+P115*$K$76+(P281-P115)*$F$76</f>
        <v/>
      </c>
      <c r="Q284" s="20">
        <f>Q112*$H$76+(Q149-Q112)*$C$76+Q113*$I$76+(Q215-Q113)*$D$76+Q114*$J$76+(Q248-Q114)*$E$76+Q115*$K$76+(Q281-Q115)*$F$76</f>
        <v/>
      </c>
      <c r="R284" s="20">
        <f>R112*$H$76+(R149-R112)*$C$76+R113*$I$76+(R215-R113)*$D$76+R114*$J$76+(R248-R114)*$E$76+R115*$K$76+(R281-R115)*$F$76</f>
        <v/>
      </c>
      <c r="S284" s="20">
        <f>S112*$H$76+(S149-S112)*$C$76+S113*$I$76+(S215-S113)*$D$76+S114*$J$76+(S248-S114)*$E$76+S115*$K$76+(S281-S115)*$F$76</f>
        <v/>
      </c>
      <c r="T284" s="20">
        <f>T112*$H$76+(T149-T112)*$C$76+T113*$I$76+(T215-T113)*$D$76+T114*$J$76+(T248-T114)*$E$76+T115*$K$76+(T281-T115)*$F$76</f>
        <v/>
      </c>
      <c r="U284" s="20">
        <f>U112*$H$76+(U149-U112)*$C$76+U113*$I$76+(U215-U113)*$D$76+U114*$J$76+(U248-U114)*$E$76+U115*$K$76+(U281-U115)*$F$76</f>
        <v/>
      </c>
      <c r="V284" s="20">
        <f>V112*$H$76+(V149-V112)*$C$76+V113*$I$76+(V215-V113)*$D$76+V114*$J$76+(V248-V114)*$E$76+V115*$K$76+(V281-V115)*$F$76</f>
        <v/>
      </c>
      <c r="W284" s="20">
        <f>W112*$H$76+(W149-W112)*$C$76+W113*$I$76+(W215-W113)*$D$76+W114*$J$76+(W248-W114)*$E$76+W115*$K$76+(W281-W115)*$F$76</f>
        <v/>
      </c>
      <c r="X284" s="20">
        <f>X112*$H$76+(X149-X112)*$C$76+X113*$I$76+(X215-X113)*$D$76+X114*$J$76+(X248-X114)*$E$76+X115*$K$76+(X281-X115)*$F$76</f>
        <v/>
      </c>
      <c r="Y284" s="20">
        <f>Y112*$H$76+(Y149-Y112)*$C$76+Y113*$I$76+(Y215-Y113)*$D$76+Y114*$J$76+(Y248-Y114)*$E$76+Y115*$K$76+(Y281-Y115)*$F$76</f>
        <v/>
      </c>
      <c r="Z284" s="20">
        <f>Z112*$H$76+(Z149-Z112)*$C$76+Z113*$I$76+(Z215-Z113)*$D$76+Z114*$J$76+(Z248-Z114)*$E$76+Z115*$K$76+(Z281-Z115)*$F$76</f>
        <v/>
      </c>
      <c r="AA284" s="20">
        <f>AA112*$H$76+(AA149-AA112)*$C$76+AA113*$I$76+(AA215-AA113)*$D$76+AA114*$J$76+(AA248-AA114)*$E$76+AA115*$K$76+(AA281-AA115)*$F$76</f>
        <v/>
      </c>
      <c r="AB284" s="20">
        <f>AB112*$H$76+(AB149-AB112)*$C$76+AB113*$I$76+(AB215-AB113)*$D$76+AB114*$J$76+(AB248-AB114)*$E$76+AB115*$K$76+(AB281-AB115)*$F$76</f>
        <v/>
      </c>
      <c r="AC284" s="20">
        <f>AC112*$H$76+(AC149-AC112)*$C$76+AC113*$I$76+(AC215-AC113)*$D$76+AC114*$J$76+(AC248-AC114)*$E$76+AC115*$K$76+(AC281-AC115)*$F$76</f>
        <v/>
      </c>
      <c r="AD284" s="20">
        <f>AD112*$H$76+(AD149-AD112)*$C$76+AD113*$I$76+(AD215-AD113)*$D$76+AD114*$J$76+(AD248-AD114)*$E$76+AD115*$K$76+(AD281-AD115)*$F$76</f>
        <v/>
      </c>
      <c r="AE284" s="20">
        <f>AE112*$H$76+(AE149-AE112)*$C$76+AE113*$I$76+(AE215-AE113)*$D$76+AE114*$J$76+(AE248-AE114)*$E$76+AE115*$K$76+(AE281-AE115)*$F$76</f>
        <v/>
      </c>
      <c r="AF284" s="20">
        <f>AF112*$H$76+(AF149-AF112)*$C$76+AF113*$I$76+(AF215-AF113)*$D$76+AF114*$J$76+(AF248-AF114)*$E$76+AF115*$K$76+(AF281-AF115)*$F$76</f>
        <v/>
      </c>
    </row>
    <row r="285">
      <c r="A285" s="3" t="inlineStr">
        <is>
          <t>Ricavi netti IVA</t>
        </is>
      </c>
      <c r="B285" s="4" t="inlineStr">
        <is>
          <t>€</t>
        </is>
      </c>
      <c r="C285" s="20">
        <f>C112*$H$77+(C149-C112)*$C$77+C113*$I$77+(C215-C113)*$D$77+C114*$J$77+(C248-C114)*$E$77+C115*$K$77+(C281-C115)*$F$77</f>
        <v/>
      </c>
      <c r="D285" s="20">
        <f>D112*$H$77+(D149-D112)*$C$77+D113*$I$77+(D215-D113)*$D$77+D114*$J$77+(D248-D114)*$E$77+D115*$K$77+(D281-D115)*$F$77</f>
        <v/>
      </c>
      <c r="E285" s="20">
        <f>E112*$H$77+(E149-E112)*$C$77+E113*$I$77+(E215-E113)*$D$77+E114*$J$77+(E248-E114)*$E$77+E115*$K$77+(E281-E115)*$F$77</f>
        <v/>
      </c>
      <c r="F285" s="20">
        <f>F112*$H$77+(F149-F112)*$C$77+F113*$I$77+(F215-F113)*$D$77+F114*$J$77+(F248-F114)*$E$77+F115*$K$77+(F281-F115)*$F$77</f>
        <v/>
      </c>
      <c r="G285" s="20">
        <f>G112*$H$77+(G149-G112)*$C$77+G113*$I$77+(G215-G113)*$D$77+G114*$J$77+(G248-G114)*$E$77+G115*$K$77+(G281-G115)*$F$77</f>
        <v/>
      </c>
      <c r="H285" s="20">
        <f>H112*$H$77+(H149-H112)*$C$77+H113*$I$77+(H215-H113)*$D$77+H114*$J$77+(H248-H114)*$E$77+H115*$K$77+(H281-H115)*$F$77</f>
        <v/>
      </c>
      <c r="I285" s="20">
        <f>I112*$H$77+(I149-I112)*$C$77+I113*$I$77+(I215-I113)*$D$77+I114*$J$77+(I248-I114)*$E$77+I115*$K$77+(I281-I115)*$F$77</f>
        <v/>
      </c>
      <c r="J285" s="20">
        <f>J112*$H$77+(J149-J112)*$C$77+J113*$I$77+(J215-J113)*$D$77+J114*$J$77+(J248-J114)*$E$77+J115*$K$77+(J281-J115)*$F$77</f>
        <v/>
      </c>
      <c r="K285" s="20">
        <f>K112*$H$77+(K149-K112)*$C$77+K113*$I$77+(K215-K113)*$D$77+K114*$J$77+(K248-K114)*$E$77+K115*$K$77+(K281-K115)*$F$77</f>
        <v/>
      </c>
      <c r="L285" s="20">
        <f>L112*$H$77+(L149-L112)*$C$77+L113*$I$77+(L215-L113)*$D$77+L114*$J$77+(L248-L114)*$E$77+L115*$K$77+(L281-L115)*$F$77</f>
        <v/>
      </c>
      <c r="M285" s="20">
        <f>M112*$H$77+(M149-M112)*$C$77+M113*$I$77+(M215-M113)*$D$77+M114*$J$77+(M248-M114)*$E$77+M115*$K$77+(M281-M115)*$F$77</f>
        <v/>
      </c>
      <c r="N285" s="20">
        <f>N112*$H$77+(N149-N112)*$C$77+N113*$I$77+(N215-N113)*$D$77+N114*$J$77+(N248-N114)*$E$77+N115*$K$77+(N281-N115)*$F$77</f>
        <v/>
      </c>
      <c r="O285" s="20">
        <f>O112*$H$77+(O149-O112)*$C$77+O113*$I$77+(O215-O113)*$D$77+O114*$J$77+(O248-O114)*$E$77+O115*$K$77+(O281-O115)*$F$77</f>
        <v/>
      </c>
      <c r="P285" s="20">
        <f>P112*$H$77+(P149-P112)*$C$77+P113*$I$77+(P215-P113)*$D$77+P114*$J$77+(P248-P114)*$E$77+P115*$K$77+(P281-P115)*$F$77</f>
        <v/>
      </c>
      <c r="Q285" s="20">
        <f>Q112*$H$77+(Q149-Q112)*$C$77+Q113*$I$77+(Q215-Q113)*$D$77+Q114*$J$77+(Q248-Q114)*$E$77+Q115*$K$77+(Q281-Q115)*$F$77</f>
        <v/>
      </c>
      <c r="R285" s="20">
        <f>R112*$H$77+(R149-R112)*$C$77+R113*$I$77+(R215-R113)*$D$77+R114*$J$77+(R248-R114)*$E$77+R115*$K$77+(R281-R115)*$F$77</f>
        <v/>
      </c>
      <c r="S285" s="20">
        <f>S112*$H$77+(S149-S112)*$C$77+S113*$I$77+(S215-S113)*$D$77+S114*$J$77+(S248-S114)*$E$77+S115*$K$77+(S281-S115)*$F$77</f>
        <v/>
      </c>
      <c r="T285" s="20">
        <f>T112*$H$77+(T149-T112)*$C$77+T113*$I$77+(T215-T113)*$D$77+T114*$J$77+(T248-T114)*$E$77+T115*$K$77+(T281-T115)*$F$77</f>
        <v/>
      </c>
      <c r="U285" s="20">
        <f>U112*$H$77+(U149-U112)*$C$77+U113*$I$77+(U215-U113)*$D$77+U114*$J$77+(U248-U114)*$E$77+U115*$K$77+(U281-U115)*$F$77</f>
        <v/>
      </c>
      <c r="V285" s="20">
        <f>V112*$H$77+(V149-V112)*$C$77+V113*$I$77+(V215-V113)*$D$77+V114*$J$77+(V248-V114)*$E$77+V115*$K$77+(V281-V115)*$F$77</f>
        <v/>
      </c>
      <c r="W285" s="20">
        <f>W112*$H$77+(W149-W112)*$C$77+W113*$I$77+(W215-W113)*$D$77+W114*$J$77+(W248-W114)*$E$77+W115*$K$77+(W281-W115)*$F$77</f>
        <v/>
      </c>
      <c r="X285" s="20">
        <f>X112*$H$77+(X149-X112)*$C$77+X113*$I$77+(X215-X113)*$D$77+X114*$J$77+(X248-X114)*$E$77+X115*$K$77+(X281-X115)*$F$77</f>
        <v/>
      </c>
      <c r="Y285" s="20">
        <f>Y112*$H$77+(Y149-Y112)*$C$77+Y113*$I$77+(Y215-Y113)*$D$77+Y114*$J$77+(Y248-Y114)*$E$77+Y115*$K$77+(Y281-Y115)*$F$77</f>
        <v/>
      </c>
      <c r="Z285" s="20">
        <f>Z112*$H$77+(Z149-Z112)*$C$77+Z113*$I$77+(Z215-Z113)*$D$77+Z114*$J$77+(Z248-Z114)*$E$77+Z115*$K$77+(Z281-Z115)*$F$77</f>
        <v/>
      </c>
      <c r="AA285" s="20">
        <f>AA112*$H$77+(AA149-AA112)*$C$77+AA113*$I$77+(AA215-AA113)*$D$77+AA114*$J$77+(AA248-AA114)*$E$77+AA115*$K$77+(AA281-AA115)*$F$77</f>
        <v/>
      </c>
      <c r="AB285" s="20">
        <f>AB112*$H$77+(AB149-AB112)*$C$77+AB113*$I$77+(AB215-AB113)*$D$77+AB114*$J$77+(AB248-AB114)*$E$77+AB115*$K$77+(AB281-AB115)*$F$77</f>
        <v/>
      </c>
      <c r="AC285" s="20">
        <f>AC112*$H$77+(AC149-AC112)*$C$77+AC113*$I$77+(AC215-AC113)*$D$77+AC114*$J$77+(AC248-AC114)*$E$77+AC115*$K$77+(AC281-AC115)*$F$77</f>
        <v/>
      </c>
      <c r="AD285" s="20">
        <f>AD112*$H$77+(AD149-AD112)*$C$77+AD113*$I$77+(AD215-AD113)*$D$77+AD114*$J$77+(AD248-AD114)*$E$77+AD115*$K$77+(AD281-AD115)*$F$77</f>
        <v/>
      </c>
      <c r="AE285" s="20">
        <f>AE112*$H$77+(AE149-AE112)*$C$77+AE113*$I$77+(AE215-AE113)*$D$77+AE114*$J$77+(AE248-AE114)*$E$77+AE115*$K$77+(AE281-AE115)*$F$77</f>
        <v/>
      </c>
      <c r="AF285" s="20">
        <f>AF112*$H$77+(AF149-AF112)*$C$77+AF113*$I$77+(AF215-AF113)*$D$77+AF114*$J$77+(AF248-AF114)*$E$77+AF115*$K$77+(AF281-AF115)*$F$77</f>
        <v/>
      </c>
    </row>
    <row r="286">
      <c r="A286" s="3" t="inlineStr">
        <is>
          <t>IVA sulle vendite</t>
        </is>
      </c>
      <c r="B286" s="4" t="inlineStr">
        <is>
          <t>€</t>
        </is>
      </c>
      <c r="C286" s="20">
        <f>C284-C285</f>
        <v/>
      </c>
      <c r="D286" s="20">
        <f>D284-D285</f>
        <v/>
      </c>
      <c r="E286" s="20">
        <f>E284-E285</f>
        <v/>
      </c>
      <c r="F286" s="20">
        <f>F284-F285</f>
        <v/>
      </c>
      <c r="G286" s="20">
        <f>G284-G285</f>
        <v/>
      </c>
      <c r="H286" s="20">
        <f>H284-H285</f>
        <v/>
      </c>
      <c r="I286" s="20">
        <f>I284-I285</f>
        <v/>
      </c>
      <c r="J286" s="20">
        <f>J284-J285</f>
        <v/>
      </c>
      <c r="K286" s="20">
        <f>K284-K285</f>
        <v/>
      </c>
      <c r="L286" s="20">
        <f>L284-L285</f>
        <v/>
      </c>
      <c r="M286" s="20">
        <f>M284-M285</f>
        <v/>
      </c>
      <c r="N286" s="20">
        <f>N284-N285</f>
        <v/>
      </c>
      <c r="O286" s="20">
        <f>O284-O285</f>
        <v/>
      </c>
      <c r="P286" s="20">
        <f>P284-P285</f>
        <v/>
      </c>
      <c r="Q286" s="20">
        <f>Q284-Q285</f>
        <v/>
      </c>
      <c r="R286" s="20">
        <f>R284-R285</f>
        <v/>
      </c>
      <c r="S286" s="20">
        <f>S284-S285</f>
        <v/>
      </c>
      <c r="T286" s="20">
        <f>T284-T285</f>
        <v/>
      </c>
      <c r="U286" s="20">
        <f>U284-U285</f>
        <v/>
      </c>
      <c r="V286" s="20">
        <f>V284-V285</f>
        <v/>
      </c>
      <c r="W286" s="20">
        <f>W284-W285</f>
        <v/>
      </c>
      <c r="X286" s="20">
        <f>X284-X285</f>
        <v/>
      </c>
      <c r="Y286" s="20">
        <f>Y284-Y285</f>
        <v/>
      </c>
      <c r="Z286" s="20">
        <f>Z284-Z285</f>
        <v/>
      </c>
      <c r="AA286" s="20">
        <f>AA284-AA285</f>
        <v/>
      </c>
      <c r="AB286" s="20">
        <f>AB284-AB285</f>
        <v/>
      </c>
      <c r="AC286" s="20">
        <f>AC284-AC285</f>
        <v/>
      </c>
      <c r="AD286" s="20">
        <f>AD284-AD285</f>
        <v/>
      </c>
      <c r="AE286" s="20">
        <f>AE284-AE285</f>
        <v/>
      </c>
      <c r="AF286" s="20">
        <f>AF284-AF285</f>
        <v/>
      </c>
    </row>
    <row r="287">
      <c r="A287" s="3" t="inlineStr">
        <is>
          <t>Rimborsi di garanzia pagati (lordi)</t>
        </is>
      </c>
      <c r="B287" s="4" t="inlineStr">
        <is>
          <t>€</t>
        </is>
      </c>
      <c r="C287" s="20">
        <f>C182*$H$76</f>
        <v/>
      </c>
      <c r="D287" s="20">
        <f>D182*$H$76</f>
        <v/>
      </c>
      <c r="E287" s="20">
        <f>E182*$H$76</f>
        <v/>
      </c>
      <c r="F287" s="20">
        <f>F182*$H$76</f>
        <v/>
      </c>
      <c r="G287" s="20">
        <f>G182*$H$76</f>
        <v/>
      </c>
      <c r="H287" s="20">
        <f>H182*$H$76</f>
        <v/>
      </c>
      <c r="I287" s="20">
        <f>I182*$H$76</f>
        <v/>
      </c>
      <c r="J287" s="20">
        <f>J182*$H$76</f>
        <v/>
      </c>
      <c r="K287" s="20">
        <f>K182*$H$76</f>
        <v/>
      </c>
      <c r="L287" s="20">
        <f>L182*$H$76</f>
        <v/>
      </c>
      <c r="M287" s="20">
        <f>M182*$H$76</f>
        <v/>
      </c>
      <c r="N287" s="20">
        <f>N182*$H$76</f>
        <v/>
      </c>
      <c r="O287" s="20">
        <f>O182*$H$76</f>
        <v/>
      </c>
      <c r="P287" s="20">
        <f>P182*$H$76</f>
        <v/>
      </c>
      <c r="Q287" s="20">
        <f>Q182*$H$76</f>
        <v/>
      </c>
      <c r="R287" s="20">
        <f>R182*$H$76</f>
        <v/>
      </c>
      <c r="S287" s="20">
        <f>S182*$H$76</f>
        <v/>
      </c>
      <c r="T287" s="20">
        <f>T182*$H$76</f>
        <v/>
      </c>
      <c r="U287" s="20">
        <f>U182*$H$76</f>
        <v/>
      </c>
      <c r="V287" s="20">
        <f>V182*$H$76</f>
        <v/>
      </c>
      <c r="W287" s="20">
        <f>W182*$H$76</f>
        <v/>
      </c>
      <c r="X287" s="20">
        <f>X182*$H$76</f>
        <v/>
      </c>
      <c r="Y287" s="20">
        <f>Y182*$H$76</f>
        <v/>
      </c>
      <c r="Z287" s="20">
        <f>Z182*$H$76</f>
        <v/>
      </c>
      <c r="AA287" s="20">
        <f>AA182*$H$76</f>
        <v/>
      </c>
      <c r="AB287" s="20">
        <f>AB182*$H$76</f>
        <v/>
      </c>
      <c r="AC287" s="20">
        <f>AC182*$H$76</f>
        <v/>
      </c>
      <c r="AD287" s="20">
        <f>AD182*$H$76</f>
        <v/>
      </c>
      <c r="AE287" s="20">
        <f>AE182*$H$76</f>
        <v/>
      </c>
      <c r="AF287" s="20">
        <f>AF182*$H$76</f>
        <v/>
      </c>
    </row>
    <row r="288">
      <c r="A288" s="3" t="inlineStr">
        <is>
          <t>IVA recuperata sui rimborsi</t>
        </is>
      </c>
      <c r="B288" s="4" t="inlineStr">
        <is>
          <t>€</t>
        </is>
      </c>
      <c r="C288" s="20">
        <f>C182*($H$76-$H$77)</f>
        <v/>
      </c>
      <c r="D288" s="20">
        <f>D182*($H$76-$H$77)</f>
        <v/>
      </c>
      <c r="E288" s="20">
        <f>E182*($H$76-$H$77)</f>
        <v/>
      </c>
      <c r="F288" s="20">
        <f>F182*($H$76-$H$77)</f>
        <v/>
      </c>
      <c r="G288" s="20">
        <f>G182*($H$76-$H$77)</f>
        <v/>
      </c>
      <c r="H288" s="20">
        <f>H182*($H$76-$H$77)</f>
        <v/>
      </c>
      <c r="I288" s="20">
        <f>I182*($H$76-$H$77)</f>
        <v/>
      </c>
      <c r="J288" s="20">
        <f>J182*($H$76-$H$77)</f>
        <v/>
      </c>
      <c r="K288" s="20">
        <f>K182*($H$76-$H$77)</f>
        <v/>
      </c>
      <c r="L288" s="20">
        <f>L182*($H$76-$H$77)</f>
        <v/>
      </c>
      <c r="M288" s="20">
        <f>M182*($H$76-$H$77)</f>
        <v/>
      </c>
      <c r="N288" s="20">
        <f>N182*($H$76-$H$77)</f>
        <v/>
      </c>
      <c r="O288" s="20">
        <f>O182*($H$76-$H$77)</f>
        <v/>
      </c>
      <c r="P288" s="20">
        <f>P182*($H$76-$H$77)</f>
        <v/>
      </c>
      <c r="Q288" s="20">
        <f>Q182*($H$76-$H$77)</f>
        <v/>
      </c>
      <c r="R288" s="20">
        <f>R182*($H$76-$H$77)</f>
        <v/>
      </c>
      <c r="S288" s="20">
        <f>S182*($H$76-$H$77)</f>
        <v/>
      </c>
      <c r="T288" s="20">
        <f>T182*($H$76-$H$77)</f>
        <v/>
      </c>
      <c r="U288" s="20">
        <f>U182*($H$76-$H$77)</f>
        <v/>
      </c>
      <c r="V288" s="20">
        <f>V182*($H$76-$H$77)</f>
        <v/>
      </c>
      <c r="W288" s="20">
        <f>W182*($H$76-$H$77)</f>
        <v/>
      </c>
      <c r="X288" s="20">
        <f>X182*($H$76-$H$77)</f>
        <v/>
      </c>
      <c r="Y288" s="20">
        <f>Y182*($H$76-$H$77)</f>
        <v/>
      </c>
      <c r="Z288" s="20">
        <f>Z182*($H$76-$H$77)</f>
        <v/>
      </c>
      <c r="AA288" s="20">
        <f>AA182*($H$76-$H$77)</f>
        <v/>
      </c>
      <c r="AB288" s="20">
        <f>AB182*($H$76-$H$77)</f>
        <v/>
      </c>
      <c r="AC288" s="20">
        <f>AC182*($H$76-$H$77)</f>
        <v/>
      </c>
      <c r="AD288" s="20">
        <f>AD182*($H$76-$H$77)</f>
        <v/>
      </c>
      <c r="AE288" s="20">
        <f>AE182*($H$76-$H$77)</f>
        <v/>
      </c>
      <c r="AF288" s="20">
        <f>AF182*($H$76-$H$77)</f>
        <v/>
      </c>
    </row>
    <row r="289">
      <c r="A289" s="3" t="inlineStr">
        <is>
          <t>Logistica (netto IVA)</t>
        </is>
      </c>
      <c r="B289" s="4" t="inlineStr">
        <is>
          <t>€</t>
        </is>
      </c>
      <c r="C289" s="20">
        <f>C112*$H$79+(C149-C112)*$C$79+C113*$I$79+(C215-C113)*$D$79+C114*$J$79+(C248-C114)*$E$79+C115*$K$79+(C281-C115)*$F$79</f>
        <v/>
      </c>
      <c r="D289" s="20">
        <f>D112*$H$79+(D149-D112)*$C$79+D113*$I$79+(D215-D113)*$D$79+D114*$J$79+(D248-D114)*$E$79+D115*$K$79+(D281-D115)*$F$79</f>
        <v/>
      </c>
      <c r="E289" s="20">
        <f>E112*$H$79+(E149-E112)*$C$79+E113*$I$79+(E215-E113)*$D$79+E114*$J$79+(E248-E114)*$E$79+E115*$K$79+(E281-E115)*$F$79</f>
        <v/>
      </c>
      <c r="F289" s="20">
        <f>F112*$H$79+(F149-F112)*$C$79+F113*$I$79+(F215-F113)*$D$79+F114*$J$79+(F248-F114)*$E$79+F115*$K$79+(F281-F115)*$F$79</f>
        <v/>
      </c>
      <c r="G289" s="20">
        <f>G112*$H$79+(G149-G112)*$C$79+G113*$I$79+(G215-G113)*$D$79+G114*$J$79+(G248-G114)*$E$79+G115*$K$79+(G281-G115)*$F$79</f>
        <v/>
      </c>
      <c r="H289" s="20">
        <f>H112*$H$79+(H149-H112)*$C$79+H113*$I$79+(H215-H113)*$D$79+H114*$J$79+(H248-H114)*$E$79+H115*$K$79+(H281-H115)*$F$79</f>
        <v/>
      </c>
      <c r="I289" s="20">
        <f>I112*$H$79+(I149-I112)*$C$79+I113*$I$79+(I215-I113)*$D$79+I114*$J$79+(I248-I114)*$E$79+I115*$K$79+(I281-I115)*$F$79</f>
        <v/>
      </c>
      <c r="J289" s="20">
        <f>J112*$H$79+(J149-J112)*$C$79+J113*$I$79+(J215-J113)*$D$79+J114*$J$79+(J248-J114)*$E$79+J115*$K$79+(J281-J115)*$F$79</f>
        <v/>
      </c>
      <c r="K289" s="20">
        <f>K112*$H$79+(K149-K112)*$C$79+K113*$I$79+(K215-K113)*$D$79+K114*$J$79+(K248-K114)*$E$79+K115*$K$79+(K281-K115)*$F$79</f>
        <v/>
      </c>
      <c r="L289" s="20">
        <f>L112*$H$79+(L149-L112)*$C$79+L113*$I$79+(L215-L113)*$D$79+L114*$J$79+(L248-L114)*$E$79+L115*$K$79+(L281-L115)*$F$79</f>
        <v/>
      </c>
      <c r="M289" s="20">
        <f>M112*$H$79+(M149-M112)*$C$79+M113*$I$79+(M215-M113)*$D$79+M114*$J$79+(M248-M114)*$E$79+M115*$K$79+(M281-M115)*$F$79</f>
        <v/>
      </c>
      <c r="N289" s="20">
        <f>N112*$H$79+(N149-N112)*$C$79+N113*$I$79+(N215-N113)*$D$79+N114*$J$79+(N248-N114)*$E$79+N115*$K$79+(N281-N115)*$F$79</f>
        <v/>
      </c>
      <c r="O289" s="20">
        <f>O112*$H$79+(O149-O112)*$C$79+O113*$I$79+(O215-O113)*$D$79+O114*$J$79+(O248-O114)*$E$79+O115*$K$79+(O281-O115)*$F$79</f>
        <v/>
      </c>
      <c r="P289" s="20">
        <f>P112*$H$79+(P149-P112)*$C$79+P113*$I$79+(P215-P113)*$D$79+P114*$J$79+(P248-P114)*$E$79+P115*$K$79+(P281-P115)*$F$79</f>
        <v/>
      </c>
      <c r="Q289" s="20">
        <f>Q112*$H$79+(Q149-Q112)*$C$79+Q113*$I$79+(Q215-Q113)*$D$79+Q114*$J$79+(Q248-Q114)*$E$79+Q115*$K$79+(Q281-Q115)*$F$79</f>
        <v/>
      </c>
      <c r="R289" s="20">
        <f>R112*$H$79+(R149-R112)*$C$79+R113*$I$79+(R215-R113)*$D$79+R114*$J$79+(R248-R114)*$E$79+R115*$K$79+(R281-R115)*$F$79</f>
        <v/>
      </c>
      <c r="S289" s="20">
        <f>S112*$H$79+(S149-S112)*$C$79+S113*$I$79+(S215-S113)*$D$79+S114*$J$79+(S248-S114)*$E$79+S115*$K$79+(S281-S115)*$F$79</f>
        <v/>
      </c>
      <c r="T289" s="20">
        <f>T112*$H$79+(T149-T112)*$C$79+T113*$I$79+(T215-T113)*$D$79+T114*$J$79+(T248-T114)*$E$79+T115*$K$79+(T281-T115)*$F$79</f>
        <v/>
      </c>
      <c r="U289" s="20">
        <f>U112*$H$79+(U149-U112)*$C$79+U113*$I$79+(U215-U113)*$D$79+U114*$J$79+(U248-U114)*$E$79+U115*$K$79+(U281-U115)*$F$79</f>
        <v/>
      </c>
      <c r="V289" s="20">
        <f>V112*$H$79+(V149-V112)*$C$79+V113*$I$79+(V215-V113)*$D$79+V114*$J$79+(V248-V114)*$E$79+V115*$K$79+(V281-V115)*$F$79</f>
        <v/>
      </c>
      <c r="W289" s="20">
        <f>W112*$H$79+(W149-W112)*$C$79+W113*$I$79+(W215-W113)*$D$79+W114*$J$79+(W248-W114)*$E$79+W115*$K$79+(W281-W115)*$F$79</f>
        <v/>
      </c>
      <c r="X289" s="20">
        <f>X112*$H$79+(X149-X112)*$C$79+X113*$I$79+(X215-X113)*$D$79+X114*$J$79+(X248-X114)*$E$79+X115*$K$79+(X281-X115)*$F$79</f>
        <v/>
      </c>
      <c r="Y289" s="20">
        <f>Y112*$H$79+(Y149-Y112)*$C$79+Y113*$I$79+(Y215-Y113)*$D$79+Y114*$J$79+(Y248-Y114)*$E$79+Y115*$K$79+(Y281-Y115)*$F$79</f>
        <v/>
      </c>
      <c r="Z289" s="20">
        <f>Z112*$H$79+(Z149-Z112)*$C$79+Z113*$I$79+(Z215-Z113)*$D$79+Z114*$J$79+(Z248-Z114)*$E$79+Z115*$K$79+(Z281-Z115)*$F$79</f>
        <v/>
      </c>
      <c r="AA289" s="20">
        <f>AA112*$H$79+(AA149-AA112)*$C$79+AA113*$I$79+(AA215-AA113)*$D$79+AA114*$J$79+(AA248-AA114)*$E$79+AA115*$K$79+(AA281-AA115)*$F$79</f>
        <v/>
      </c>
      <c r="AB289" s="20">
        <f>AB112*$H$79+(AB149-AB112)*$C$79+AB113*$I$79+(AB215-AB113)*$D$79+AB114*$J$79+(AB248-AB114)*$E$79+AB115*$K$79+(AB281-AB115)*$F$79</f>
        <v/>
      </c>
      <c r="AC289" s="20">
        <f>AC112*$H$79+(AC149-AC112)*$C$79+AC113*$I$79+(AC215-AC113)*$D$79+AC114*$J$79+(AC248-AC114)*$E$79+AC115*$K$79+(AC281-AC115)*$F$79</f>
        <v/>
      </c>
      <c r="AD289" s="20">
        <f>AD112*$H$79+(AD149-AD112)*$C$79+AD113*$I$79+(AD215-AD113)*$D$79+AD114*$J$79+(AD248-AD114)*$E$79+AD115*$K$79+(AD281-AD115)*$F$79</f>
        <v/>
      </c>
      <c r="AE289" s="20">
        <f>AE112*$H$79+(AE149-AE112)*$C$79+AE113*$I$79+(AE215-AE113)*$D$79+AE114*$J$79+(AE248-AE114)*$E$79+AE115*$K$79+(AE281-AE115)*$F$79</f>
        <v/>
      </c>
      <c r="AF289" s="20">
        <f>AF112*$H$79+(AF149-AF112)*$C$79+AF113*$I$79+(AF215-AF113)*$D$79+AF114*$J$79+(AF248-AF114)*$E$79+AF115*$K$79+(AF281-AF115)*$F$79</f>
        <v/>
      </c>
    </row>
    <row r="290">
      <c r="A290" s="3" t="inlineStr">
        <is>
          <t>Commissioni di incasso</t>
        </is>
      </c>
      <c r="B290" s="4" t="inlineStr">
        <is>
          <t>€</t>
        </is>
      </c>
      <c r="C290" s="20">
        <f>C112*$H$80+(C149-C112)*$C$80+C113*$I$80+(C215-C113)*$D$80+C114*$J$80+(C248-C114)*$E$80+C115*$K$80+(C281-C115)*$F$80</f>
        <v/>
      </c>
      <c r="D290" s="20">
        <f>D112*$H$80+(D149-D112)*$C$80+D113*$I$80+(D215-D113)*$D$80+D114*$J$80+(D248-D114)*$E$80+D115*$K$80+(D281-D115)*$F$80</f>
        <v/>
      </c>
      <c r="E290" s="20">
        <f>E112*$H$80+(E149-E112)*$C$80+E113*$I$80+(E215-E113)*$D$80+E114*$J$80+(E248-E114)*$E$80+E115*$K$80+(E281-E115)*$F$80</f>
        <v/>
      </c>
      <c r="F290" s="20">
        <f>F112*$H$80+(F149-F112)*$C$80+F113*$I$80+(F215-F113)*$D$80+F114*$J$80+(F248-F114)*$E$80+F115*$K$80+(F281-F115)*$F$80</f>
        <v/>
      </c>
      <c r="G290" s="20">
        <f>G112*$H$80+(G149-G112)*$C$80+G113*$I$80+(G215-G113)*$D$80+G114*$J$80+(G248-G114)*$E$80+G115*$K$80+(G281-G115)*$F$80</f>
        <v/>
      </c>
      <c r="H290" s="20">
        <f>H112*$H$80+(H149-H112)*$C$80+H113*$I$80+(H215-H113)*$D$80+H114*$J$80+(H248-H114)*$E$80+H115*$K$80+(H281-H115)*$F$80</f>
        <v/>
      </c>
      <c r="I290" s="20">
        <f>I112*$H$80+(I149-I112)*$C$80+I113*$I$80+(I215-I113)*$D$80+I114*$J$80+(I248-I114)*$E$80+I115*$K$80+(I281-I115)*$F$80</f>
        <v/>
      </c>
      <c r="J290" s="20">
        <f>J112*$H$80+(J149-J112)*$C$80+J113*$I$80+(J215-J113)*$D$80+J114*$J$80+(J248-J114)*$E$80+J115*$K$80+(J281-J115)*$F$80</f>
        <v/>
      </c>
      <c r="K290" s="20">
        <f>K112*$H$80+(K149-K112)*$C$80+K113*$I$80+(K215-K113)*$D$80+K114*$J$80+(K248-K114)*$E$80+K115*$K$80+(K281-K115)*$F$80</f>
        <v/>
      </c>
      <c r="L290" s="20">
        <f>L112*$H$80+(L149-L112)*$C$80+L113*$I$80+(L215-L113)*$D$80+L114*$J$80+(L248-L114)*$E$80+L115*$K$80+(L281-L115)*$F$80</f>
        <v/>
      </c>
      <c r="M290" s="20">
        <f>M112*$H$80+(M149-M112)*$C$80+M113*$I$80+(M215-M113)*$D$80+M114*$J$80+(M248-M114)*$E$80+M115*$K$80+(M281-M115)*$F$80</f>
        <v/>
      </c>
      <c r="N290" s="20">
        <f>N112*$H$80+(N149-N112)*$C$80+N113*$I$80+(N215-N113)*$D$80+N114*$J$80+(N248-N114)*$E$80+N115*$K$80+(N281-N115)*$F$80</f>
        <v/>
      </c>
      <c r="O290" s="20">
        <f>O112*$H$80+(O149-O112)*$C$80+O113*$I$80+(O215-O113)*$D$80+O114*$J$80+(O248-O114)*$E$80+O115*$K$80+(O281-O115)*$F$80</f>
        <v/>
      </c>
      <c r="P290" s="20">
        <f>P112*$H$80+(P149-P112)*$C$80+P113*$I$80+(P215-P113)*$D$80+P114*$J$80+(P248-P114)*$E$80+P115*$K$80+(P281-P115)*$F$80</f>
        <v/>
      </c>
      <c r="Q290" s="20">
        <f>Q112*$H$80+(Q149-Q112)*$C$80+Q113*$I$80+(Q215-Q113)*$D$80+Q114*$J$80+(Q248-Q114)*$E$80+Q115*$K$80+(Q281-Q115)*$F$80</f>
        <v/>
      </c>
      <c r="R290" s="20">
        <f>R112*$H$80+(R149-R112)*$C$80+R113*$I$80+(R215-R113)*$D$80+R114*$J$80+(R248-R114)*$E$80+R115*$K$80+(R281-R115)*$F$80</f>
        <v/>
      </c>
      <c r="S290" s="20">
        <f>S112*$H$80+(S149-S112)*$C$80+S113*$I$80+(S215-S113)*$D$80+S114*$J$80+(S248-S114)*$E$80+S115*$K$80+(S281-S115)*$F$80</f>
        <v/>
      </c>
      <c r="T290" s="20">
        <f>T112*$H$80+(T149-T112)*$C$80+T113*$I$80+(T215-T113)*$D$80+T114*$J$80+(T248-T114)*$E$80+T115*$K$80+(T281-T115)*$F$80</f>
        <v/>
      </c>
      <c r="U290" s="20">
        <f>U112*$H$80+(U149-U112)*$C$80+U113*$I$80+(U215-U113)*$D$80+U114*$J$80+(U248-U114)*$E$80+U115*$K$80+(U281-U115)*$F$80</f>
        <v/>
      </c>
      <c r="V290" s="20">
        <f>V112*$H$80+(V149-V112)*$C$80+V113*$I$80+(V215-V113)*$D$80+V114*$J$80+(V248-V114)*$E$80+V115*$K$80+(V281-V115)*$F$80</f>
        <v/>
      </c>
      <c r="W290" s="20">
        <f>W112*$H$80+(W149-W112)*$C$80+W113*$I$80+(W215-W113)*$D$80+W114*$J$80+(W248-W114)*$E$80+W115*$K$80+(W281-W115)*$F$80</f>
        <v/>
      </c>
      <c r="X290" s="20">
        <f>X112*$H$80+(X149-X112)*$C$80+X113*$I$80+(X215-X113)*$D$80+X114*$J$80+(X248-X114)*$E$80+X115*$K$80+(X281-X115)*$F$80</f>
        <v/>
      </c>
      <c r="Y290" s="20">
        <f>Y112*$H$80+(Y149-Y112)*$C$80+Y113*$I$80+(Y215-Y113)*$D$80+Y114*$J$80+(Y248-Y114)*$E$80+Y115*$K$80+(Y281-Y115)*$F$80</f>
        <v/>
      </c>
      <c r="Z290" s="20">
        <f>Z112*$H$80+(Z149-Z112)*$C$80+Z113*$I$80+(Z215-Z113)*$D$80+Z114*$J$80+(Z248-Z114)*$E$80+Z115*$K$80+(Z281-Z115)*$F$80</f>
        <v/>
      </c>
      <c r="AA290" s="20">
        <f>AA112*$H$80+(AA149-AA112)*$C$80+AA113*$I$80+(AA215-AA113)*$D$80+AA114*$J$80+(AA248-AA114)*$E$80+AA115*$K$80+(AA281-AA115)*$F$80</f>
        <v/>
      </c>
      <c r="AB290" s="20">
        <f>AB112*$H$80+(AB149-AB112)*$C$80+AB113*$I$80+(AB215-AB113)*$D$80+AB114*$J$80+(AB248-AB114)*$E$80+AB115*$K$80+(AB281-AB115)*$F$80</f>
        <v/>
      </c>
      <c r="AC290" s="20">
        <f>AC112*$H$80+(AC149-AC112)*$C$80+AC113*$I$80+(AC215-AC113)*$D$80+AC114*$J$80+(AC248-AC114)*$E$80+AC115*$K$80+(AC281-AC115)*$F$80</f>
        <v/>
      </c>
      <c r="AD290" s="20">
        <f>AD112*$H$80+(AD149-AD112)*$C$80+AD113*$I$80+(AD215-AD113)*$D$80+AD114*$J$80+(AD248-AD114)*$E$80+AD115*$K$80+(AD281-AD115)*$F$80</f>
        <v/>
      </c>
      <c r="AE290" s="20">
        <f>AE112*$H$80+(AE149-AE112)*$C$80+AE113*$I$80+(AE215-AE113)*$D$80+AE114*$J$80+(AE248-AE114)*$E$80+AE115*$K$80+(AE281-AE115)*$F$80</f>
        <v/>
      </c>
      <c r="AF290" s="20">
        <f>AF112*$H$80+(AF149-AF112)*$C$80+AF113*$I$80+(AF215-AF113)*$D$80+AF114*$J$80+(AF248-AF114)*$E$80+AF115*$K$80+(AF281-AF115)*$F$80</f>
        <v/>
      </c>
    </row>
    <row r="291">
      <c r="A291" s="3" t="inlineStr">
        <is>
          <t>Assistenza e resi ordinari</t>
        </is>
      </c>
      <c r="B291" s="4" t="inlineStr">
        <is>
          <t>€</t>
        </is>
      </c>
      <c r="C291" s="20">
        <f>C112*$H$81+(C149-C112)*$C$81+C113*$I$81+(C215-C113)*$D$81+C114*$J$81+(C248-C114)*$E$81+C115*$K$81+(C281-C115)*$F$81</f>
        <v/>
      </c>
      <c r="D291" s="20">
        <f>D112*$H$81+(D149-D112)*$C$81+D113*$I$81+(D215-D113)*$D$81+D114*$J$81+(D248-D114)*$E$81+D115*$K$81+(D281-D115)*$F$81</f>
        <v/>
      </c>
      <c r="E291" s="20">
        <f>E112*$H$81+(E149-E112)*$C$81+E113*$I$81+(E215-E113)*$D$81+E114*$J$81+(E248-E114)*$E$81+E115*$K$81+(E281-E115)*$F$81</f>
        <v/>
      </c>
      <c r="F291" s="20">
        <f>F112*$H$81+(F149-F112)*$C$81+F113*$I$81+(F215-F113)*$D$81+F114*$J$81+(F248-F114)*$E$81+F115*$K$81+(F281-F115)*$F$81</f>
        <v/>
      </c>
      <c r="G291" s="20">
        <f>G112*$H$81+(G149-G112)*$C$81+G113*$I$81+(G215-G113)*$D$81+G114*$J$81+(G248-G114)*$E$81+G115*$K$81+(G281-G115)*$F$81</f>
        <v/>
      </c>
      <c r="H291" s="20">
        <f>H112*$H$81+(H149-H112)*$C$81+H113*$I$81+(H215-H113)*$D$81+H114*$J$81+(H248-H114)*$E$81+H115*$K$81+(H281-H115)*$F$81</f>
        <v/>
      </c>
      <c r="I291" s="20">
        <f>I112*$H$81+(I149-I112)*$C$81+I113*$I$81+(I215-I113)*$D$81+I114*$J$81+(I248-I114)*$E$81+I115*$K$81+(I281-I115)*$F$81</f>
        <v/>
      </c>
      <c r="J291" s="20">
        <f>J112*$H$81+(J149-J112)*$C$81+J113*$I$81+(J215-J113)*$D$81+J114*$J$81+(J248-J114)*$E$81+J115*$K$81+(J281-J115)*$F$81</f>
        <v/>
      </c>
      <c r="K291" s="20">
        <f>K112*$H$81+(K149-K112)*$C$81+K113*$I$81+(K215-K113)*$D$81+K114*$J$81+(K248-K114)*$E$81+K115*$K$81+(K281-K115)*$F$81</f>
        <v/>
      </c>
      <c r="L291" s="20">
        <f>L112*$H$81+(L149-L112)*$C$81+L113*$I$81+(L215-L113)*$D$81+L114*$J$81+(L248-L114)*$E$81+L115*$K$81+(L281-L115)*$F$81</f>
        <v/>
      </c>
      <c r="M291" s="20">
        <f>M112*$H$81+(M149-M112)*$C$81+M113*$I$81+(M215-M113)*$D$81+M114*$J$81+(M248-M114)*$E$81+M115*$K$81+(M281-M115)*$F$81</f>
        <v/>
      </c>
      <c r="N291" s="20">
        <f>N112*$H$81+(N149-N112)*$C$81+N113*$I$81+(N215-N113)*$D$81+N114*$J$81+(N248-N114)*$E$81+N115*$K$81+(N281-N115)*$F$81</f>
        <v/>
      </c>
      <c r="O291" s="20">
        <f>O112*$H$81+(O149-O112)*$C$81+O113*$I$81+(O215-O113)*$D$81+O114*$J$81+(O248-O114)*$E$81+O115*$K$81+(O281-O115)*$F$81</f>
        <v/>
      </c>
      <c r="P291" s="20">
        <f>P112*$H$81+(P149-P112)*$C$81+P113*$I$81+(P215-P113)*$D$81+P114*$J$81+(P248-P114)*$E$81+P115*$K$81+(P281-P115)*$F$81</f>
        <v/>
      </c>
      <c r="Q291" s="20">
        <f>Q112*$H$81+(Q149-Q112)*$C$81+Q113*$I$81+(Q215-Q113)*$D$81+Q114*$J$81+(Q248-Q114)*$E$81+Q115*$K$81+(Q281-Q115)*$F$81</f>
        <v/>
      </c>
      <c r="R291" s="20">
        <f>R112*$H$81+(R149-R112)*$C$81+R113*$I$81+(R215-R113)*$D$81+R114*$J$81+(R248-R114)*$E$81+R115*$K$81+(R281-R115)*$F$81</f>
        <v/>
      </c>
      <c r="S291" s="20">
        <f>S112*$H$81+(S149-S112)*$C$81+S113*$I$81+(S215-S113)*$D$81+S114*$J$81+(S248-S114)*$E$81+S115*$K$81+(S281-S115)*$F$81</f>
        <v/>
      </c>
      <c r="T291" s="20">
        <f>T112*$H$81+(T149-T112)*$C$81+T113*$I$81+(T215-T113)*$D$81+T114*$J$81+(T248-T114)*$E$81+T115*$K$81+(T281-T115)*$F$81</f>
        <v/>
      </c>
      <c r="U291" s="20">
        <f>U112*$H$81+(U149-U112)*$C$81+U113*$I$81+(U215-U113)*$D$81+U114*$J$81+(U248-U114)*$E$81+U115*$K$81+(U281-U115)*$F$81</f>
        <v/>
      </c>
      <c r="V291" s="20">
        <f>V112*$H$81+(V149-V112)*$C$81+V113*$I$81+(V215-V113)*$D$81+V114*$J$81+(V248-V114)*$E$81+V115*$K$81+(V281-V115)*$F$81</f>
        <v/>
      </c>
      <c r="W291" s="20">
        <f>W112*$H$81+(W149-W112)*$C$81+W113*$I$81+(W215-W113)*$D$81+W114*$J$81+(W248-W114)*$E$81+W115*$K$81+(W281-W115)*$F$81</f>
        <v/>
      </c>
      <c r="X291" s="20">
        <f>X112*$H$81+(X149-X112)*$C$81+X113*$I$81+(X215-X113)*$D$81+X114*$J$81+(X248-X114)*$E$81+X115*$K$81+(X281-X115)*$F$81</f>
        <v/>
      </c>
      <c r="Y291" s="20">
        <f>Y112*$H$81+(Y149-Y112)*$C$81+Y113*$I$81+(Y215-Y113)*$D$81+Y114*$J$81+(Y248-Y114)*$E$81+Y115*$K$81+(Y281-Y115)*$F$81</f>
        <v/>
      </c>
      <c r="Z291" s="20">
        <f>Z112*$H$81+(Z149-Z112)*$C$81+Z113*$I$81+(Z215-Z113)*$D$81+Z114*$J$81+(Z248-Z114)*$E$81+Z115*$K$81+(Z281-Z115)*$F$81</f>
        <v/>
      </c>
      <c r="AA291" s="20">
        <f>AA112*$H$81+(AA149-AA112)*$C$81+AA113*$I$81+(AA215-AA113)*$D$81+AA114*$J$81+(AA248-AA114)*$E$81+AA115*$K$81+(AA281-AA115)*$F$81</f>
        <v/>
      </c>
      <c r="AB291" s="20">
        <f>AB112*$H$81+(AB149-AB112)*$C$81+AB113*$I$81+(AB215-AB113)*$D$81+AB114*$J$81+(AB248-AB114)*$E$81+AB115*$K$81+(AB281-AB115)*$F$81</f>
        <v/>
      </c>
      <c r="AC291" s="20">
        <f>AC112*$H$81+(AC149-AC112)*$C$81+AC113*$I$81+(AC215-AC113)*$D$81+AC114*$J$81+(AC248-AC114)*$E$81+AC115*$K$81+(AC281-AC115)*$F$81</f>
        <v/>
      </c>
      <c r="AD291" s="20">
        <f>AD112*$H$81+(AD149-AD112)*$C$81+AD113*$I$81+(AD215-AD113)*$D$81+AD114*$J$81+(AD248-AD114)*$E$81+AD115*$K$81+(AD281-AD115)*$F$81</f>
        <v/>
      </c>
      <c r="AE291" s="20">
        <f>AE112*$H$81+(AE149-AE112)*$C$81+AE113*$I$81+(AE215-AE113)*$D$81+AE114*$J$81+(AE248-AE114)*$E$81+AE115*$K$81+(AE281-AE115)*$F$81</f>
        <v/>
      </c>
      <c r="AF291" s="20">
        <f>AF112*$H$81+(AF149-AF112)*$C$81+AF113*$I$81+(AF215-AF113)*$D$81+AF114*$J$81+(AF248-AF114)*$E$81+AF115*$K$81+(AF281-AF115)*$F$81</f>
        <v/>
      </c>
    </row>
    <row r="292">
      <c r="A292" s="3" t="inlineStr">
        <is>
          <t>Costo del prodotto venduto (competenza)</t>
        </is>
      </c>
      <c r="B292" s="4" t="inlineStr">
        <is>
          <t>€</t>
        </is>
      </c>
      <c r="C292" s="20">
        <f>C112*$H$78+(C149-C112)*$C$78+C113*$I$78+(C215-C113)*$D$78+C114*$J$78+(C248-C114)*$E$78+C115*$K$78+(C281-C115)*$F$78</f>
        <v/>
      </c>
      <c r="D292" s="20">
        <f>D112*$H$78+(D149-D112)*$C$78+D113*$I$78+(D215-D113)*$D$78+D114*$J$78+(D248-D114)*$E$78+D115*$K$78+(D281-D115)*$F$78</f>
        <v/>
      </c>
      <c r="E292" s="20">
        <f>E112*$H$78+(E149-E112)*$C$78+E113*$I$78+(E215-E113)*$D$78+E114*$J$78+(E248-E114)*$E$78+E115*$K$78+(E281-E115)*$F$78</f>
        <v/>
      </c>
      <c r="F292" s="20">
        <f>F112*$H$78+(F149-F112)*$C$78+F113*$I$78+(F215-F113)*$D$78+F114*$J$78+(F248-F114)*$E$78+F115*$K$78+(F281-F115)*$F$78</f>
        <v/>
      </c>
      <c r="G292" s="20">
        <f>G112*$H$78+(G149-G112)*$C$78+G113*$I$78+(G215-G113)*$D$78+G114*$J$78+(G248-G114)*$E$78+G115*$K$78+(G281-G115)*$F$78</f>
        <v/>
      </c>
      <c r="H292" s="20">
        <f>H112*$H$78+(H149-H112)*$C$78+H113*$I$78+(H215-H113)*$D$78+H114*$J$78+(H248-H114)*$E$78+H115*$K$78+(H281-H115)*$F$78</f>
        <v/>
      </c>
      <c r="I292" s="20">
        <f>I112*$H$78+(I149-I112)*$C$78+I113*$I$78+(I215-I113)*$D$78+I114*$J$78+(I248-I114)*$E$78+I115*$K$78+(I281-I115)*$F$78</f>
        <v/>
      </c>
      <c r="J292" s="20">
        <f>J112*$H$78+(J149-J112)*$C$78+J113*$I$78+(J215-J113)*$D$78+J114*$J$78+(J248-J114)*$E$78+J115*$K$78+(J281-J115)*$F$78</f>
        <v/>
      </c>
      <c r="K292" s="20">
        <f>K112*$H$78+(K149-K112)*$C$78+K113*$I$78+(K215-K113)*$D$78+K114*$J$78+(K248-K114)*$E$78+K115*$K$78+(K281-K115)*$F$78</f>
        <v/>
      </c>
      <c r="L292" s="20">
        <f>L112*$H$78+(L149-L112)*$C$78+L113*$I$78+(L215-L113)*$D$78+L114*$J$78+(L248-L114)*$E$78+L115*$K$78+(L281-L115)*$F$78</f>
        <v/>
      </c>
      <c r="M292" s="20">
        <f>M112*$H$78+(M149-M112)*$C$78+M113*$I$78+(M215-M113)*$D$78+M114*$J$78+(M248-M114)*$E$78+M115*$K$78+(M281-M115)*$F$78</f>
        <v/>
      </c>
      <c r="N292" s="20">
        <f>N112*$H$78+(N149-N112)*$C$78+N113*$I$78+(N215-N113)*$D$78+N114*$J$78+(N248-N114)*$E$78+N115*$K$78+(N281-N115)*$F$78</f>
        <v/>
      </c>
      <c r="O292" s="20">
        <f>O112*$H$78+(O149-O112)*$C$78+O113*$I$78+(O215-O113)*$D$78+O114*$J$78+(O248-O114)*$E$78+O115*$K$78+(O281-O115)*$F$78</f>
        <v/>
      </c>
      <c r="P292" s="20">
        <f>P112*$H$78+(P149-P112)*$C$78+P113*$I$78+(P215-P113)*$D$78+P114*$J$78+(P248-P114)*$E$78+P115*$K$78+(P281-P115)*$F$78</f>
        <v/>
      </c>
      <c r="Q292" s="20">
        <f>Q112*$H$78+(Q149-Q112)*$C$78+Q113*$I$78+(Q215-Q113)*$D$78+Q114*$J$78+(Q248-Q114)*$E$78+Q115*$K$78+(Q281-Q115)*$F$78</f>
        <v/>
      </c>
      <c r="R292" s="20">
        <f>R112*$H$78+(R149-R112)*$C$78+R113*$I$78+(R215-R113)*$D$78+R114*$J$78+(R248-R114)*$E$78+R115*$K$78+(R281-R115)*$F$78</f>
        <v/>
      </c>
      <c r="S292" s="20">
        <f>S112*$H$78+(S149-S112)*$C$78+S113*$I$78+(S215-S113)*$D$78+S114*$J$78+(S248-S114)*$E$78+S115*$K$78+(S281-S115)*$F$78</f>
        <v/>
      </c>
      <c r="T292" s="20">
        <f>T112*$H$78+(T149-T112)*$C$78+T113*$I$78+(T215-T113)*$D$78+T114*$J$78+(T248-T114)*$E$78+T115*$K$78+(T281-T115)*$F$78</f>
        <v/>
      </c>
      <c r="U292" s="20">
        <f>U112*$H$78+(U149-U112)*$C$78+U113*$I$78+(U215-U113)*$D$78+U114*$J$78+(U248-U114)*$E$78+U115*$K$78+(U281-U115)*$F$78</f>
        <v/>
      </c>
      <c r="V292" s="20">
        <f>V112*$H$78+(V149-V112)*$C$78+V113*$I$78+(V215-V113)*$D$78+V114*$J$78+(V248-V114)*$E$78+V115*$K$78+(V281-V115)*$F$78</f>
        <v/>
      </c>
      <c r="W292" s="20">
        <f>W112*$H$78+(W149-W112)*$C$78+W113*$I$78+(W215-W113)*$D$78+W114*$J$78+(W248-W114)*$E$78+W115*$K$78+(W281-W115)*$F$78</f>
        <v/>
      </c>
      <c r="X292" s="20">
        <f>X112*$H$78+(X149-X112)*$C$78+X113*$I$78+(X215-X113)*$D$78+X114*$J$78+(X248-X114)*$E$78+X115*$K$78+(X281-X115)*$F$78</f>
        <v/>
      </c>
      <c r="Y292" s="20">
        <f>Y112*$H$78+(Y149-Y112)*$C$78+Y113*$I$78+(Y215-Y113)*$D$78+Y114*$J$78+(Y248-Y114)*$E$78+Y115*$K$78+(Y281-Y115)*$F$78</f>
        <v/>
      </c>
      <c r="Z292" s="20">
        <f>Z112*$H$78+(Z149-Z112)*$C$78+Z113*$I$78+(Z215-Z113)*$D$78+Z114*$J$78+(Z248-Z114)*$E$78+Z115*$K$78+(Z281-Z115)*$F$78</f>
        <v/>
      </c>
      <c r="AA292" s="20">
        <f>AA112*$H$78+(AA149-AA112)*$C$78+AA113*$I$78+(AA215-AA113)*$D$78+AA114*$J$78+(AA248-AA114)*$E$78+AA115*$K$78+(AA281-AA115)*$F$78</f>
        <v/>
      </c>
      <c r="AB292" s="20">
        <f>AB112*$H$78+(AB149-AB112)*$C$78+AB113*$I$78+(AB215-AB113)*$D$78+AB114*$J$78+(AB248-AB114)*$E$78+AB115*$K$78+(AB281-AB115)*$F$78</f>
        <v/>
      </c>
      <c r="AC292" s="20">
        <f>AC112*$H$78+(AC149-AC112)*$C$78+AC113*$I$78+(AC215-AC113)*$D$78+AC114*$J$78+(AC248-AC114)*$E$78+AC115*$K$78+(AC281-AC115)*$F$78</f>
        <v/>
      </c>
      <c r="AD292" s="20">
        <f>AD112*$H$78+(AD149-AD112)*$C$78+AD113*$I$78+(AD215-AD113)*$D$78+AD114*$J$78+(AD248-AD114)*$E$78+AD115*$K$78+(AD281-AD115)*$F$78</f>
        <v/>
      </c>
      <c r="AE292" s="20">
        <f>AE112*$H$78+(AE149-AE112)*$C$78+AE113*$I$78+(AE215-AE113)*$D$78+AE114*$J$78+(AE248-AE114)*$E$78+AE115*$K$78+(AE281-AE115)*$F$78</f>
        <v/>
      </c>
      <c r="AF292" s="20">
        <f>AF112*$H$78+(AF149-AF112)*$C$78+AF113*$I$78+(AF215-AF113)*$D$78+AF114*$J$78+(AF248-AF114)*$E$78+AF115*$K$78+(AF281-AF115)*$F$78</f>
        <v/>
      </c>
    </row>
    <row r="293">
      <c r="A293" s="3" t="inlineStr">
        <is>
          <t>Flaconi spediti con gli ordini</t>
        </is>
      </c>
      <c r="C293" s="24">
        <f>C149*$C$49+C215*$C$50+C248*$C$51+C281*$C$52</f>
        <v/>
      </c>
      <c r="D293" s="24">
        <f>D149*$C$49+D215*$C$50+D248*$C$51+D281*$C$52</f>
        <v/>
      </c>
      <c r="E293" s="24">
        <f>E149*$C$49+E215*$C$50+E248*$C$51+E281*$C$52</f>
        <v/>
      </c>
      <c r="F293" s="24">
        <f>F149*$C$49+F215*$C$50+F248*$C$51+F281*$C$52</f>
        <v/>
      </c>
      <c r="G293" s="24">
        <f>G149*$C$49+G215*$C$50+G248*$C$51+G281*$C$52</f>
        <v/>
      </c>
      <c r="H293" s="24">
        <f>H149*$C$49+H215*$C$50+H248*$C$51+H281*$C$52</f>
        <v/>
      </c>
      <c r="I293" s="24">
        <f>I149*$C$49+I215*$C$50+I248*$C$51+I281*$C$52</f>
        <v/>
      </c>
      <c r="J293" s="24">
        <f>J149*$C$49+J215*$C$50+J248*$C$51+J281*$C$52</f>
        <v/>
      </c>
      <c r="K293" s="24">
        <f>K149*$C$49+K215*$C$50+K248*$C$51+K281*$C$52</f>
        <v/>
      </c>
      <c r="L293" s="24">
        <f>L149*$C$49+L215*$C$50+L248*$C$51+L281*$C$52</f>
        <v/>
      </c>
      <c r="M293" s="24">
        <f>M149*$C$49+M215*$C$50+M248*$C$51+M281*$C$52</f>
        <v/>
      </c>
      <c r="N293" s="24">
        <f>N149*$C$49+N215*$C$50+N248*$C$51+N281*$C$52</f>
        <v/>
      </c>
      <c r="O293" s="24">
        <f>O149*$C$49+O215*$C$50+O248*$C$51+O281*$C$52</f>
        <v/>
      </c>
      <c r="P293" s="24">
        <f>P149*$C$49+P215*$C$50+P248*$C$51+P281*$C$52</f>
        <v/>
      </c>
      <c r="Q293" s="24">
        <f>Q149*$C$49+Q215*$C$50+Q248*$C$51+Q281*$C$52</f>
        <v/>
      </c>
      <c r="R293" s="24">
        <f>R149*$C$49+R215*$C$50+R248*$C$51+R281*$C$52</f>
        <v/>
      </c>
      <c r="S293" s="24">
        <f>S149*$C$49+S215*$C$50+S248*$C$51+S281*$C$52</f>
        <v/>
      </c>
      <c r="T293" s="24">
        <f>T149*$C$49+T215*$C$50+T248*$C$51+T281*$C$52</f>
        <v/>
      </c>
      <c r="U293" s="24">
        <f>U149*$C$49+U215*$C$50+U248*$C$51+U281*$C$52</f>
        <v/>
      </c>
      <c r="V293" s="24">
        <f>V149*$C$49+V215*$C$50+V248*$C$51+V281*$C$52</f>
        <v/>
      </c>
      <c r="W293" s="24">
        <f>W149*$C$49+W215*$C$50+W248*$C$51+W281*$C$52</f>
        <v/>
      </c>
      <c r="X293" s="24">
        <f>X149*$C$49+X215*$C$50+X248*$C$51+X281*$C$52</f>
        <v/>
      </c>
      <c r="Y293" s="24">
        <f>Y149*$C$49+Y215*$C$50+Y248*$C$51+Y281*$C$52</f>
        <v/>
      </c>
      <c r="Z293" s="24">
        <f>Z149*$C$49+Z215*$C$50+Z248*$C$51+Z281*$C$52</f>
        <v/>
      </c>
      <c r="AA293" s="24">
        <f>AA149*$C$49+AA215*$C$50+AA248*$C$51+AA281*$C$52</f>
        <v/>
      </c>
      <c r="AB293" s="24">
        <f>AB149*$C$49+AB215*$C$50+AB248*$C$51+AB281*$C$52</f>
        <v/>
      </c>
      <c r="AC293" s="24">
        <f>AC149*$C$49+AC215*$C$50+AC248*$C$51+AC281*$C$52</f>
        <v/>
      </c>
      <c r="AD293" s="24">
        <f>AD149*$C$49+AD215*$C$50+AD248*$C$51+AD281*$C$52</f>
        <v/>
      </c>
      <c r="AE293" s="24">
        <f>AE149*$C$49+AE215*$C$50+AE248*$C$51+AE281*$C$52</f>
        <v/>
      </c>
      <c r="AF293" s="24">
        <f>AF149*$C$49+AF215*$C$50+AF248*$C$51+AF281*$C$52</f>
        <v/>
      </c>
    </row>
    <row r="294">
      <c r="A294" s="3" t="inlineStr">
        <is>
          <t>Campioni</t>
        </is>
      </c>
      <c r="C294" s="24">
        <f>IF(C106=0,$C$67,IF(C106&gt;0,$C$68,0))</f>
        <v/>
      </c>
      <c r="D294" s="24">
        <f>IF(D106=0,$C$67,IF(D106&gt;0,$C$68,0))</f>
        <v/>
      </c>
      <c r="E294" s="24">
        <f>IF(E106=0,$C$67,IF(E106&gt;0,$C$68,0))</f>
        <v/>
      </c>
      <c r="F294" s="24">
        <f>IF(F106=0,$C$67,IF(F106&gt;0,$C$68,0))</f>
        <v/>
      </c>
      <c r="G294" s="24">
        <f>IF(G106=0,$C$67,IF(G106&gt;0,$C$68,0))</f>
        <v/>
      </c>
      <c r="H294" s="24">
        <f>IF(H106=0,$C$67,IF(H106&gt;0,$C$68,0))</f>
        <v/>
      </c>
      <c r="I294" s="24">
        <f>IF(I106=0,$C$67,IF(I106&gt;0,$C$68,0))</f>
        <v/>
      </c>
      <c r="J294" s="24">
        <f>IF(J106=0,$C$67,IF(J106&gt;0,$C$68,0))</f>
        <v/>
      </c>
      <c r="K294" s="24">
        <f>IF(K106=0,$C$67,IF(K106&gt;0,$C$68,0))</f>
        <v/>
      </c>
      <c r="L294" s="24">
        <f>IF(L106=0,$C$67,IF(L106&gt;0,$C$68,0))</f>
        <v/>
      </c>
      <c r="M294" s="24">
        <f>IF(M106=0,$C$67,IF(M106&gt;0,$C$68,0))</f>
        <v/>
      </c>
      <c r="N294" s="24">
        <f>IF(N106=0,$C$67,IF(N106&gt;0,$C$68,0))</f>
        <v/>
      </c>
      <c r="O294" s="24">
        <f>IF(O106=0,$C$67,IF(O106&gt;0,$C$68,0))</f>
        <v/>
      </c>
      <c r="P294" s="24">
        <f>IF(P106=0,$C$67,IF(P106&gt;0,$C$68,0))</f>
        <v/>
      </c>
      <c r="Q294" s="24">
        <f>IF(Q106=0,$C$67,IF(Q106&gt;0,$C$68,0))</f>
        <v/>
      </c>
      <c r="R294" s="24">
        <f>IF(R106=0,$C$67,IF(R106&gt;0,$C$68,0))</f>
        <v/>
      </c>
      <c r="S294" s="24">
        <f>IF(S106=0,$C$67,IF(S106&gt;0,$C$68,0))</f>
        <v/>
      </c>
      <c r="T294" s="24">
        <f>IF(T106=0,$C$67,IF(T106&gt;0,$C$68,0))</f>
        <v/>
      </c>
      <c r="U294" s="24">
        <f>IF(U106=0,$C$67,IF(U106&gt;0,$C$68,0))</f>
        <v/>
      </c>
      <c r="V294" s="24">
        <f>IF(V106=0,$C$67,IF(V106&gt;0,$C$68,0))</f>
        <v/>
      </c>
      <c r="W294" s="24">
        <f>IF(W106=0,$C$67,IF(W106&gt;0,$C$68,0))</f>
        <v/>
      </c>
      <c r="X294" s="24">
        <f>IF(X106=0,$C$67,IF(X106&gt;0,$C$68,0))</f>
        <v/>
      </c>
      <c r="Y294" s="24">
        <f>IF(Y106=0,$C$67,IF(Y106&gt;0,$C$68,0))</f>
        <v/>
      </c>
      <c r="Z294" s="24">
        <f>IF(Z106=0,$C$67,IF(Z106&gt;0,$C$68,0))</f>
        <v/>
      </c>
      <c r="AA294" s="24">
        <f>IF(AA106=0,$C$67,IF(AA106&gt;0,$C$68,0))</f>
        <v/>
      </c>
      <c r="AB294" s="24">
        <f>IF(AB106=0,$C$67,IF(AB106&gt;0,$C$68,0))</f>
        <v/>
      </c>
      <c r="AC294" s="24">
        <f>IF(AC106=0,$C$67,IF(AC106&gt;0,$C$68,0))</f>
        <v/>
      </c>
      <c r="AD294" s="24">
        <f>IF(AD106=0,$C$67,IF(AD106&gt;0,$C$68,0))</f>
        <v/>
      </c>
      <c r="AE294" s="24">
        <f>IF(AE106=0,$C$67,IF(AE106&gt;0,$C$68,0))</f>
        <v/>
      </c>
      <c r="AF294" s="24">
        <f>IF(AF106=0,$C$67,IF(AF106&gt;0,$C$68,0))</f>
        <v/>
      </c>
    </row>
    <row r="295">
      <c r="A295" s="3" t="inlineStr">
        <is>
          <t>Sostituzioni</t>
        </is>
      </c>
      <c r="C295" s="24">
        <f>C293*$C$69</f>
        <v/>
      </c>
      <c r="D295" s="24">
        <f>D293*$C$69</f>
        <v/>
      </c>
      <c r="E295" s="24">
        <f>E293*$C$69</f>
        <v/>
      </c>
      <c r="F295" s="24">
        <f>F293*$C$69</f>
        <v/>
      </c>
      <c r="G295" s="24">
        <f>G293*$C$69</f>
        <v/>
      </c>
      <c r="H295" s="24">
        <f>H293*$C$69</f>
        <v/>
      </c>
      <c r="I295" s="24">
        <f>I293*$C$69</f>
        <v/>
      </c>
      <c r="J295" s="24">
        <f>J293*$C$69</f>
        <v/>
      </c>
      <c r="K295" s="24">
        <f>K293*$C$69</f>
        <v/>
      </c>
      <c r="L295" s="24">
        <f>L293*$C$69</f>
        <v/>
      </c>
      <c r="M295" s="24">
        <f>M293*$C$69</f>
        <v/>
      </c>
      <c r="N295" s="24">
        <f>N293*$C$69</f>
        <v/>
      </c>
      <c r="O295" s="24">
        <f>O293*$C$69</f>
        <v/>
      </c>
      <c r="P295" s="24">
        <f>P293*$C$69</f>
        <v/>
      </c>
      <c r="Q295" s="24">
        <f>Q293*$C$69</f>
        <v/>
      </c>
      <c r="R295" s="24">
        <f>R293*$C$69</f>
        <v/>
      </c>
      <c r="S295" s="24">
        <f>S293*$C$69</f>
        <v/>
      </c>
      <c r="T295" s="24">
        <f>T293*$C$69</f>
        <v/>
      </c>
      <c r="U295" s="24">
        <f>U293*$C$69</f>
        <v/>
      </c>
      <c r="V295" s="24">
        <f>V293*$C$69</f>
        <v/>
      </c>
      <c r="W295" s="24">
        <f>W293*$C$69</f>
        <v/>
      </c>
      <c r="X295" s="24">
        <f>X293*$C$69</f>
        <v/>
      </c>
      <c r="Y295" s="24">
        <f>Y293*$C$69</f>
        <v/>
      </c>
      <c r="Z295" s="24">
        <f>Z293*$C$69</f>
        <v/>
      </c>
      <c r="AA295" s="24">
        <f>AA293*$C$69</f>
        <v/>
      </c>
      <c r="AB295" s="24">
        <f>AB293*$C$69</f>
        <v/>
      </c>
      <c r="AC295" s="24">
        <f>AC293*$C$69</f>
        <v/>
      </c>
      <c r="AD295" s="24">
        <f>AD293*$C$69</f>
        <v/>
      </c>
      <c r="AE295" s="24">
        <f>AE293*$C$69</f>
        <v/>
      </c>
      <c r="AF295" s="24">
        <f>AF293*$C$69</f>
        <v/>
      </c>
    </row>
    <row r="297">
      <c r="A297" s="10" t="inlineStr">
        <is>
          <t>Costi di progetto nello scenario (mese effettivo)</t>
        </is>
      </c>
      <c r="C297" s="2" t="inlineStr">
        <is>
          <t>Mese</t>
        </is>
      </c>
      <c r="D297" s="2" t="inlineStr">
        <is>
          <t>Importo</t>
        </is>
      </c>
      <c r="E297" s="2" t="inlineStr">
        <is>
          <t>IVA</t>
        </is>
      </c>
    </row>
    <row r="298">
      <c r="A298" s="21">
        <f>Progetto!A5</f>
        <v/>
      </c>
      <c r="C298" s="21">
        <f>Progetto!B5+IF(Progetto!C5="sì",$C$6-16,0)</f>
        <v/>
      </c>
      <c r="D298" s="6">
        <f>Progetto!D5</f>
        <v/>
      </c>
      <c r="E298" s="6">
        <f>Progetto!D5*Progetto!E5*$C$44</f>
        <v/>
      </c>
    </row>
    <row r="299">
      <c r="A299" s="21">
        <f>Progetto!A6</f>
        <v/>
      </c>
      <c r="C299" s="21">
        <f>Progetto!B6+IF(Progetto!C6="sì",$C$6-16,0)</f>
        <v/>
      </c>
      <c r="D299" s="6">
        <f>Progetto!D6</f>
        <v/>
      </c>
      <c r="E299" s="6">
        <f>Progetto!D6*Progetto!E6*$C$44</f>
        <v/>
      </c>
    </row>
    <row r="300">
      <c r="A300" s="21">
        <f>Progetto!A7</f>
        <v/>
      </c>
      <c r="C300" s="21">
        <f>Progetto!B7+IF(Progetto!C7="sì",$C$6-16,0)</f>
        <v/>
      </c>
      <c r="D300" s="6">
        <f>Progetto!D7</f>
        <v/>
      </c>
      <c r="E300" s="6">
        <f>Progetto!D7*Progetto!E7*$C$44</f>
        <v/>
      </c>
    </row>
    <row r="301">
      <c r="A301" s="21">
        <f>Progetto!A8</f>
        <v/>
      </c>
      <c r="C301" s="21">
        <f>Progetto!B8+IF(Progetto!C8="sì",$C$6-16,0)</f>
        <v/>
      </c>
      <c r="D301" s="6">
        <f>Progetto!D8</f>
        <v/>
      </c>
      <c r="E301" s="6">
        <f>Progetto!D8*Progetto!E8*$C$44</f>
        <v/>
      </c>
    </row>
    <row r="302">
      <c r="A302" s="21">
        <f>Progetto!A9</f>
        <v/>
      </c>
      <c r="C302" s="21">
        <f>Progetto!B9+IF(Progetto!C9="sì",$C$6-16,0)</f>
        <v/>
      </c>
      <c r="D302" s="6">
        <f>Progetto!D9</f>
        <v/>
      </c>
      <c r="E302" s="6">
        <f>Progetto!D9*Progetto!E9*$C$44</f>
        <v/>
      </c>
    </row>
    <row r="303">
      <c r="A303" s="21">
        <f>Progetto!A10</f>
        <v/>
      </c>
      <c r="C303" s="21">
        <f>Progetto!B10+IF(Progetto!C10="sì",$C$6-16,0)</f>
        <v/>
      </c>
      <c r="D303" s="6">
        <f>Progetto!D10</f>
        <v/>
      </c>
      <c r="E303" s="6">
        <f>Progetto!D10*Progetto!E10*$C$44</f>
        <v/>
      </c>
    </row>
    <row r="304">
      <c r="A304" s="21">
        <f>Progetto!A11</f>
        <v/>
      </c>
      <c r="C304" s="21">
        <f>Progetto!B11+IF(Progetto!C11="sì",$C$6-16,0)</f>
        <v/>
      </c>
      <c r="D304" s="6">
        <f>Progetto!D11</f>
        <v/>
      </c>
      <c r="E304" s="6">
        <f>Progetto!D11*Progetto!E11*$C$44</f>
        <v/>
      </c>
    </row>
    <row r="305">
      <c r="A305" s="21">
        <f>Progetto!A12</f>
        <v/>
      </c>
      <c r="C305" s="21">
        <f>Progetto!B12+IF(Progetto!C12="sì",$C$6-16,0)</f>
        <v/>
      </c>
      <c r="D305" s="6">
        <f>Progetto!D12</f>
        <v/>
      </c>
      <c r="E305" s="6">
        <f>Progetto!D12*Progetto!E12*$C$44</f>
        <v/>
      </c>
    </row>
    <row r="306">
      <c r="A306" s="21">
        <f>Progetto!A13</f>
        <v/>
      </c>
      <c r="C306" s="21">
        <f>Progetto!B13+IF(Progetto!C13="sì",$C$6-16,0)</f>
        <v/>
      </c>
      <c r="D306" s="6">
        <f>Progetto!D13</f>
        <v/>
      </c>
      <c r="E306" s="6">
        <f>Progetto!D13*Progetto!E13*$C$44</f>
        <v/>
      </c>
    </row>
    <row r="307">
      <c r="A307" s="21">
        <f>Progetto!A14</f>
        <v/>
      </c>
      <c r="C307" s="21">
        <f>Progetto!B14+IF(Progetto!C14="sì",$C$6-16,0)</f>
        <v/>
      </c>
      <c r="D307" s="6">
        <f>Progetto!D14</f>
        <v/>
      </c>
      <c r="E307" s="6">
        <f>Progetto!D14*Progetto!E14*$C$44</f>
        <v/>
      </c>
    </row>
    <row r="308">
      <c r="A308" s="21">
        <f>Progetto!A15</f>
        <v/>
      </c>
      <c r="C308" s="21">
        <f>Progetto!B15+IF(Progetto!C15="sì",$C$6-16,0)</f>
        <v/>
      </c>
      <c r="D308" s="6">
        <f>Progetto!D15</f>
        <v/>
      </c>
      <c r="E308" s="6">
        <f>Progetto!D15*Progetto!E15*$C$44</f>
        <v/>
      </c>
    </row>
    <row r="309">
      <c r="A309" s="21">
        <f>Progetto!A16</f>
        <v/>
      </c>
      <c r="C309" s="21">
        <f>Progetto!B16+IF(Progetto!C16="sì",$C$6-16,0)</f>
        <v/>
      </c>
      <c r="D309" s="6">
        <f>Progetto!D16</f>
        <v/>
      </c>
      <c r="E309" s="6">
        <f>Progetto!D16*Progetto!E16*$C$44</f>
        <v/>
      </c>
    </row>
    <row r="310">
      <c r="A310" s="21">
        <f>Progetto!A17</f>
        <v/>
      </c>
      <c r="C310" s="21">
        <f>Progetto!B17+IF(Progetto!C17="sì",$C$6-16,0)</f>
        <v/>
      </c>
      <c r="D310" s="6">
        <f>Progetto!D17</f>
        <v/>
      </c>
      <c r="E310" s="6">
        <f>Progetto!D17*Progetto!E17*$C$44</f>
        <v/>
      </c>
    </row>
    <row r="311">
      <c r="A311" s="21">
        <f>Progetto!A18</f>
        <v/>
      </c>
      <c r="C311" s="21">
        <f>Progetto!B18+IF(Progetto!C18="sì",$C$6-16,0)</f>
        <v/>
      </c>
      <c r="D311" s="6">
        <f>Progetto!D18</f>
        <v/>
      </c>
      <c r="E311" s="6">
        <f>Progetto!D18*Progetto!E18*$C$44</f>
        <v/>
      </c>
    </row>
    <row r="312">
      <c r="A312" s="21">
        <f>Progetto!A19</f>
        <v/>
      </c>
      <c r="C312" s="21">
        <f>Progetto!B19+IF(Progetto!C19="sì",$C$6-16,0)</f>
        <v/>
      </c>
      <c r="D312" s="6">
        <f>Progetto!D19</f>
        <v/>
      </c>
      <c r="E312" s="6">
        <f>Progetto!D19*Progetto!E19*$C$44</f>
        <v/>
      </c>
    </row>
    <row r="313">
      <c r="A313" s="21">
        <f>Progetto!A20</f>
        <v/>
      </c>
      <c r="C313" s="21">
        <f>Progetto!B20+IF(Progetto!C20="sì",$C$6-16,0)</f>
        <v/>
      </c>
      <c r="D313" s="6">
        <f>Progetto!D20</f>
        <v/>
      </c>
      <c r="E313" s="6">
        <f>Progetto!D20*Progetto!E20*$C$44</f>
        <v/>
      </c>
    </row>
    <row r="314">
      <c r="A314" s="21">
        <f>Progetto!A21</f>
        <v/>
      </c>
      <c r="C314" s="21">
        <f>Progetto!B21+IF(Progetto!C21="sì",$C$6-16,0)</f>
        <v/>
      </c>
      <c r="D314" s="6">
        <f>Progetto!D21</f>
        <v/>
      </c>
      <c r="E314" s="6">
        <f>Progetto!D21*Progetto!E21*$C$44</f>
        <v/>
      </c>
    </row>
    <row r="315">
      <c r="A315" s="21">
        <f>Progetto!A22</f>
        <v/>
      </c>
      <c r="C315" s="21">
        <f>Progetto!B22+IF(Progetto!C22="sì",$C$6-16,0)</f>
        <v/>
      </c>
      <c r="D315" s="6">
        <f>Progetto!D22</f>
        <v/>
      </c>
      <c r="E315" s="6">
        <f>Progetto!D22*Progetto!E22*$C$44</f>
        <v/>
      </c>
    </row>
    <row r="316">
      <c r="A316" s="21">
        <f>Progetto!A23</f>
        <v/>
      </c>
      <c r="C316" s="21">
        <f>Progetto!B23+IF(Progetto!C23="sì",$C$6-16,0)</f>
        <v/>
      </c>
      <c r="D316" s="6">
        <f>Progetto!D23</f>
        <v/>
      </c>
      <c r="E316" s="6">
        <f>Progetto!D23*Progetto!E23*$C$44</f>
        <v/>
      </c>
    </row>
    <row r="317">
      <c r="A317" s="21">
        <f>Progetto!A24</f>
        <v/>
      </c>
      <c r="C317" s="21">
        <f>Progetto!B24+IF(Progetto!C24="sì",$C$6-16,0)</f>
        <v/>
      </c>
      <c r="D317" s="6">
        <f>Progetto!D24</f>
        <v/>
      </c>
      <c r="E317" s="6">
        <f>Progetto!D24*Progetto!E24*$C$44</f>
        <v/>
      </c>
    </row>
    <row r="318">
      <c r="A318" s="21">
        <f>Progetto!A25</f>
        <v/>
      </c>
      <c r="C318" s="21">
        <f>Progetto!B25+IF(Progetto!C25="sì",$C$6-16,0)</f>
        <v/>
      </c>
      <c r="D318" s="6">
        <f>Progetto!D25</f>
        <v/>
      </c>
      <c r="E318" s="6">
        <f>Progetto!D25*Progetto!E25*$C$44</f>
        <v/>
      </c>
    </row>
    <row r="319">
      <c r="A319" s="21">
        <f>Progetto!A26</f>
        <v/>
      </c>
      <c r="C319" s="21">
        <f>Progetto!B26+IF(Progetto!C26="sì",$C$6-16,0)</f>
        <v/>
      </c>
      <c r="D319" s="6">
        <f>Progetto!D26</f>
        <v/>
      </c>
      <c r="E319" s="6">
        <f>Progetto!D26*Progetto!E26*$C$44</f>
        <v/>
      </c>
    </row>
    <row r="320">
      <c r="A320" s="21">
        <f>Progetto!A27</f>
        <v/>
      </c>
      <c r="C320" s="21">
        <f>Progetto!B27+IF(Progetto!C27="sì",$C$6-16,0)</f>
        <v/>
      </c>
      <c r="D320" s="6">
        <f>Progetto!D27</f>
        <v/>
      </c>
      <c r="E320" s="6">
        <f>Progetto!D27*Progetto!E27*$C$44</f>
        <v/>
      </c>
    </row>
    <row r="321">
      <c r="A321" s="21">
        <f>Progetto!A28</f>
        <v/>
      </c>
      <c r="C321" s="21">
        <f>Progetto!B28+IF(Progetto!C28="sì",$C$6-16,0)</f>
        <v/>
      </c>
      <c r="D321" s="6">
        <f>Progetto!D28</f>
        <v/>
      </c>
      <c r="E321" s="6">
        <f>Progetto!D28*Progetto!E28*$C$44</f>
        <v/>
      </c>
    </row>
    <row r="322">
      <c r="A322" s="21">
        <f>Progetto!A29</f>
        <v/>
      </c>
      <c r="C322" s="21">
        <f>Progetto!B29+IF(Progetto!C29="sì",$C$6-16,0)</f>
        <v/>
      </c>
      <c r="D322" s="6">
        <f>Progetto!D29</f>
        <v/>
      </c>
      <c r="E322" s="6">
        <f>Progetto!D29*Progetto!E29*$C$44</f>
        <v/>
      </c>
    </row>
    <row r="323">
      <c r="A323" s="21">
        <f>Progetto!A30</f>
        <v/>
      </c>
      <c r="C323" s="21">
        <f>Progetto!B30+IF(Progetto!C30="sì",$C$6-16,0)</f>
        <v/>
      </c>
      <c r="D323" s="6">
        <f>Progetto!D30</f>
        <v/>
      </c>
      <c r="E323" s="6">
        <f>Progetto!D30*Progetto!E30*$C$44</f>
        <v/>
      </c>
    </row>
    <row r="324">
      <c r="A324" s="21">
        <f>Progetto!A31</f>
        <v/>
      </c>
      <c r="C324" s="21">
        <f>Progetto!B31+IF(Progetto!C31="sì",$C$6-16,0)</f>
        <v/>
      </c>
      <c r="D324" s="6">
        <f>Progetto!D31</f>
        <v/>
      </c>
      <c r="E324" s="6">
        <f>Progetto!D31*Progetto!E31*$C$44</f>
        <v/>
      </c>
    </row>
    <row r="325">
      <c r="A325" s="21">
        <f>Progetto!A32</f>
        <v/>
      </c>
      <c r="C325" s="21">
        <f>Progetto!B32+IF(Progetto!C32="sì",$C$6-16,0)</f>
        <v/>
      </c>
      <c r="D325" s="6">
        <f>Progetto!D32</f>
        <v/>
      </c>
      <c r="E325" s="6">
        <f>Progetto!D32*Progetto!E32*$C$44</f>
        <v/>
      </c>
    </row>
    <row r="326">
      <c r="A326" s="21">
        <f>Progetto!A33</f>
        <v/>
      </c>
      <c r="C326" s="21">
        <f>Progetto!B33+IF(Progetto!C33="sì",$C$6-16,0)</f>
        <v/>
      </c>
      <c r="D326" s="6">
        <f>Progetto!D33</f>
        <v/>
      </c>
      <c r="E326" s="6">
        <f>Progetto!D33*Progetto!E33*$C$44</f>
        <v/>
      </c>
    </row>
    <row r="327">
      <c r="A327" s="21">
        <f>Progetto!A34</f>
        <v/>
      </c>
      <c r="C327" s="21">
        <f>Progetto!B34+IF(Progetto!C34="sì",$C$6-16,0)</f>
        <v/>
      </c>
      <c r="D327" s="6">
        <f>Progetto!D34</f>
        <v/>
      </c>
      <c r="E327" s="6">
        <f>Progetto!D34*Progetto!E34*$C$44</f>
        <v/>
      </c>
    </row>
    <row r="328">
      <c r="A328" s="21">
        <f>Progetto!A35</f>
        <v/>
      </c>
      <c r="C328" s="21">
        <f>Progetto!B35+IF(Progetto!C35="sì",$C$6-16,0)</f>
        <v/>
      </c>
      <c r="D328" s="6">
        <f>Progetto!D35</f>
        <v/>
      </c>
      <c r="E328" s="6">
        <f>Progetto!D35*Progetto!E35*$C$44</f>
        <v/>
      </c>
    </row>
    <row r="329">
      <c r="A329" s="21">
        <f>Progetto!A36</f>
        <v/>
      </c>
      <c r="C329" s="21">
        <f>Progetto!B36+IF(Progetto!C36="sì",$C$6-16,0)</f>
        <v/>
      </c>
      <c r="D329" s="6">
        <f>Progetto!D36</f>
        <v/>
      </c>
      <c r="E329" s="6">
        <f>Progetto!D36*Progetto!E36*$C$44</f>
        <v/>
      </c>
    </row>
    <row r="330">
      <c r="A330" s="21">
        <f>Progetto!A37</f>
        <v/>
      </c>
      <c r="C330" s="21">
        <f>Progetto!B37+IF(Progetto!C37="sì",$C$6-16,0)</f>
        <v/>
      </c>
      <c r="D330" s="6">
        <f>Progetto!D37</f>
        <v/>
      </c>
      <c r="E330" s="6">
        <f>Progetto!D37*Progetto!E37*$C$44</f>
        <v/>
      </c>
    </row>
    <row r="331">
      <c r="A331" s="21">
        <f>Progetto!A38</f>
        <v/>
      </c>
      <c r="C331" s="21">
        <f>Progetto!B38+IF(Progetto!C38="sì",$C$6-16,0)</f>
        <v/>
      </c>
      <c r="D331" s="6">
        <f>Progetto!D38</f>
        <v/>
      </c>
      <c r="E331" s="6">
        <f>Progetto!D38*Progetto!E38*$C$44</f>
        <v/>
      </c>
    </row>
    <row r="332">
      <c r="A332" s="21">
        <f>Progetto!A39</f>
        <v/>
      </c>
      <c r="C332" s="21">
        <f>Progetto!B39+IF(Progetto!C39="sì",$C$6-16,0)</f>
        <v/>
      </c>
      <c r="D332" s="6">
        <f>Progetto!D39</f>
        <v/>
      </c>
      <c r="E332" s="6">
        <f>Progetto!D39*Progetto!E39*$C$44</f>
        <v/>
      </c>
    </row>
    <row r="333">
      <c r="A333" s="21">
        <f>Progetto!A40</f>
        <v/>
      </c>
      <c r="C333" s="21">
        <f>Progetto!B40+IF(Progetto!C40="sì",$C$6-16,0)</f>
        <v/>
      </c>
      <c r="D333" s="6">
        <f>Progetto!D40</f>
        <v/>
      </c>
      <c r="E333" s="6">
        <f>Progetto!D40*Progetto!E40*$C$44</f>
        <v/>
      </c>
    </row>
    <row r="334">
      <c r="A334" s="21">
        <f>Progetto!A41</f>
        <v/>
      </c>
      <c r="C334" s="21">
        <f>Progetto!B41+IF(Progetto!C41="sì",$C$6-16,0)</f>
        <v/>
      </c>
      <c r="D334" s="6">
        <f>Progetto!D41</f>
        <v/>
      </c>
      <c r="E334" s="6">
        <f>Progetto!D41*Progetto!E41*$C$44</f>
        <v/>
      </c>
    </row>
    <row r="335">
      <c r="A335" s="21">
        <f>Progetto!A42</f>
        <v/>
      </c>
      <c r="C335" s="21">
        <f>Progetto!B42+IF(Progetto!C42="sì",$C$6-16,0)</f>
        <v/>
      </c>
      <c r="D335" s="6">
        <f>Progetto!D42</f>
        <v/>
      </c>
      <c r="E335" s="6">
        <f>Progetto!D42*Progetto!E42*$C$44</f>
        <v/>
      </c>
    </row>
    <row r="336">
      <c r="A336" s="3" t="inlineStr">
        <is>
          <t>Ciclo di laboratorio aggiuntivo</t>
        </is>
      </c>
      <c r="C336" t="n">
        <v>10</v>
      </c>
      <c r="D336" s="20">
        <f>$C$39</f>
        <v/>
      </c>
      <c r="E336" s="20">
        <f>D336*$C$44</f>
        <v/>
      </c>
    </row>
    <row r="337">
      <c r="A337" s="3" t="inlineStr">
        <is>
          <t>Ciclo di laboratorio aggiuntivo</t>
        </is>
      </c>
      <c r="C337" t="n">
        <v>11</v>
      </c>
      <c r="D337" s="20">
        <f>$C$40</f>
        <v/>
      </c>
      <c r="E337" s="20">
        <f>D337*$C$44</f>
        <v/>
      </c>
    </row>
    <row r="339">
      <c r="A339" s="10" t="inlineStr">
        <is>
          <t>Scorte e lotti di produzione</t>
        </is>
      </c>
    </row>
    <row r="340">
      <c r="A340" s="3" t="inlineStr">
        <is>
          <t>Consumo di flaconi (ordini, campioni, sostituzioni)</t>
        </is>
      </c>
      <c r="C340" s="24">
        <f>C293+C294+C295</f>
        <v/>
      </c>
      <c r="D340" s="24">
        <f>D293+D294+D295</f>
        <v/>
      </c>
      <c r="E340" s="24">
        <f>E293+E294+E295</f>
        <v/>
      </c>
      <c r="F340" s="24">
        <f>F293+F294+F295</f>
        <v/>
      </c>
      <c r="G340" s="24">
        <f>G293+G294+G295</f>
        <v/>
      </c>
      <c r="H340" s="24">
        <f>H293+H294+H295</f>
        <v/>
      </c>
      <c r="I340" s="24">
        <f>I293+I294+I295</f>
        <v/>
      </c>
      <c r="J340" s="24">
        <f>J293+J294+J295</f>
        <v/>
      </c>
      <c r="K340" s="24">
        <f>K293+K294+K295</f>
        <v/>
      </c>
      <c r="L340" s="24">
        <f>L293+L294+L295</f>
        <v/>
      </c>
      <c r="M340" s="24">
        <f>M293+M294+M295</f>
        <v/>
      </c>
      <c r="N340" s="24">
        <f>N293+N294+N295</f>
        <v/>
      </c>
      <c r="O340" s="24">
        <f>O293+O294+O295</f>
        <v/>
      </c>
      <c r="P340" s="24">
        <f>P293+P294+P295</f>
        <v/>
      </c>
      <c r="Q340" s="24">
        <f>Q293+Q294+Q295</f>
        <v/>
      </c>
      <c r="R340" s="24">
        <f>R293+R294+R295</f>
        <v/>
      </c>
      <c r="S340" s="24">
        <f>S293+S294+S295</f>
        <v/>
      </c>
      <c r="T340" s="24">
        <f>T293+T294+T295</f>
        <v/>
      </c>
      <c r="U340" s="24">
        <f>U293+U294+U295</f>
        <v/>
      </c>
      <c r="V340" s="24">
        <f>V293+V294+V295</f>
        <v/>
      </c>
      <c r="W340" s="24">
        <f>W293+W294+W295</f>
        <v/>
      </c>
      <c r="X340" s="24">
        <f>X293+X294+X295</f>
        <v/>
      </c>
      <c r="Y340" s="24">
        <f>Y293+Y294+Y295</f>
        <v/>
      </c>
      <c r="Z340" s="24">
        <f>Z293+Z294+Z295</f>
        <v/>
      </c>
      <c r="AA340" s="24">
        <f>AA293+AA294+AA295</f>
        <v/>
      </c>
      <c r="AB340" s="24">
        <f>AB293+AB294+AB295</f>
        <v/>
      </c>
      <c r="AC340" s="24">
        <f>AC293+AC294+AC295</f>
        <v/>
      </c>
      <c r="AD340" s="24">
        <f>AD293+AD294+AD295</f>
        <v/>
      </c>
      <c r="AE340" s="24">
        <f>AE293+AE294+AE295</f>
        <v/>
      </c>
      <c r="AF340" s="24">
        <f>AF293+AF294+AF295</f>
        <v/>
      </c>
    </row>
    <row r="341">
      <c r="A341" s="3" t="inlineStr">
        <is>
          <t>Flaconi in arrivo dal lotto</t>
        </is>
      </c>
      <c r="C341" s="24" t="n">
        <v>0</v>
      </c>
      <c r="D341" s="24" t="n">
        <v>0</v>
      </c>
      <c r="E341" s="24">
        <f>C345</f>
        <v/>
      </c>
      <c r="F341" s="24">
        <f>D345</f>
        <v/>
      </c>
      <c r="G341" s="24">
        <f>E345</f>
        <v/>
      </c>
      <c r="H341" s="24">
        <f>F345</f>
        <v/>
      </c>
      <c r="I341" s="24">
        <f>G345</f>
        <v/>
      </c>
      <c r="J341" s="24">
        <f>H345</f>
        <v/>
      </c>
      <c r="K341" s="24">
        <f>I345</f>
        <v/>
      </c>
      <c r="L341" s="24">
        <f>J345</f>
        <v/>
      </c>
      <c r="M341" s="24">
        <f>K345</f>
        <v/>
      </c>
      <c r="N341" s="24">
        <f>L345</f>
        <v/>
      </c>
      <c r="O341" s="24">
        <f>M345</f>
        <v/>
      </c>
      <c r="P341" s="24">
        <f>N345</f>
        <v/>
      </c>
      <c r="Q341" s="24">
        <f>O345</f>
        <v/>
      </c>
      <c r="R341" s="24">
        <f>P345</f>
        <v/>
      </c>
      <c r="S341" s="24">
        <f>Q345</f>
        <v/>
      </c>
      <c r="T341" s="24">
        <f>R345</f>
        <v/>
      </c>
      <c r="U341" s="24">
        <f>S345</f>
        <v/>
      </c>
      <c r="V341" s="24">
        <f>T345</f>
        <v/>
      </c>
      <c r="W341" s="24">
        <f>U345</f>
        <v/>
      </c>
      <c r="X341" s="24">
        <f>V345</f>
        <v/>
      </c>
      <c r="Y341" s="24">
        <f>W345</f>
        <v/>
      </c>
      <c r="Z341" s="24">
        <f>X345</f>
        <v/>
      </c>
      <c r="AA341" s="24">
        <f>Y345</f>
        <v/>
      </c>
      <c r="AB341" s="24">
        <f>Z345</f>
        <v/>
      </c>
      <c r="AC341" s="24">
        <f>AA345</f>
        <v/>
      </c>
      <c r="AD341" s="24">
        <f>AB345</f>
        <v/>
      </c>
      <c r="AE341" s="24">
        <f>AC345</f>
        <v/>
      </c>
      <c r="AF341" s="24">
        <f>AD345</f>
        <v/>
      </c>
    </row>
    <row r="342">
      <c r="A342" s="3" t="inlineStr">
        <is>
          <t>Flaconi in magazzino a fine mese</t>
        </is>
      </c>
      <c r="C342" s="24">
        <f>0+C341*(1-$C$65)-IF(C341&gt;0,$C$66,0)-C340</f>
        <v/>
      </c>
      <c r="D342" s="24">
        <f>C342+D341*(1-$C$65)-IF(D341&gt;0,$C$66,0)-D340</f>
        <v/>
      </c>
      <c r="E342" s="24">
        <f>D342+E341*(1-$C$65)-IF(E341&gt;0,$C$66,0)-E340</f>
        <v/>
      </c>
      <c r="F342" s="24">
        <f>E342+F341*(1-$C$65)-IF(F341&gt;0,$C$66,0)-F340</f>
        <v/>
      </c>
      <c r="G342" s="24">
        <f>F342+G341*(1-$C$65)-IF(G341&gt;0,$C$66,0)-G340</f>
        <v/>
      </c>
      <c r="H342" s="24">
        <f>G342+H341*(1-$C$65)-IF(H341&gt;0,$C$66,0)-H340</f>
        <v/>
      </c>
      <c r="I342" s="24">
        <f>H342+I341*(1-$C$65)-IF(I341&gt;0,$C$66,0)-I340</f>
        <v/>
      </c>
      <c r="J342" s="24">
        <f>I342+J341*(1-$C$65)-IF(J341&gt;0,$C$66,0)-J340</f>
        <v/>
      </c>
      <c r="K342" s="24">
        <f>J342+K341*(1-$C$65)-IF(K341&gt;0,$C$66,0)-K340</f>
        <v/>
      </c>
      <c r="L342" s="24">
        <f>K342+L341*(1-$C$65)-IF(L341&gt;0,$C$66,0)-L340</f>
        <v/>
      </c>
      <c r="M342" s="24">
        <f>L342+M341*(1-$C$65)-IF(M341&gt;0,$C$66,0)-M340</f>
        <v/>
      </c>
      <c r="N342" s="24">
        <f>M342+N341*(1-$C$65)-IF(N341&gt;0,$C$66,0)-N340</f>
        <v/>
      </c>
      <c r="O342" s="24">
        <f>N342+O341*(1-$C$65)-IF(O341&gt;0,$C$66,0)-O340</f>
        <v/>
      </c>
      <c r="P342" s="24">
        <f>O342+P341*(1-$C$65)-IF(P341&gt;0,$C$66,0)-P340</f>
        <v/>
      </c>
      <c r="Q342" s="24">
        <f>P342+Q341*(1-$C$65)-IF(Q341&gt;0,$C$66,0)-Q340</f>
        <v/>
      </c>
      <c r="R342" s="24">
        <f>Q342+R341*(1-$C$65)-IF(R341&gt;0,$C$66,0)-R340</f>
        <v/>
      </c>
      <c r="S342" s="24">
        <f>R342+S341*(1-$C$65)-IF(S341&gt;0,$C$66,0)-S340</f>
        <v/>
      </c>
      <c r="T342" s="24">
        <f>S342+T341*(1-$C$65)-IF(T341&gt;0,$C$66,0)-T340</f>
        <v/>
      </c>
      <c r="U342" s="24">
        <f>T342+U341*(1-$C$65)-IF(U341&gt;0,$C$66,0)-U340</f>
        <v/>
      </c>
      <c r="V342" s="24">
        <f>U342+V341*(1-$C$65)-IF(V341&gt;0,$C$66,0)-V340</f>
        <v/>
      </c>
      <c r="W342" s="24">
        <f>V342+W341*(1-$C$65)-IF(W341&gt;0,$C$66,0)-W340</f>
        <v/>
      </c>
      <c r="X342" s="24">
        <f>W342+X341*(1-$C$65)-IF(X341&gt;0,$C$66,0)-X340</f>
        <v/>
      </c>
      <c r="Y342" s="24">
        <f>X342+Y341*(1-$C$65)-IF(Y341&gt;0,$C$66,0)-Y340</f>
        <v/>
      </c>
      <c r="Z342" s="24">
        <f>Y342+Z341*(1-$C$65)-IF(Z341&gt;0,$C$66,0)-Z340</f>
        <v/>
      </c>
      <c r="AA342" s="24">
        <f>Z342+AA341*(1-$C$65)-IF(AA341&gt;0,$C$66,0)-AA340</f>
        <v/>
      </c>
      <c r="AB342" s="24">
        <f>AA342+AB341*(1-$C$65)-IF(AB341&gt;0,$C$66,0)-AB340</f>
        <v/>
      </c>
      <c r="AC342" s="24">
        <f>AB342+AC341*(1-$C$65)-IF(AC341&gt;0,$C$66,0)-AC340</f>
        <v/>
      </c>
      <c r="AD342" s="24">
        <f>AC342+AD341*(1-$C$65)-IF(AD341&gt;0,$C$66,0)-AD340</f>
        <v/>
      </c>
      <c r="AE342" s="24">
        <f>AD342+AE341*(1-$C$65)-IF(AE341&gt;0,$C$66,0)-AE340</f>
        <v/>
      </c>
      <c r="AF342" s="24">
        <f>AE342+AF341*(1-$C$65)-IF(AF341&gt;0,$C$66,0)-AF340</f>
        <v/>
      </c>
    </row>
    <row r="343">
      <c r="A343" s="3" t="inlineStr">
        <is>
          <t>Consumo medio degli ultimi due mesi</t>
        </is>
      </c>
      <c r="C343" s="24">
        <f>C340</f>
        <v/>
      </c>
      <c r="D343" s="24">
        <f>AVERAGE(C340:D340)</f>
        <v/>
      </c>
      <c r="E343" s="24">
        <f>AVERAGE(D340:E340)</f>
        <v/>
      </c>
      <c r="F343" s="24">
        <f>AVERAGE(E340:F340)</f>
        <v/>
      </c>
      <c r="G343" s="24">
        <f>AVERAGE(F340:G340)</f>
        <v/>
      </c>
      <c r="H343" s="24">
        <f>AVERAGE(G340:H340)</f>
        <v/>
      </c>
      <c r="I343" s="24">
        <f>AVERAGE(H340:I340)</f>
        <v/>
      </c>
      <c r="J343" s="24">
        <f>AVERAGE(I340:J340)</f>
        <v/>
      </c>
      <c r="K343" s="24">
        <f>AVERAGE(J340:K340)</f>
        <v/>
      </c>
      <c r="L343" s="24">
        <f>AVERAGE(K340:L340)</f>
        <v/>
      </c>
      <c r="M343" s="24">
        <f>AVERAGE(L340:M340)</f>
        <v/>
      </c>
      <c r="N343" s="24">
        <f>AVERAGE(M340:N340)</f>
        <v/>
      </c>
      <c r="O343" s="24">
        <f>AVERAGE(N340:O340)</f>
        <v/>
      </c>
      <c r="P343" s="24">
        <f>AVERAGE(O340:P340)</f>
        <v/>
      </c>
      <c r="Q343" s="24">
        <f>AVERAGE(P340:Q340)</f>
        <v/>
      </c>
      <c r="R343" s="24">
        <f>AVERAGE(Q340:R340)</f>
        <v/>
      </c>
      <c r="S343" s="24">
        <f>AVERAGE(R340:S340)</f>
        <v/>
      </c>
      <c r="T343" s="24">
        <f>AVERAGE(S340:T340)</f>
        <v/>
      </c>
      <c r="U343" s="24">
        <f>AVERAGE(T340:U340)</f>
        <v/>
      </c>
      <c r="V343" s="24">
        <f>AVERAGE(U340:V340)</f>
        <v/>
      </c>
      <c r="W343" s="24">
        <f>AVERAGE(V340:W340)</f>
        <v/>
      </c>
      <c r="X343" s="24">
        <f>AVERAGE(W340:X340)</f>
        <v/>
      </c>
      <c r="Y343" s="24">
        <f>AVERAGE(X340:Y340)</f>
        <v/>
      </c>
      <c r="Z343" s="24">
        <f>AVERAGE(Y340:Z340)</f>
        <v/>
      </c>
      <c r="AA343" s="24">
        <f>AVERAGE(Z340:AA340)</f>
        <v/>
      </c>
      <c r="AB343" s="24">
        <f>AVERAGE(AA340:AB340)</f>
        <v/>
      </c>
      <c r="AC343" s="24">
        <f>AVERAGE(AB340:AC340)</f>
        <v/>
      </c>
      <c r="AD343" s="24">
        <f>AVERAGE(AC340:AD340)</f>
        <v/>
      </c>
      <c r="AE343" s="24">
        <f>AVERAGE(AD340:AE340)</f>
        <v/>
      </c>
      <c r="AF343" s="24">
        <f>AVERAGE(AE340:AF340)</f>
        <v/>
      </c>
    </row>
    <row r="344">
      <c r="A344" s="3" t="inlineStr">
        <is>
          <t>Punto di riordino</t>
        </is>
      </c>
      <c r="C344" s="24">
        <f>C343*($C$63+$C$64)</f>
        <v/>
      </c>
      <c r="D344" s="24">
        <f>D343*($C$63+$C$64)</f>
        <v/>
      </c>
      <c r="E344" s="24">
        <f>E343*($C$63+$C$64)</f>
        <v/>
      </c>
      <c r="F344" s="24">
        <f>F343*($C$63+$C$64)</f>
        <v/>
      </c>
      <c r="G344" s="24">
        <f>G343*($C$63+$C$64)</f>
        <v/>
      </c>
      <c r="H344" s="24">
        <f>H343*($C$63+$C$64)</f>
        <v/>
      </c>
      <c r="I344" s="24">
        <f>I343*($C$63+$C$64)</f>
        <v/>
      </c>
      <c r="J344" s="24">
        <f>J343*($C$63+$C$64)</f>
        <v/>
      </c>
      <c r="K344" s="24">
        <f>K343*($C$63+$C$64)</f>
        <v/>
      </c>
      <c r="L344" s="24">
        <f>L343*($C$63+$C$64)</f>
        <v/>
      </c>
      <c r="M344" s="24">
        <f>M343*($C$63+$C$64)</f>
        <v/>
      </c>
      <c r="N344" s="24">
        <f>N343*($C$63+$C$64)</f>
        <v/>
      </c>
      <c r="O344" s="24">
        <f>O343*($C$63+$C$64)</f>
        <v/>
      </c>
      <c r="P344" s="24">
        <f>P343*($C$63+$C$64)</f>
        <v/>
      </c>
      <c r="Q344" s="24">
        <f>Q343*($C$63+$C$64)</f>
        <v/>
      </c>
      <c r="R344" s="24">
        <f>R343*($C$63+$C$64)</f>
        <v/>
      </c>
      <c r="S344" s="24">
        <f>S343*($C$63+$C$64)</f>
        <v/>
      </c>
      <c r="T344" s="24">
        <f>T343*($C$63+$C$64)</f>
        <v/>
      </c>
      <c r="U344" s="24">
        <f>U343*($C$63+$C$64)</f>
        <v/>
      </c>
      <c r="V344" s="24">
        <f>V343*($C$63+$C$64)</f>
        <v/>
      </c>
      <c r="W344" s="24">
        <f>W343*($C$63+$C$64)</f>
        <v/>
      </c>
      <c r="X344" s="24">
        <f>X343*($C$63+$C$64)</f>
        <v/>
      </c>
      <c r="Y344" s="24">
        <f>Y343*($C$63+$C$64)</f>
        <v/>
      </c>
      <c r="Z344" s="24">
        <f>Z343*($C$63+$C$64)</f>
        <v/>
      </c>
      <c r="AA344" s="24">
        <f>AA343*($C$63+$C$64)</f>
        <v/>
      </c>
      <c r="AB344" s="24">
        <f>AB343*($C$63+$C$64)</f>
        <v/>
      </c>
      <c r="AC344" s="24">
        <f>AC343*($C$63+$C$64)</f>
        <v/>
      </c>
      <c r="AD344" s="24">
        <f>AD343*($C$63+$C$64)</f>
        <v/>
      </c>
      <c r="AE344" s="24">
        <f>AE343*($C$63+$C$64)</f>
        <v/>
      </c>
      <c r="AF344" s="24">
        <f>AF343*($C$63+$C$64)</f>
        <v/>
      </c>
    </row>
    <row r="345">
      <c r="A345" s="3" t="inlineStr">
        <is>
          <t>Lotto ordinato nel mese</t>
        </is>
      </c>
      <c r="C345" s="24">
        <f>IF(C106=-3,$C$61,IF(AND(C106&gt;=0,C342+0&lt;=C344),$C$61,0))</f>
        <v/>
      </c>
      <c r="D345" s="24">
        <f>IF(D106=-3,$C$61,IF(AND(D106&gt;=0,D342+C345&lt;=D344),$C$61,0))</f>
        <v/>
      </c>
      <c r="E345" s="24">
        <f>IF(E106=-3,$C$61,IF(AND(E106&gt;=0,E342+D345&lt;=E344),$C$61,0))</f>
        <v/>
      </c>
      <c r="F345" s="24">
        <f>IF(F106=-3,$C$61,IF(AND(F106&gt;=0,F342+E345&lt;=F344),$C$61,0))</f>
        <v/>
      </c>
      <c r="G345" s="24">
        <f>IF(G106=-3,$C$61,IF(AND(G106&gt;=0,G342+F345&lt;=G344),$C$61,0))</f>
        <v/>
      </c>
      <c r="H345" s="24">
        <f>IF(H106=-3,$C$61,IF(AND(H106&gt;=0,H342+G345&lt;=H344),$C$61,0))</f>
        <v/>
      </c>
      <c r="I345" s="24">
        <f>IF(I106=-3,$C$61,IF(AND(I106&gt;=0,I342+H345&lt;=I344),$C$61,0))</f>
        <v/>
      </c>
      <c r="J345" s="24">
        <f>IF(J106=-3,$C$61,IF(AND(J106&gt;=0,J342+I345&lt;=J344),$C$61,0))</f>
        <v/>
      </c>
      <c r="K345" s="24">
        <f>IF(K106=-3,$C$61,IF(AND(K106&gt;=0,K342+J345&lt;=K344),$C$61,0))</f>
        <v/>
      </c>
      <c r="L345" s="24">
        <f>IF(L106=-3,$C$61,IF(AND(L106&gt;=0,L342+K345&lt;=L344),$C$61,0))</f>
        <v/>
      </c>
      <c r="M345" s="24">
        <f>IF(M106=-3,$C$61,IF(AND(M106&gt;=0,M342+L345&lt;=M344),$C$61,0))</f>
        <v/>
      </c>
      <c r="N345" s="24">
        <f>IF(N106=-3,$C$61,IF(AND(N106&gt;=0,N342+M345&lt;=N344),$C$61,0))</f>
        <v/>
      </c>
      <c r="O345" s="24">
        <f>IF(O106=-3,$C$61,IF(AND(O106&gt;=0,O342+N345&lt;=O344),$C$61,0))</f>
        <v/>
      </c>
      <c r="P345" s="24">
        <f>IF(P106=-3,$C$61,IF(AND(P106&gt;=0,P342+O345&lt;=P344),$C$61,0))</f>
        <v/>
      </c>
      <c r="Q345" s="24">
        <f>IF(Q106=-3,$C$61,IF(AND(Q106&gt;=0,Q342+P345&lt;=Q344),$C$61,0))</f>
        <v/>
      </c>
      <c r="R345" s="24">
        <f>IF(R106=-3,$C$61,IF(AND(R106&gt;=0,R342+Q345&lt;=R344),$C$61,0))</f>
        <v/>
      </c>
      <c r="S345" s="24">
        <f>IF(S106=-3,$C$61,IF(AND(S106&gt;=0,S342+R345&lt;=S344),$C$61,0))</f>
        <v/>
      </c>
      <c r="T345" s="24">
        <f>IF(T106=-3,$C$61,IF(AND(T106&gt;=0,T342+S345&lt;=T344),$C$61,0))</f>
        <v/>
      </c>
      <c r="U345" s="24">
        <f>IF(U106=-3,$C$61,IF(AND(U106&gt;=0,U342+T345&lt;=U344),$C$61,0))</f>
        <v/>
      </c>
      <c r="V345" s="24">
        <f>IF(V106=-3,$C$61,IF(AND(V106&gt;=0,V342+U345&lt;=V344),$C$61,0))</f>
        <v/>
      </c>
      <c r="W345" s="24">
        <f>IF(W106=-3,$C$61,IF(AND(W106&gt;=0,W342+V345&lt;=W344),$C$61,0))</f>
        <v/>
      </c>
      <c r="X345" s="24">
        <f>IF(X106=-3,$C$61,IF(AND(X106&gt;=0,X342+W345&lt;=X344),$C$61,0))</f>
        <v/>
      </c>
      <c r="Y345" s="24">
        <f>IF(Y106=-3,$C$61,IF(AND(Y106&gt;=0,Y342+X345&lt;=Y344),$C$61,0))</f>
        <v/>
      </c>
      <c r="Z345" s="24">
        <f>IF(Z106=-3,$C$61,IF(AND(Z106&gt;=0,Z342+Y345&lt;=Z344),$C$61,0))</f>
        <v/>
      </c>
      <c r="AA345" s="24">
        <f>IF(AA106=-3,$C$61,IF(AND(AA106&gt;=0,AA342+Z345&lt;=AA344),$C$61,0))</f>
        <v/>
      </c>
      <c r="AB345" s="24">
        <f>IF(AB106=-3,$C$61,IF(AND(AB106&gt;=0,AB342+AA345&lt;=AB344),$C$61,0))</f>
        <v/>
      </c>
      <c r="AC345" s="24">
        <f>IF(AC106=-3,$C$61,IF(AND(AC106&gt;=0,AC342+AB345&lt;=AC344),$C$61,0))</f>
        <v/>
      </c>
      <c r="AD345" s="24">
        <f>IF(AD106=-3,$C$61,IF(AND(AD106&gt;=0,AD342+AC345&lt;=AD344),$C$61,0))</f>
        <v/>
      </c>
      <c r="AE345" s="24">
        <f>IF(AE106=-3,$C$61,IF(AND(AE106&gt;=0,AE342+AD345&lt;=AE344),$C$61,0))</f>
        <v/>
      </c>
      <c r="AF345" s="24">
        <f>IF(AF106=-3,$C$61,IF(AND(AF106&gt;=0,AF342+AE345&lt;=AF344),$C$61,0))</f>
        <v/>
      </c>
    </row>
    <row r="346">
      <c r="A346" s="3" t="inlineStr">
        <is>
          <t>Pagamenti ai produttori (netto IVA)</t>
        </is>
      </c>
      <c r="B346" s="4" t="inlineStr">
        <is>
          <t>€</t>
        </is>
      </c>
      <c r="C346" s="20">
        <f>C345*$C$7*$C$62+C341*$C$7*(1-$C$62)</f>
        <v/>
      </c>
      <c r="D346" s="20">
        <f>D345*$C$7*$C$62+D341*$C$7*(1-$C$62)</f>
        <v/>
      </c>
      <c r="E346" s="20">
        <f>E345*$C$7*$C$62+E341*$C$7*(1-$C$62)</f>
        <v/>
      </c>
      <c r="F346" s="20">
        <f>F345*$C$7*$C$62+F341*$C$7*(1-$C$62)</f>
        <v/>
      </c>
      <c r="G346" s="20">
        <f>G345*$C$7*$C$62+G341*$C$7*(1-$C$62)</f>
        <v/>
      </c>
      <c r="H346" s="20">
        <f>H345*$C$7*$C$62+H341*$C$7*(1-$C$62)</f>
        <v/>
      </c>
      <c r="I346" s="20">
        <f>I345*$C$7*$C$62+I341*$C$7*(1-$C$62)</f>
        <v/>
      </c>
      <c r="J346" s="20">
        <f>J345*$C$7*$C$62+J341*$C$7*(1-$C$62)</f>
        <v/>
      </c>
      <c r="K346" s="20">
        <f>K345*$C$7*$C$62+K341*$C$7*(1-$C$62)</f>
        <v/>
      </c>
      <c r="L346" s="20">
        <f>L345*$C$7*$C$62+L341*$C$7*(1-$C$62)</f>
        <v/>
      </c>
      <c r="M346" s="20">
        <f>M345*$C$7*$C$62+M341*$C$7*(1-$C$62)</f>
        <v/>
      </c>
      <c r="N346" s="20">
        <f>N345*$C$7*$C$62+N341*$C$7*(1-$C$62)</f>
        <v/>
      </c>
      <c r="O346" s="20">
        <f>O345*$C$7*$C$62+O341*$C$7*(1-$C$62)</f>
        <v/>
      </c>
      <c r="P346" s="20">
        <f>P345*$C$7*$C$62+P341*$C$7*(1-$C$62)</f>
        <v/>
      </c>
      <c r="Q346" s="20">
        <f>Q345*$C$7*$C$62+Q341*$C$7*(1-$C$62)</f>
        <v/>
      </c>
      <c r="R346" s="20">
        <f>R345*$C$7*$C$62+R341*$C$7*(1-$C$62)</f>
        <v/>
      </c>
      <c r="S346" s="20">
        <f>S345*$C$7*$C$62+S341*$C$7*(1-$C$62)</f>
        <v/>
      </c>
      <c r="T346" s="20">
        <f>T345*$C$7*$C$62+T341*$C$7*(1-$C$62)</f>
        <v/>
      </c>
      <c r="U346" s="20">
        <f>U345*$C$7*$C$62+U341*$C$7*(1-$C$62)</f>
        <v/>
      </c>
      <c r="V346" s="20">
        <f>V345*$C$7*$C$62+V341*$C$7*(1-$C$62)</f>
        <v/>
      </c>
      <c r="W346" s="20">
        <f>W345*$C$7*$C$62+W341*$C$7*(1-$C$62)</f>
        <v/>
      </c>
      <c r="X346" s="20">
        <f>X345*$C$7*$C$62+X341*$C$7*(1-$C$62)</f>
        <v/>
      </c>
      <c r="Y346" s="20">
        <f>Y345*$C$7*$C$62+Y341*$C$7*(1-$C$62)</f>
        <v/>
      </c>
      <c r="Z346" s="20">
        <f>Z345*$C$7*$C$62+Z341*$C$7*(1-$C$62)</f>
        <v/>
      </c>
      <c r="AA346" s="20">
        <f>AA345*$C$7*$C$62+AA341*$C$7*(1-$C$62)</f>
        <v/>
      </c>
      <c r="AB346" s="20">
        <f>AB345*$C$7*$C$62+AB341*$C$7*(1-$C$62)</f>
        <v/>
      </c>
      <c r="AC346" s="20">
        <f>AC345*$C$7*$C$62+AC341*$C$7*(1-$C$62)</f>
        <v/>
      </c>
      <c r="AD346" s="20">
        <f>AD345*$C$7*$C$62+AD341*$C$7*(1-$C$62)</f>
        <v/>
      </c>
      <c r="AE346" s="20">
        <f>AE345*$C$7*$C$62+AE341*$C$7*(1-$C$62)</f>
        <v/>
      </c>
      <c r="AF346" s="20">
        <f>AF345*$C$7*$C$62+AF341*$C$7*(1-$C$62)</f>
        <v/>
      </c>
    </row>
    <row r="348">
      <c r="A348" s="10" t="inlineStr">
        <is>
          <t>Costi fissi</t>
        </is>
      </c>
    </row>
    <row r="349">
      <c r="A349" s="3" t="inlineStr">
        <is>
          <t>Costi fissi (netto IVA)</t>
        </is>
      </c>
      <c r="B349" s="4" t="inlineStr">
        <is>
          <t>€</t>
        </is>
      </c>
      <c r="C349" s="20">
        <f>100+250+40+IF(C105&gt;=10,IF(C105&lt;$C$6,30,80),0)+IF(C105&gt;=$C$6-1,100,0)+IF(OR(C105=3,C105=15,C105=27),430,0)+IF(OR(C105=$C$6,C105=$C$6+12),1200,0)</f>
        <v/>
      </c>
      <c r="D349" s="20">
        <f>100+250+40+IF(D105&gt;=10,IF(D105&lt;$C$6,30,80),0)+IF(D105&gt;=$C$6-1,100,0)+IF(OR(D105=3,D105=15,D105=27),430,0)+IF(OR(D105=$C$6,D105=$C$6+12),1200,0)</f>
        <v/>
      </c>
      <c r="E349" s="20">
        <f>100+250+40+IF(E105&gt;=10,IF(E105&lt;$C$6,30,80),0)+IF(E105&gt;=$C$6-1,100,0)+IF(OR(E105=3,E105=15,E105=27),430,0)+IF(OR(E105=$C$6,E105=$C$6+12),1200,0)</f>
        <v/>
      </c>
      <c r="F349" s="20">
        <f>100+250+40+IF(F105&gt;=10,IF(F105&lt;$C$6,30,80),0)+IF(F105&gt;=$C$6-1,100,0)+IF(OR(F105=3,F105=15,F105=27),430,0)+IF(OR(F105=$C$6,F105=$C$6+12),1200,0)</f>
        <v/>
      </c>
      <c r="G349" s="20">
        <f>100+250+40+IF(G105&gt;=10,IF(G105&lt;$C$6,30,80),0)+IF(G105&gt;=$C$6-1,100,0)+IF(OR(G105=3,G105=15,G105=27),430,0)+IF(OR(G105=$C$6,G105=$C$6+12),1200,0)</f>
        <v/>
      </c>
      <c r="H349" s="20">
        <f>100+250+40+IF(H105&gt;=10,IF(H105&lt;$C$6,30,80),0)+IF(H105&gt;=$C$6-1,100,0)+IF(OR(H105=3,H105=15,H105=27),430,0)+IF(OR(H105=$C$6,H105=$C$6+12),1200,0)</f>
        <v/>
      </c>
      <c r="I349" s="20">
        <f>100+250+40+IF(I105&gt;=10,IF(I105&lt;$C$6,30,80),0)+IF(I105&gt;=$C$6-1,100,0)+IF(OR(I105=3,I105=15,I105=27),430,0)+IF(OR(I105=$C$6,I105=$C$6+12),1200,0)</f>
        <v/>
      </c>
      <c r="J349" s="20">
        <f>100+250+40+IF(J105&gt;=10,IF(J105&lt;$C$6,30,80),0)+IF(J105&gt;=$C$6-1,100,0)+IF(OR(J105=3,J105=15,J105=27),430,0)+IF(OR(J105=$C$6,J105=$C$6+12),1200,0)</f>
        <v/>
      </c>
      <c r="K349" s="20">
        <f>100+250+40+IF(K105&gt;=10,IF(K105&lt;$C$6,30,80),0)+IF(K105&gt;=$C$6-1,100,0)+IF(OR(K105=3,K105=15,K105=27),430,0)+IF(OR(K105=$C$6,K105=$C$6+12),1200,0)</f>
        <v/>
      </c>
      <c r="L349" s="20">
        <f>100+250+40+IF(L105&gt;=10,IF(L105&lt;$C$6,30,80),0)+IF(L105&gt;=$C$6-1,100,0)+IF(OR(L105=3,L105=15,L105=27),430,0)+IF(OR(L105=$C$6,L105=$C$6+12),1200,0)</f>
        <v/>
      </c>
      <c r="M349" s="20">
        <f>100+250+40+IF(M105&gt;=10,IF(M105&lt;$C$6,30,80),0)+IF(M105&gt;=$C$6-1,100,0)+IF(OR(M105=3,M105=15,M105=27),430,0)+IF(OR(M105=$C$6,M105=$C$6+12),1200,0)</f>
        <v/>
      </c>
      <c r="N349" s="20">
        <f>100+250+40+IF(N105&gt;=10,IF(N105&lt;$C$6,30,80),0)+IF(N105&gt;=$C$6-1,100,0)+IF(OR(N105=3,N105=15,N105=27),430,0)+IF(OR(N105=$C$6,N105=$C$6+12),1200,0)</f>
        <v/>
      </c>
      <c r="O349" s="20">
        <f>100+250+40+IF(O105&gt;=10,IF(O105&lt;$C$6,30,80),0)+IF(O105&gt;=$C$6-1,100,0)+IF(OR(O105=3,O105=15,O105=27),430,0)+IF(OR(O105=$C$6,O105=$C$6+12),1200,0)</f>
        <v/>
      </c>
      <c r="P349" s="20">
        <f>100+250+40+IF(P105&gt;=10,IF(P105&lt;$C$6,30,80),0)+IF(P105&gt;=$C$6-1,100,0)+IF(OR(P105=3,P105=15,P105=27),430,0)+IF(OR(P105=$C$6,P105=$C$6+12),1200,0)</f>
        <v/>
      </c>
      <c r="Q349" s="20">
        <f>100+250+40+IF(Q105&gt;=10,IF(Q105&lt;$C$6,30,80),0)+IF(Q105&gt;=$C$6-1,100,0)+IF(OR(Q105=3,Q105=15,Q105=27),430,0)+IF(OR(Q105=$C$6,Q105=$C$6+12),1200,0)</f>
        <v/>
      </c>
      <c r="R349" s="20">
        <f>100+250+40+IF(R105&gt;=10,IF(R105&lt;$C$6,30,80),0)+IF(R105&gt;=$C$6-1,100,0)+IF(OR(R105=3,R105=15,R105=27),430,0)+IF(OR(R105=$C$6,R105=$C$6+12),1200,0)</f>
        <v/>
      </c>
      <c r="S349" s="20">
        <f>100+250+40+IF(S105&gt;=10,IF(S105&lt;$C$6,30,80),0)+IF(S105&gt;=$C$6-1,100,0)+IF(OR(S105=3,S105=15,S105=27),430,0)+IF(OR(S105=$C$6,S105=$C$6+12),1200,0)</f>
        <v/>
      </c>
      <c r="T349" s="20">
        <f>100+250+40+IF(T105&gt;=10,IF(T105&lt;$C$6,30,80),0)+IF(T105&gt;=$C$6-1,100,0)+IF(OR(T105=3,T105=15,T105=27),430,0)+IF(OR(T105=$C$6,T105=$C$6+12),1200,0)</f>
        <v/>
      </c>
      <c r="U349" s="20">
        <f>100+250+40+IF(U105&gt;=10,IF(U105&lt;$C$6,30,80),0)+IF(U105&gt;=$C$6-1,100,0)+IF(OR(U105=3,U105=15,U105=27),430,0)+IF(OR(U105=$C$6,U105=$C$6+12),1200,0)</f>
        <v/>
      </c>
      <c r="V349" s="20">
        <f>100+250+40+IF(V105&gt;=10,IF(V105&lt;$C$6,30,80),0)+IF(V105&gt;=$C$6-1,100,0)+IF(OR(V105=3,V105=15,V105=27),430,0)+IF(OR(V105=$C$6,V105=$C$6+12),1200,0)</f>
        <v/>
      </c>
      <c r="W349" s="20">
        <f>100+250+40+IF(W105&gt;=10,IF(W105&lt;$C$6,30,80),0)+IF(W105&gt;=$C$6-1,100,0)+IF(OR(W105=3,W105=15,W105=27),430,0)+IF(OR(W105=$C$6,W105=$C$6+12),1200,0)</f>
        <v/>
      </c>
      <c r="X349" s="20">
        <f>100+250+40+IF(X105&gt;=10,IF(X105&lt;$C$6,30,80),0)+IF(X105&gt;=$C$6-1,100,0)+IF(OR(X105=3,X105=15,X105=27),430,0)+IF(OR(X105=$C$6,X105=$C$6+12),1200,0)</f>
        <v/>
      </c>
      <c r="Y349" s="20">
        <f>100+250+40+IF(Y105&gt;=10,IF(Y105&lt;$C$6,30,80),0)+IF(Y105&gt;=$C$6-1,100,0)+IF(OR(Y105=3,Y105=15,Y105=27),430,0)+IF(OR(Y105=$C$6,Y105=$C$6+12),1200,0)</f>
        <v/>
      </c>
      <c r="Z349" s="20">
        <f>100+250+40+IF(Z105&gt;=10,IF(Z105&lt;$C$6,30,80),0)+IF(Z105&gt;=$C$6-1,100,0)+IF(OR(Z105=3,Z105=15,Z105=27),430,0)+IF(OR(Z105=$C$6,Z105=$C$6+12),1200,0)</f>
        <v/>
      </c>
      <c r="AA349" s="20">
        <f>100+250+40+IF(AA105&gt;=10,IF(AA105&lt;$C$6,30,80),0)+IF(AA105&gt;=$C$6-1,100,0)+IF(OR(AA105=3,AA105=15,AA105=27),430,0)+IF(OR(AA105=$C$6,AA105=$C$6+12),1200,0)</f>
        <v/>
      </c>
      <c r="AB349" s="20">
        <f>100+250+40+IF(AB105&gt;=10,IF(AB105&lt;$C$6,30,80),0)+IF(AB105&gt;=$C$6-1,100,0)+IF(OR(AB105=3,AB105=15,AB105=27),430,0)+IF(OR(AB105=$C$6,AB105=$C$6+12),1200,0)</f>
        <v/>
      </c>
      <c r="AC349" s="20">
        <f>100+250+40+IF(AC105&gt;=10,IF(AC105&lt;$C$6,30,80),0)+IF(AC105&gt;=$C$6-1,100,0)+IF(OR(AC105=3,AC105=15,AC105=27),430,0)+IF(OR(AC105=$C$6,AC105=$C$6+12),1200,0)</f>
        <v/>
      </c>
      <c r="AD349" s="20">
        <f>100+250+40+IF(AD105&gt;=10,IF(AD105&lt;$C$6,30,80),0)+IF(AD105&gt;=$C$6-1,100,0)+IF(OR(AD105=3,AD105=15,AD105=27),430,0)+IF(OR(AD105=$C$6,AD105=$C$6+12),1200,0)</f>
        <v/>
      </c>
      <c r="AE349" s="20">
        <f>100+250+40+IF(AE105&gt;=10,IF(AE105&lt;$C$6,30,80),0)+IF(AE105&gt;=$C$6-1,100,0)+IF(OR(AE105=3,AE105=15,AE105=27),430,0)+IF(OR(AE105=$C$6,AE105=$C$6+12),1200,0)</f>
        <v/>
      </c>
      <c r="AF349" s="20">
        <f>100+250+40+IF(AF105&gt;=10,IF(AF105&lt;$C$6,30,80),0)+IF(AF105&gt;=$C$6-1,100,0)+IF(OR(AF105=3,AF105=15,AF105=27),430,0)+IF(OR(AF105=$C$6,AF105=$C$6+12),1200,0)</f>
        <v/>
      </c>
    </row>
    <row r="350">
      <c r="A350" s="3" t="inlineStr">
        <is>
          <t>IVA sui costi fissi</t>
        </is>
      </c>
      <c r="B350" s="4" t="inlineStr">
        <is>
          <t>€</t>
        </is>
      </c>
      <c r="C350" s="20">
        <f>(250+40*0.5+IF(C105&gt;=$C$6-1,100,0))*$C$44</f>
        <v/>
      </c>
      <c r="D350" s="20">
        <f>(250+40*0.5+IF(D105&gt;=$C$6-1,100,0))*$C$44</f>
        <v/>
      </c>
      <c r="E350" s="20">
        <f>(250+40*0.5+IF(E105&gt;=$C$6-1,100,0))*$C$44</f>
        <v/>
      </c>
      <c r="F350" s="20">
        <f>(250+40*0.5+IF(F105&gt;=$C$6-1,100,0))*$C$44</f>
        <v/>
      </c>
      <c r="G350" s="20">
        <f>(250+40*0.5+IF(G105&gt;=$C$6-1,100,0))*$C$44</f>
        <v/>
      </c>
      <c r="H350" s="20">
        <f>(250+40*0.5+IF(H105&gt;=$C$6-1,100,0))*$C$44</f>
        <v/>
      </c>
      <c r="I350" s="20">
        <f>(250+40*0.5+IF(I105&gt;=$C$6-1,100,0))*$C$44</f>
        <v/>
      </c>
      <c r="J350" s="20">
        <f>(250+40*0.5+IF(J105&gt;=$C$6-1,100,0))*$C$44</f>
        <v/>
      </c>
      <c r="K350" s="20">
        <f>(250+40*0.5+IF(K105&gt;=$C$6-1,100,0))*$C$44</f>
        <v/>
      </c>
      <c r="L350" s="20">
        <f>(250+40*0.5+IF(L105&gt;=$C$6-1,100,0))*$C$44</f>
        <v/>
      </c>
      <c r="M350" s="20">
        <f>(250+40*0.5+IF(M105&gt;=$C$6-1,100,0))*$C$44</f>
        <v/>
      </c>
      <c r="N350" s="20">
        <f>(250+40*0.5+IF(N105&gt;=$C$6-1,100,0))*$C$44</f>
        <v/>
      </c>
      <c r="O350" s="20">
        <f>(250+40*0.5+IF(O105&gt;=$C$6-1,100,0))*$C$44</f>
        <v/>
      </c>
      <c r="P350" s="20">
        <f>(250+40*0.5+IF(P105&gt;=$C$6-1,100,0))*$C$44</f>
        <v/>
      </c>
      <c r="Q350" s="20">
        <f>(250+40*0.5+IF(Q105&gt;=$C$6-1,100,0))*$C$44</f>
        <v/>
      </c>
      <c r="R350" s="20">
        <f>(250+40*0.5+IF(R105&gt;=$C$6-1,100,0))*$C$44</f>
        <v/>
      </c>
      <c r="S350" s="20">
        <f>(250+40*0.5+IF(S105&gt;=$C$6-1,100,0))*$C$44</f>
        <v/>
      </c>
      <c r="T350" s="20">
        <f>(250+40*0.5+IF(T105&gt;=$C$6-1,100,0))*$C$44</f>
        <v/>
      </c>
      <c r="U350" s="20">
        <f>(250+40*0.5+IF(U105&gt;=$C$6-1,100,0))*$C$44</f>
        <v/>
      </c>
      <c r="V350" s="20">
        <f>(250+40*0.5+IF(V105&gt;=$C$6-1,100,0))*$C$44</f>
        <v/>
      </c>
      <c r="W350" s="20">
        <f>(250+40*0.5+IF(W105&gt;=$C$6-1,100,0))*$C$44</f>
        <v/>
      </c>
      <c r="X350" s="20">
        <f>(250+40*0.5+IF(X105&gt;=$C$6-1,100,0))*$C$44</f>
        <v/>
      </c>
      <c r="Y350" s="20">
        <f>(250+40*0.5+IF(Y105&gt;=$C$6-1,100,0))*$C$44</f>
        <v/>
      </c>
      <c r="Z350" s="20">
        <f>(250+40*0.5+IF(Z105&gt;=$C$6-1,100,0))*$C$44</f>
        <v/>
      </c>
      <c r="AA350" s="20">
        <f>(250+40*0.5+IF(AA105&gt;=$C$6-1,100,0))*$C$44</f>
        <v/>
      </c>
      <c r="AB350" s="20">
        <f>(250+40*0.5+IF(AB105&gt;=$C$6-1,100,0))*$C$44</f>
        <v/>
      </c>
      <c r="AC350" s="20">
        <f>(250+40*0.5+IF(AC105&gt;=$C$6-1,100,0))*$C$44</f>
        <v/>
      </c>
      <c r="AD350" s="20">
        <f>(250+40*0.5+IF(AD105&gt;=$C$6-1,100,0))*$C$44</f>
        <v/>
      </c>
      <c r="AE350" s="20">
        <f>(250+40*0.5+IF(AE105&gt;=$C$6-1,100,0))*$C$44</f>
        <v/>
      </c>
      <c r="AF350" s="20">
        <f>(250+40*0.5+IF(AF105&gt;=$C$6-1,100,0))*$C$44</f>
        <v/>
      </c>
    </row>
    <row r="351">
      <c r="A351" s="4" t="inlineStr">
        <is>
          <t>Abbonamenti IA 100 (Fable 5.1 e ASTRA di OpenAI) · commercialista 250 · banca, PEC, dominio 40 · piattaforma e-commerce 30, poi 80 dal lancio · magazzino 100 dal mese prima del lancio · diritto camerale e libri sociali 430 nei mesi 3, 15, 27 · assicurazione RC prodotto 1.200 all'anno</t>
        </is>
      </c>
    </row>
    <row r="353">
      <c r="A353" s="10" t="inlineStr">
        <is>
          <t>IVA: posizione mensile, compensazione, versamenti</t>
        </is>
      </c>
    </row>
    <row r="354">
      <c r="A354" s="3" t="inlineStr">
        <is>
          <t>Costi di progetto (netto IVA)</t>
        </is>
      </c>
      <c r="B354" s="4" t="inlineStr">
        <is>
          <t>€</t>
        </is>
      </c>
      <c r="C354" s="20">
        <f>SUMIF($C$298:$C$337,C105,$D$298:$D$337)</f>
        <v/>
      </c>
      <c r="D354" s="20">
        <f>SUMIF($C$298:$C$337,D105,$D$298:$D$337)</f>
        <v/>
      </c>
      <c r="E354" s="20">
        <f>SUMIF($C$298:$C$337,E105,$D$298:$D$337)</f>
        <v/>
      </c>
      <c r="F354" s="20">
        <f>SUMIF($C$298:$C$337,F105,$D$298:$D$337)</f>
        <v/>
      </c>
      <c r="G354" s="20">
        <f>SUMIF($C$298:$C$337,G105,$D$298:$D$337)</f>
        <v/>
      </c>
      <c r="H354" s="20">
        <f>SUMIF($C$298:$C$337,H105,$D$298:$D$337)</f>
        <v/>
      </c>
      <c r="I354" s="20">
        <f>SUMIF($C$298:$C$337,I105,$D$298:$D$337)</f>
        <v/>
      </c>
      <c r="J354" s="20">
        <f>SUMIF($C$298:$C$337,J105,$D$298:$D$337)</f>
        <v/>
      </c>
      <c r="K354" s="20">
        <f>SUMIF($C$298:$C$337,K105,$D$298:$D$337)</f>
        <v/>
      </c>
      <c r="L354" s="20">
        <f>SUMIF($C$298:$C$337,L105,$D$298:$D$337)</f>
        <v/>
      </c>
      <c r="M354" s="20">
        <f>SUMIF($C$298:$C$337,M105,$D$298:$D$337)</f>
        <v/>
      </c>
      <c r="N354" s="20">
        <f>SUMIF($C$298:$C$337,N105,$D$298:$D$337)</f>
        <v/>
      </c>
      <c r="O354" s="20">
        <f>SUMIF($C$298:$C$337,O105,$D$298:$D$337)</f>
        <v/>
      </c>
      <c r="P354" s="20">
        <f>SUMIF($C$298:$C$337,P105,$D$298:$D$337)</f>
        <v/>
      </c>
      <c r="Q354" s="20">
        <f>SUMIF($C$298:$C$337,Q105,$D$298:$D$337)</f>
        <v/>
      </c>
      <c r="R354" s="20">
        <f>SUMIF($C$298:$C$337,R105,$D$298:$D$337)</f>
        <v/>
      </c>
      <c r="S354" s="20">
        <f>SUMIF($C$298:$C$337,S105,$D$298:$D$337)</f>
        <v/>
      </c>
      <c r="T354" s="20">
        <f>SUMIF($C$298:$C$337,T105,$D$298:$D$337)</f>
        <v/>
      </c>
      <c r="U354" s="20">
        <f>SUMIF($C$298:$C$337,U105,$D$298:$D$337)</f>
        <v/>
      </c>
      <c r="V354" s="20">
        <f>SUMIF($C$298:$C$337,V105,$D$298:$D$337)</f>
        <v/>
      </c>
      <c r="W354" s="20">
        <f>SUMIF($C$298:$C$337,W105,$D$298:$D$337)</f>
        <v/>
      </c>
      <c r="X354" s="20">
        <f>SUMIF($C$298:$C$337,X105,$D$298:$D$337)</f>
        <v/>
      </c>
      <c r="Y354" s="20">
        <f>SUMIF($C$298:$C$337,Y105,$D$298:$D$337)</f>
        <v/>
      </c>
      <c r="Z354" s="20">
        <f>SUMIF($C$298:$C$337,Z105,$D$298:$D$337)</f>
        <v/>
      </c>
      <c r="AA354" s="20">
        <f>SUMIF($C$298:$C$337,AA105,$D$298:$D$337)</f>
        <v/>
      </c>
      <c r="AB354" s="20">
        <f>SUMIF($C$298:$C$337,AB105,$D$298:$D$337)</f>
        <v/>
      </c>
      <c r="AC354" s="20">
        <f>SUMIF($C$298:$C$337,AC105,$D$298:$D$337)</f>
        <v/>
      </c>
      <c r="AD354" s="20">
        <f>SUMIF($C$298:$C$337,AD105,$D$298:$D$337)</f>
        <v/>
      </c>
      <c r="AE354" s="20">
        <f>SUMIF($C$298:$C$337,AE105,$D$298:$D$337)</f>
        <v/>
      </c>
      <c r="AF354" s="20">
        <f>SUMIF($C$298:$C$337,AF105,$D$298:$D$337)</f>
        <v/>
      </c>
    </row>
    <row r="355">
      <c r="A355" s="3" t="inlineStr">
        <is>
          <t>IVA sui costi di progetto</t>
        </is>
      </c>
      <c r="B355" s="4" t="inlineStr">
        <is>
          <t>€</t>
        </is>
      </c>
      <c r="C355" s="20">
        <f>SUMIF($C$298:$C$337,C105,$E$298:$E$337)</f>
        <v/>
      </c>
      <c r="D355" s="20">
        <f>SUMIF($C$298:$C$337,D105,$E$298:$E$337)</f>
        <v/>
      </c>
      <c r="E355" s="20">
        <f>SUMIF($C$298:$C$337,E105,$E$298:$E$337)</f>
        <v/>
      </c>
      <c r="F355" s="20">
        <f>SUMIF($C$298:$C$337,F105,$E$298:$E$337)</f>
        <v/>
      </c>
      <c r="G355" s="20">
        <f>SUMIF($C$298:$C$337,G105,$E$298:$E$337)</f>
        <v/>
      </c>
      <c r="H355" s="20">
        <f>SUMIF($C$298:$C$337,H105,$E$298:$E$337)</f>
        <v/>
      </c>
      <c r="I355" s="20">
        <f>SUMIF($C$298:$C$337,I105,$E$298:$E$337)</f>
        <v/>
      </c>
      <c r="J355" s="20">
        <f>SUMIF($C$298:$C$337,J105,$E$298:$E$337)</f>
        <v/>
      </c>
      <c r="K355" s="20">
        <f>SUMIF($C$298:$C$337,K105,$E$298:$E$337)</f>
        <v/>
      </c>
      <c r="L355" s="20">
        <f>SUMIF($C$298:$C$337,L105,$E$298:$E$337)</f>
        <v/>
      </c>
      <c r="M355" s="20">
        <f>SUMIF($C$298:$C$337,M105,$E$298:$E$337)</f>
        <v/>
      </c>
      <c r="N355" s="20">
        <f>SUMIF($C$298:$C$337,N105,$E$298:$E$337)</f>
        <v/>
      </c>
      <c r="O355" s="20">
        <f>SUMIF($C$298:$C$337,O105,$E$298:$E$337)</f>
        <v/>
      </c>
      <c r="P355" s="20">
        <f>SUMIF($C$298:$C$337,P105,$E$298:$E$337)</f>
        <v/>
      </c>
      <c r="Q355" s="20">
        <f>SUMIF($C$298:$C$337,Q105,$E$298:$E$337)</f>
        <v/>
      </c>
      <c r="R355" s="20">
        <f>SUMIF($C$298:$C$337,R105,$E$298:$E$337)</f>
        <v/>
      </c>
      <c r="S355" s="20">
        <f>SUMIF($C$298:$C$337,S105,$E$298:$E$337)</f>
        <v/>
      </c>
      <c r="T355" s="20">
        <f>SUMIF($C$298:$C$337,T105,$E$298:$E$337)</f>
        <v/>
      </c>
      <c r="U355" s="20">
        <f>SUMIF($C$298:$C$337,U105,$E$298:$E$337)</f>
        <v/>
      </c>
      <c r="V355" s="20">
        <f>SUMIF($C$298:$C$337,V105,$E$298:$E$337)</f>
        <v/>
      </c>
      <c r="W355" s="20">
        <f>SUMIF($C$298:$C$337,W105,$E$298:$E$337)</f>
        <v/>
      </c>
      <c r="X355" s="20">
        <f>SUMIF($C$298:$C$337,X105,$E$298:$E$337)</f>
        <v/>
      </c>
      <c r="Y355" s="20">
        <f>SUMIF($C$298:$C$337,Y105,$E$298:$E$337)</f>
        <v/>
      </c>
      <c r="Z355" s="20">
        <f>SUMIF($C$298:$C$337,Z105,$E$298:$E$337)</f>
        <v/>
      </c>
      <c r="AA355" s="20">
        <f>SUMIF($C$298:$C$337,AA105,$E$298:$E$337)</f>
        <v/>
      </c>
      <c r="AB355" s="20">
        <f>SUMIF($C$298:$C$337,AB105,$E$298:$E$337)</f>
        <v/>
      </c>
      <c r="AC355" s="20">
        <f>SUMIF($C$298:$C$337,AC105,$E$298:$E$337)</f>
        <v/>
      </c>
      <c r="AD355" s="20">
        <f>SUMIF($C$298:$C$337,AD105,$E$298:$E$337)</f>
        <v/>
      </c>
      <c r="AE355" s="20">
        <f>SUMIF($C$298:$C$337,AE105,$E$298:$E$337)</f>
        <v/>
      </c>
      <c r="AF355" s="20">
        <f>SUMIF($C$298:$C$337,AF105,$E$298:$E$337)</f>
        <v/>
      </c>
    </row>
    <row r="356">
      <c r="A356" s="3" t="inlineStr">
        <is>
          <t>IVA pagata ai fornitori nel mese</t>
        </is>
      </c>
      <c r="B356" s="4" t="inlineStr">
        <is>
          <t>€</t>
        </is>
      </c>
      <c r="C356" s="20">
        <f>C355+C350+C346*$C$44+C289*$C$44</f>
        <v/>
      </c>
      <c r="D356" s="20">
        <f>D355+D350+D346*$C$44+D289*$C$44</f>
        <v/>
      </c>
      <c r="E356" s="20">
        <f>E355+E350+E346*$C$44+E289*$C$44</f>
        <v/>
      </c>
      <c r="F356" s="20">
        <f>F355+F350+F346*$C$44+F289*$C$44</f>
        <v/>
      </c>
      <c r="G356" s="20">
        <f>G355+G350+G346*$C$44+G289*$C$44</f>
        <v/>
      </c>
      <c r="H356" s="20">
        <f>H355+H350+H346*$C$44+H289*$C$44</f>
        <v/>
      </c>
      <c r="I356" s="20">
        <f>I355+I350+I346*$C$44+I289*$C$44</f>
        <v/>
      </c>
      <c r="J356" s="20">
        <f>J355+J350+J346*$C$44+J289*$C$44</f>
        <v/>
      </c>
      <c r="K356" s="20">
        <f>K355+K350+K346*$C$44+K289*$C$44</f>
        <v/>
      </c>
      <c r="L356" s="20">
        <f>L355+L350+L346*$C$44+L289*$C$44</f>
        <v/>
      </c>
      <c r="M356" s="20">
        <f>M355+M350+M346*$C$44+M289*$C$44</f>
        <v/>
      </c>
      <c r="N356" s="20">
        <f>N355+N350+N346*$C$44+N289*$C$44</f>
        <v/>
      </c>
      <c r="O356" s="20">
        <f>O355+O350+O346*$C$44+O289*$C$44</f>
        <v/>
      </c>
      <c r="P356" s="20">
        <f>P355+P350+P346*$C$44+P289*$C$44</f>
        <v/>
      </c>
      <c r="Q356" s="20">
        <f>Q355+Q350+Q346*$C$44+Q289*$C$44</f>
        <v/>
      </c>
      <c r="R356" s="20">
        <f>R355+R350+R346*$C$44+R289*$C$44</f>
        <v/>
      </c>
      <c r="S356" s="20">
        <f>S355+S350+S346*$C$44+S289*$C$44</f>
        <v/>
      </c>
      <c r="T356" s="20">
        <f>T355+T350+T346*$C$44+T289*$C$44</f>
        <v/>
      </c>
      <c r="U356" s="20">
        <f>U355+U350+U346*$C$44+U289*$C$44</f>
        <v/>
      </c>
      <c r="V356" s="20">
        <f>V355+V350+V346*$C$44+V289*$C$44</f>
        <v/>
      </c>
      <c r="W356" s="20">
        <f>W355+W350+W346*$C$44+W289*$C$44</f>
        <v/>
      </c>
      <c r="X356" s="20">
        <f>X355+X350+X346*$C$44+X289*$C$44</f>
        <v/>
      </c>
      <c r="Y356" s="20">
        <f>Y355+Y350+Y346*$C$44+Y289*$C$44</f>
        <v/>
      </c>
      <c r="Z356" s="20">
        <f>Z355+Z350+Z346*$C$44+Z289*$C$44</f>
        <v/>
      </c>
      <c r="AA356" s="20">
        <f>AA355+AA350+AA346*$C$44+AA289*$C$44</f>
        <v/>
      </c>
      <c r="AB356" s="20">
        <f>AB355+AB350+AB346*$C$44+AB289*$C$44</f>
        <v/>
      </c>
      <c r="AC356" s="20">
        <f>AC355+AC350+AC346*$C$44+AC289*$C$44</f>
        <v/>
      </c>
      <c r="AD356" s="20">
        <f>AD355+AD350+AD346*$C$44+AD289*$C$44</f>
        <v/>
      </c>
      <c r="AE356" s="20">
        <f>AE355+AE350+AE346*$C$44+AE289*$C$44</f>
        <v/>
      </c>
      <c r="AF356" s="20">
        <f>AF355+AF350+AF346*$C$44+AF289*$C$44</f>
        <v/>
      </c>
    </row>
    <row r="357">
      <c r="A357" s="3" t="inlineStr">
        <is>
          <t>IVA del mese: vendite meno rimborsi meno acquisti</t>
        </is>
      </c>
      <c r="B357" s="4" t="inlineStr">
        <is>
          <t>€</t>
        </is>
      </c>
      <c r="C357" s="20">
        <f>C286-C288-C356</f>
        <v/>
      </c>
      <c r="D357" s="20">
        <f>D286-D288-D356</f>
        <v/>
      </c>
      <c r="E357" s="20">
        <f>E286-E288-E356</f>
        <v/>
      </c>
      <c r="F357" s="20">
        <f>F286-F288-F356</f>
        <v/>
      </c>
      <c r="G357" s="20">
        <f>G286-G288-G356</f>
        <v/>
      </c>
      <c r="H357" s="20">
        <f>H286-H288-H356</f>
        <v/>
      </c>
      <c r="I357" s="20">
        <f>I286-I288-I356</f>
        <v/>
      </c>
      <c r="J357" s="20">
        <f>J286-J288-J356</f>
        <v/>
      </c>
      <c r="K357" s="20">
        <f>K286-K288-K356</f>
        <v/>
      </c>
      <c r="L357" s="20">
        <f>L286-L288-L356</f>
        <v/>
      </c>
      <c r="M357" s="20">
        <f>M286-M288-M356</f>
        <v/>
      </c>
      <c r="N357" s="20">
        <f>N286-N288-N356</f>
        <v/>
      </c>
      <c r="O357" s="20">
        <f>O286-O288-O356</f>
        <v/>
      </c>
      <c r="P357" s="20">
        <f>P286-P288-P356</f>
        <v/>
      </c>
      <c r="Q357" s="20">
        <f>Q286-Q288-Q356</f>
        <v/>
      </c>
      <c r="R357" s="20">
        <f>R286-R288-R356</f>
        <v/>
      </c>
      <c r="S357" s="20">
        <f>S286-S288-S356</f>
        <v/>
      </c>
      <c r="T357" s="20">
        <f>T286-T288-T356</f>
        <v/>
      </c>
      <c r="U357" s="20">
        <f>U286-U288-U356</f>
        <v/>
      </c>
      <c r="V357" s="20">
        <f>V286-V288-V356</f>
        <v/>
      </c>
      <c r="W357" s="20">
        <f>W286-W288-W356</f>
        <v/>
      </c>
      <c r="X357" s="20">
        <f>X286-X288-X356</f>
        <v/>
      </c>
      <c r="Y357" s="20">
        <f>Y286-Y288-Y356</f>
        <v/>
      </c>
      <c r="Z357" s="20">
        <f>Z286-Z288-Z356</f>
        <v/>
      </c>
      <c r="AA357" s="20">
        <f>AA286-AA288-AA356</f>
        <v/>
      </c>
      <c r="AB357" s="20">
        <f>AB286-AB288-AB356</f>
        <v/>
      </c>
      <c r="AC357" s="20">
        <f>AC286-AC288-AC356</f>
        <v/>
      </c>
      <c r="AD357" s="20">
        <f>AD286-AD288-AD356</f>
        <v/>
      </c>
      <c r="AE357" s="20">
        <f>AE286-AE288-AE356</f>
        <v/>
      </c>
      <c r="AF357" s="20">
        <f>AF286-AF288-AF356</f>
        <v/>
      </c>
    </row>
    <row r="358">
      <c r="A358" s="3" t="inlineStr">
        <is>
          <t>Posizione prima del versamento</t>
        </is>
      </c>
      <c r="B358" s="4" t="inlineStr">
        <is>
          <t>€</t>
        </is>
      </c>
      <c r="C358" s="20">
        <f>C357</f>
        <v/>
      </c>
      <c r="D358" s="20">
        <f>C360+D357</f>
        <v/>
      </c>
      <c r="E358" s="20">
        <f>D360+E357</f>
        <v/>
      </c>
      <c r="F358" s="20">
        <f>E360+F357</f>
        <v/>
      </c>
      <c r="G358" s="20">
        <f>F360+G357</f>
        <v/>
      </c>
      <c r="H358" s="20">
        <f>G360+H357</f>
        <v/>
      </c>
      <c r="I358" s="20">
        <f>H360+I357</f>
        <v/>
      </c>
      <c r="J358" s="20">
        <f>I360+J357</f>
        <v/>
      </c>
      <c r="K358" s="20">
        <f>J360+K357</f>
        <v/>
      </c>
      <c r="L358" s="20">
        <f>K360+L357</f>
        <v/>
      </c>
      <c r="M358" s="20">
        <f>L360+M357</f>
        <v/>
      </c>
      <c r="N358" s="20">
        <f>M360+N357</f>
        <v/>
      </c>
      <c r="O358" s="20">
        <f>N360+O357</f>
        <v/>
      </c>
      <c r="P358" s="20">
        <f>O360+P357</f>
        <v/>
      </c>
      <c r="Q358" s="20">
        <f>P360+Q357</f>
        <v/>
      </c>
      <c r="R358" s="20">
        <f>Q360+R357</f>
        <v/>
      </c>
      <c r="S358" s="20">
        <f>R360+S357</f>
        <v/>
      </c>
      <c r="T358" s="20">
        <f>S360+T357</f>
        <v/>
      </c>
      <c r="U358" s="20">
        <f>T360+U357</f>
        <v/>
      </c>
      <c r="V358" s="20">
        <f>U360+V357</f>
        <v/>
      </c>
      <c r="W358" s="20">
        <f>V360+W357</f>
        <v/>
      </c>
      <c r="X358" s="20">
        <f>W360+X357</f>
        <v/>
      </c>
      <c r="Y358" s="20">
        <f>X360+Y357</f>
        <v/>
      </c>
      <c r="Z358" s="20">
        <f>Y360+Z357</f>
        <v/>
      </c>
      <c r="AA358" s="20">
        <f>Z360+AA357</f>
        <v/>
      </c>
      <c r="AB358" s="20">
        <f>AA360+AB357</f>
        <v/>
      </c>
      <c r="AC358" s="20">
        <f>AB360+AC357</f>
        <v/>
      </c>
      <c r="AD358" s="20">
        <f>AC360+AD357</f>
        <v/>
      </c>
      <c r="AE358" s="20">
        <f>AD360+AE357</f>
        <v/>
      </c>
      <c r="AF358" s="20">
        <f>AE360+AF357</f>
        <v/>
      </c>
    </row>
    <row r="359">
      <c r="A359" s="3" t="inlineStr">
        <is>
          <t>IVA da versare il mese successivo</t>
        </is>
      </c>
      <c r="B359" s="4" t="inlineStr">
        <is>
          <t>€</t>
        </is>
      </c>
      <c r="C359" s="20">
        <f>MAX(0,C358)</f>
        <v/>
      </c>
      <c r="D359" s="20">
        <f>MAX(0,D358)</f>
        <v/>
      </c>
      <c r="E359" s="20">
        <f>MAX(0,E358)</f>
        <v/>
      </c>
      <c r="F359" s="20">
        <f>MAX(0,F358)</f>
        <v/>
      </c>
      <c r="G359" s="20">
        <f>MAX(0,G358)</f>
        <v/>
      </c>
      <c r="H359" s="20">
        <f>MAX(0,H358)</f>
        <v/>
      </c>
      <c r="I359" s="20">
        <f>MAX(0,I358)</f>
        <v/>
      </c>
      <c r="J359" s="20">
        <f>MAX(0,J358)</f>
        <v/>
      </c>
      <c r="K359" s="20">
        <f>MAX(0,K358)</f>
        <v/>
      </c>
      <c r="L359" s="20">
        <f>MAX(0,L358)</f>
        <v/>
      </c>
      <c r="M359" s="20">
        <f>MAX(0,M358)</f>
        <v/>
      </c>
      <c r="N359" s="20">
        <f>MAX(0,N358)</f>
        <v/>
      </c>
      <c r="O359" s="20">
        <f>MAX(0,O358)</f>
        <v/>
      </c>
      <c r="P359" s="20">
        <f>MAX(0,P358)</f>
        <v/>
      </c>
      <c r="Q359" s="20">
        <f>MAX(0,Q358)</f>
        <v/>
      </c>
      <c r="R359" s="20">
        <f>MAX(0,R358)</f>
        <v/>
      </c>
      <c r="S359" s="20">
        <f>MAX(0,S358)</f>
        <v/>
      </c>
      <c r="T359" s="20">
        <f>MAX(0,T358)</f>
        <v/>
      </c>
      <c r="U359" s="20">
        <f>MAX(0,U358)</f>
        <v/>
      </c>
      <c r="V359" s="20">
        <f>MAX(0,V358)</f>
        <v/>
      </c>
      <c r="W359" s="20">
        <f>MAX(0,W358)</f>
        <v/>
      </c>
      <c r="X359" s="20">
        <f>MAX(0,X358)</f>
        <v/>
      </c>
      <c r="Y359" s="20">
        <f>MAX(0,Y358)</f>
        <v/>
      </c>
      <c r="Z359" s="20">
        <f>MAX(0,Z358)</f>
        <v/>
      </c>
      <c r="AA359" s="20">
        <f>MAX(0,AA358)</f>
        <v/>
      </c>
      <c r="AB359" s="20">
        <f>MAX(0,AB358)</f>
        <v/>
      </c>
      <c r="AC359" s="20">
        <f>MAX(0,AC358)</f>
        <v/>
      </c>
      <c r="AD359" s="20">
        <f>MAX(0,AD358)</f>
        <v/>
      </c>
      <c r="AE359" s="20">
        <f>MAX(0,AE358)</f>
        <v/>
      </c>
      <c r="AF359" s="20">
        <f>MAX(0,AF358)</f>
        <v/>
      </c>
    </row>
    <row r="360">
      <c r="A360" s="3" t="inlineStr">
        <is>
          <t>Posizione dopo il versamento (negativo = credito)</t>
        </is>
      </c>
      <c r="B360" s="4" t="inlineStr">
        <is>
          <t>€</t>
        </is>
      </c>
      <c r="C360" s="20">
        <f>MIN(0,C358)</f>
        <v/>
      </c>
      <c r="D360" s="20">
        <f>MIN(0,D358)</f>
        <v/>
      </c>
      <c r="E360" s="20">
        <f>MIN(0,E358)</f>
        <v/>
      </c>
      <c r="F360" s="20">
        <f>MIN(0,F358)</f>
        <v/>
      </c>
      <c r="G360" s="20">
        <f>MIN(0,G358)</f>
        <v/>
      </c>
      <c r="H360" s="20">
        <f>MIN(0,H358)</f>
        <v/>
      </c>
      <c r="I360" s="20">
        <f>MIN(0,I358)</f>
        <v/>
      </c>
      <c r="J360" s="20">
        <f>MIN(0,J358)</f>
        <v/>
      </c>
      <c r="K360" s="20">
        <f>MIN(0,K358)</f>
        <v/>
      </c>
      <c r="L360" s="20">
        <f>MIN(0,L358)</f>
        <v/>
      </c>
      <c r="M360" s="20">
        <f>MIN(0,M358)</f>
        <v/>
      </c>
      <c r="N360" s="20">
        <f>MIN(0,N358)</f>
        <v/>
      </c>
      <c r="O360" s="20">
        <f>MIN(0,O358)</f>
        <v/>
      </c>
      <c r="P360" s="20">
        <f>MIN(0,P358)</f>
        <v/>
      </c>
      <c r="Q360" s="20">
        <f>MIN(0,Q358)</f>
        <v/>
      </c>
      <c r="R360" s="20">
        <f>MIN(0,R358)</f>
        <v/>
      </c>
      <c r="S360" s="20">
        <f>MIN(0,S358)</f>
        <v/>
      </c>
      <c r="T360" s="20">
        <f>MIN(0,T358)</f>
        <v/>
      </c>
      <c r="U360" s="20">
        <f>MIN(0,U358)</f>
        <v/>
      </c>
      <c r="V360" s="20">
        <f>MIN(0,V358)</f>
        <v/>
      </c>
      <c r="W360" s="20">
        <f>MIN(0,W358)</f>
        <v/>
      </c>
      <c r="X360" s="20">
        <f>MIN(0,X358)</f>
        <v/>
      </c>
      <c r="Y360" s="20">
        <f>MIN(0,Y358)</f>
        <v/>
      </c>
      <c r="Z360" s="20">
        <f>MIN(0,Z358)</f>
        <v/>
      </c>
      <c r="AA360" s="20">
        <f>MIN(0,AA358)</f>
        <v/>
      </c>
      <c r="AB360" s="20">
        <f>MIN(0,AB358)</f>
        <v/>
      </c>
      <c r="AC360" s="20">
        <f>MIN(0,AC358)</f>
        <v/>
      </c>
      <c r="AD360" s="20">
        <f>MIN(0,AD358)</f>
        <v/>
      </c>
      <c r="AE360" s="20">
        <f>MIN(0,AE358)</f>
        <v/>
      </c>
      <c r="AF360" s="20">
        <f>MIN(0,AF358)</f>
        <v/>
      </c>
    </row>
    <row r="361">
      <c r="A361" s="3" t="inlineStr">
        <is>
          <t>IVA versata nel mese</t>
        </is>
      </c>
      <c r="B361" s="4" t="inlineStr">
        <is>
          <t>€</t>
        </is>
      </c>
      <c r="C361" s="20" t="n">
        <v>0</v>
      </c>
      <c r="D361" s="20">
        <f>C359</f>
        <v/>
      </c>
      <c r="E361" s="20">
        <f>D359</f>
        <v/>
      </c>
      <c r="F361" s="20">
        <f>E359</f>
        <v/>
      </c>
      <c r="G361" s="20">
        <f>F359</f>
        <v/>
      </c>
      <c r="H361" s="20">
        <f>G359</f>
        <v/>
      </c>
      <c r="I361" s="20">
        <f>H359</f>
        <v/>
      </c>
      <c r="J361" s="20">
        <f>I359</f>
        <v/>
      </c>
      <c r="K361" s="20">
        <f>J359</f>
        <v/>
      </c>
      <c r="L361" s="20">
        <f>K359</f>
        <v/>
      </c>
      <c r="M361" s="20">
        <f>L359</f>
        <v/>
      </c>
      <c r="N361" s="20">
        <f>M359</f>
        <v/>
      </c>
      <c r="O361" s="20">
        <f>N359</f>
        <v/>
      </c>
      <c r="P361" s="20">
        <f>O359</f>
        <v/>
      </c>
      <c r="Q361" s="20">
        <f>P359</f>
        <v/>
      </c>
      <c r="R361" s="20">
        <f>Q359</f>
        <v/>
      </c>
      <c r="S361" s="20">
        <f>R359</f>
        <v/>
      </c>
      <c r="T361" s="20">
        <f>S359</f>
        <v/>
      </c>
      <c r="U361" s="20">
        <f>T359</f>
        <v/>
      </c>
      <c r="V361" s="20">
        <f>U359</f>
        <v/>
      </c>
      <c r="W361" s="20">
        <f>V359</f>
        <v/>
      </c>
      <c r="X361" s="20">
        <f>W359</f>
        <v/>
      </c>
      <c r="Y361" s="20">
        <f>X359</f>
        <v/>
      </c>
      <c r="Z361" s="20">
        <f>Y359</f>
        <v/>
      </c>
      <c r="AA361" s="20">
        <f>Z359</f>
        <v/>
      </c>
      <c r="AB361" s="20">
        <f>AA359</f>
        <v/>
      </c>
      <c r="AC361" s="20">
        <f>AB359</f>
        <v/>
      </c>
      <c r="AD361" s="20">
        <f>AC359</f>
        <v/>
      </c>
      <c r="AE361" s="20">
        <f>AD359</f>
        <v/>
      </c>
      <c r="AF361" s="20">
        <f>AE359</f>
        <v/>
      </c>
    </row>
    <row r="362">
      <c r="A362" s="3" t="inlineStr">
        <is>
          <t>Credito IVA a fine mese</t>
        </is>
      </c>
      <c r="B362" s="4" t="inlineStr">
        <is>
          <t>€</t>
        </is>
      </c>
      <c r="C362" s="20">
        <f>-C360</f>
        <v/>
      </c>
      <c r="D362" s="20">
        <f>-D360</f>
        <v/>
      </c>
      <c r="E362" s="20">
        <f>-E360</f>
        <v/>
      </c>
      <c r="F362" s="20">
        <f>-F360</f>
        <v/>
      </c>
      <c r="G362" s="20">
        <f>-G360</f>
        <v/>
      </c>
      <c r="H362" s="20">
        <f>-H360</f>
        <v/>
      </c>
      <c r="I362" s="20">
        <f>-I360</f>
        <v/>
      </c>
      <c r="J362" s="20">
        <f>-J360</f>
        <v/>
      </c>
      <c r="K362" s="20">
        <f>-K360</f>
        <v/>
      </c>
      <c r="L362" s="20">
        <f>-L360</f>
        <v/>
      </c>
      <c r="M362" s="20">
        <f>-M360</f>
        <v/>
      </c>
      <c r="N362" s="20">
        <f>-N360</f>
        <v/>
      </c>
      <c r="O362" s="20">
        <f>-O360</f>
        <v/>
      </c>
      <c r="P362" s="20">
        <f>-P360</f>
        <v/>
      </c>
      <c r="Q362" s="20">
        <f>-Q360</f>
        <v/>
      </c>
      <c r="R362" s="20">
        <f>-R360</f>
        <v/>
      </c>
      <c r="S362" s="20">
        <f>-S360</f>
        <v/>
      </c>
      <c r="T362" s="20">
        <f>-T360</f>
        <v/>
      </c>
      <c r="U362" s="20">
        <f>-U360</f>
        <v/>
      </c>
      <c r="V362" s="20">
        <f>-V360</f>
        <v/>
      </c>
      <c r="W362" s="20">
        <f>-W360</f>
        <v/>
      </c>
      <c r="X362" s="20">
        <f>-X360</f>
        <v/>
      </c>
      <c r="Y362" s="20">
        <f>-Y360</f>
        <v/>
      </c>
      <c r="Z362" s="20">
        <f>-Z360</f>
        <v/>
      </c>
      <c r="AA362" s="20">
        <f>-AA360</f>
        <v/>
      </c>
      <c r="AB362" s="20">
        <f>-AB360</f>
        <v/>
      </c>
      <c r="AC362" s="20">
        <f>-AC360</f>
        <v/>
      </c>
      <c r="AD362" s="20">
        <f>-AD360</f>
        <v/>
      </c>
      <c r="AE362" s="20">
        <f>-AE360</f>
        <v/>
      </c>
      <c r="AF362" s="20">
        <f>-AF360</f>
        <v/>
      </c>
    </row>
    <row r="364">
      <c r="A364" s="10" t="inlineStr">
        <is>
          <t>Cassa</t>
        </is>
      </c>
    </row>
    <row r="365">
      <c r="A365" s="3" t="inlineStr">
        <is>
          <t>Capitale versato</t>
        </is>
      </c>
      <c r="B365" s="4" t="inlineStr">
        <is>
          <t>€</t>
        </is>
      </c>
      <c r="C365" s="20">
        <f>IF(C105=1,$C$41,0)+IF(C105=$C$42,$C$43,0)</f>
        <v/>
      </c>
      <c r="D365" s="20">
        <f>IF(D105=1,$C$41,0)+IF(D105=$C$42,$C$43,0)</f>
        <v/>
      </c>
      <c r="E365" s="20">
        <f>IF(E105=1,$C$41,0)+IF(E105=$C$42,$C$43,0)</f>
        <v/>
      </c>
      <c r="F365" s="20">
        <f>IF(F105=1,$C$41,0)+IF(F105=$C$42,$C$43,0)</f>
        <v/>
      </c>
      <c r="G365" s="20">
        <f>IF(G105=1,$C$41,0)+IF(G105=$C$42,$C$43,0)</f>
        <v/>
      </c>
      <c r="H365" s="20">
        <f>IF(H105=1,$C$41,0)+IF(H105=$C$42,$C$43,0)</f>
        <v/>
      </c>
      <c r="I365" s="20">
        <f>IF(I105=1,$C$41,0)+IF(I105=$C$42,$C$43,0)</f>
        <v/>
      </c>
      <c r="J365" s="20">
        <f>IF(J105=1,$C$41,0)+IF(J105=$C$42,$C$43,0)</f>
        <v/>
      </c>
      <c r="K365" s="20">
        <f>IF(K105=1,$C$41,0)+IF(K105=$C$42,$C$43,0)</f>
        <v/>
      </c>
      <c r="L365" s="20">
        <f>IF(L105=1,$C$41,0)+IF(L105=$C$42,$C$43,0)</f>
        <v/>
      </c>
      <c r="M365" s="20">
        <f>IF(M105=1,$C$41,0)+IF(M105=$C$42,$C$43,0)</f>
        <v/>
      </c>
      <c r="N365" s="20">
        <f>IF(N105=1,$C$41,0)+IF(N105=$C$42,$C$43,0)</f>
        <v/>
      </c>
      <c r="O365" s="20">
        <f>IF(O105=1,$C$41,0)+IF(O105=$C$42,$C$43,0)</f>
        <v/>
      </c>
      <c r="P365" s="20">
        <f>IF(P105=1,$C$41,0)+IF(P105=$C$42,$C$43,0)</f>
        <v/>
      </c>
      <c r="Q365" s="20">
        <f>IF(Q105=1,$C$41,0)+IF(Q105=$C$42,$C$43,0)</f>
        <v/>
      </c>
      <c r="R365" s="20">
        <f>IF(R105=1,$C$41,0)+IF(R105=$C$42,$C$43,0)</f>
        <v/>
      </c>
      <c r="S365" s="20">
        <f>IF(S105=1,$C$41,0)+IF(S105=$C$42,$C$43,0)</f>
        <v/>
      </c>
      <c r="T365" s="20">
        <f>IF(T105=1,$C$41,0)+IF(T105=$C$42,$C$43,0)</f>
        <v/>
      </c>
      <c r="U365" s="20">
        <f>IF(U105=1,$C$41,0)+IF(U105=$C$42,$C$43,0)</f>
        <v/>
      </c>
      <c r="V365" s="20">
        <f>IF(V105=1,$C$41,0)+IF(V105=$C$42,$C$43,0)</f>
        <v/>
      </c>
      <c r="W365" s="20">
        <f>IF(W105=1,$C$41,0)+IF(W105=$C$42,$C$43,0)</f>
        <v/>
      </c>
      <c r="X365" s="20">
        <f>IF(X105=1,$C$41,0)+IF(X105=$C$42,$C$43,0)</f>
        <v/>
      </c>
      <c r="Y365" s="20">
        <f>IF(Y105=1,$C$41,0)+IF(Y105=$C$42,$C$43,0)</f>
        <v/>
      </c>
      <c r="Z365" s="20">
        <f>IF(Z105=1,$C$41,0)+IF(Z105=$C$42,$C$43,0)</f>
        <v/>
      </c>
      <c r="AA365" s="20">
        <f>IF(AA105=1,$C$41,0)+IF(AA105=$C$42,$C$43,0)</f>
        <v/>
      </c>
      <c r="AB365" s="20">
        <f>IF(AB105=1,$C$41,0)+IF(AB105=$C$42,$C$43,0)</f>
        <v/>
      </c>
      <c r="AC365" s="20">
        <f>IF(AC105=1,$C$41,0)+IF(AC105=$C$42,$C$43,0)</f>
        <v/>
      </c>
      <c r="AD365" s="20">
        <f>IF(AD105=1,$C$41,0)+IF(AD105=$C$42,$C$43,0)</f>
        <v/>
      </c>
      <c r="AE365" s="20">
        <f>IF(AE105=1,$C$41,0)+IF(AE105=$C$42,$C$43,0)</f>
        <v/>
      </c>
      <c r="AF365" s="20">
        <f>IF(AF105=1,$C$41,0)+IF(AF105=$C$42,$C$43,0)</f>
        <v/>
      </c>
    </row>
    <row r="366">
      <c r="A366" s="3" t="inlineStr">
        <is>
          <t>Entrate: capitale e incassi</t>
        </is>
      </c>
      <c r="B366" s="4" t="inlineStr">
        <is>
          <t>€</t>
        </is>
      </c>
      <c r="C366" s="20">
        <f>C365+C284</f>
        <v/>
      </c>
      <c r="D366" s="20">
        <f>D365+D284</f>
        <v/>
      </c>
      <c r="E366" s="20">
        <f>E365+E284</f>
        <v/>
      </c>
      <c r="F366" s="20">
        <f>F365+F284</f>
        <v/>
      </c>
      <c r="G366" s="20">
        <f>G365+G284</f>
        <v/>
      </c>
      <c r="H366" s="20">
        <f>H365+H284</f>
        <v/>
      </c>
      <c r="I366" s="20">
        <f>I365+I284</f>
        <v/>
      </c>
      <c r="J366" s="20">
        <f>J365+J284</f>
        <v/>
      </c>
      <c r="K366" s="20">
        <f>K365+K284</f>
        <v/>
      </c>
      <c r="L366" s="20">
        <f>L365+L284</f>
        <v/>
      </c>
      <c r="M366" s="20">
        <f>M365+M284</f>
        <v/>
      </c>
      <c r="N366" s="20">
        <f>N365+N284</f>
        <v/>
      </c>
      <c r="O366" s="20">
        <f>O365+O284</f>
        <v/>
      </c>
      <c r="P366" s="20">
        <f>P365+P284</f>
        <v/>
      </c>
      <c r="Q366" s="20">
        <f>Q365+Q284</f>
        <v/>
      </c>
      <c r="R366" s="20">
        <f>R365+R284</f>
        <v/>
      </c>
      <c r="S366" s="20">
        <f>S365+S284</f>
        <v/>
      </c>
      <c r="T366" s="20">
        <f>T365+T284</f>
        <v/>
      </c>
      <c r="U366" s="20">
        <f>U365+U284</f>
        <v/>
      </c>
      <c r="V366" s="20">
        <f>V365+V284</f>
        <v/>
      </c>
      <c r="W366" s="20">
        <f>W365+W284</f>
        <v/>
      </c>
      <c r="X366" s="20">
        <f>X365+X284</f>
        <v/>
      </c>
      <c r="Y366" s="20">
        <f>Y365+Y284</f>
        <v/>
      </c>
      <c r="Z366" s="20">
        <f>Z365+Z284</f>
        <v/>
      </c>
      <c r="AA366" s="20">
        <f>AA365+AA284</f>
        <v/>
      </c>
      <c r="AB366" s="20">
        <f>AB365+AB284</f>
        <v/>
      </c>
      <c r="AC366" s="20">
        <f>AC365+AC284</f>
        <v/>
      </c>
      <c r="AD366" s="20">
        <f>AD365+AD284</f>
        <v/>
      </c>
      <c r="AE366" s="20">
        <f>AE365+AE284</f>
        <v/>
      </c>
      <c r="AF366" s="20">
        <f>AF365+AF284</f>
        <v/>
      </c>
    </row>
    <row r="367">
      <c r="A367" s="3" t="inlineStr">
        <is>
          <t>Uscite totali</t>
        </is>
      </c>
      <c r="B367" s="4" t="inlineStr">
        <is>
          <t>€</t>
        </is>
      </c>
      <c r="C367" s="20">
        <f>C287+C289*(1+$C$44)+C290+C291+C107+C116+C354+C355+C349+C350+C346*(1+$C$44)+C361</f>
        <v/>
      </c>
      <c r="D367" s="20">
        <f>D287+D289*(1+$C$44)+D290+D291+D107+D116+D354+D355+D349+D350+D346*(1+$C$44)+D361</f>
        <v/>
      </c>
      <c r="E367" s="20">
        <f>E287+E289*(1+$C$44)+E290+E291+E107+E116+E354+E355+E349+E350+E346*(1+$C$44)+E361</f>
        <v/>
      </c>
      <c r="F367" s="20">
        <f>F287+F289*(1+$C$44)+F290+F291+F107+F116+F354+F355+F349+F350+F346*(1+$C$44)+F361</f>
        <v/>
      </c>
      <c r="G367" s="20">
        <f>G287+G289*(1+$C$44)+G290+G291+G107+G116+G354+G355+G349+G350+G346*(1+$C$44)+G361</f>
        <v/>
      </c>
      <c r="H367" s="20">
        <f>H287+H289*(1+$C$44)+H290+H291+H107+H116+H354+H355+H349+H350+H346*(1+$C$44)+H361</f>
        <v/>
      </c>
      <c r="I367" s="20">
        <f>I287+I289*(1+$C$44)+I290+I291+I107+I116+I354+I355+I349+I350+I346*(1+$C$44)+I361</f>
        <v/>
      </c>
      <c r="J367" s="20">
        <f>J287+J289*(1+$C$44)+J290+J291+J107+J116+J354+J355+J349+J350+J346*(1+$C$44)+J361</f>
        <v/>
      </c>
      <c r="K367" s="20">
        <f>K287+K289*(1+$C$44)+K290+K291+K107+K116+K354+K355+K349+K350+K346*(1+$C$44)+K361</f>
        <v/>
      </c>
      <c r="L367" s="20">
        <f>L287+L289*(1+$C$44)+L290+L291+L107+L116+L354+L355+L349+L350+L346*(1+$C$44)+L361</f>
        <v/>
      </c>
      <c r="M367" s="20">
        <f>M287+M289*(1+$C$44)+M290+M291+M107+M116+M354+M355+M349+M350+M346*(1+$C$44)+M361</f>
        <v/>
      </c>
      <c r="N367" s="20">
        <f>N287+N289*(1+$C$44)+N290+N291+N107+N116+N354+N355+N349+N350+N346*(1+$C$44)+N361</f>
        <v/>
      </c>
      <c r="O367" s="20">
        <f>O287+O289*(1+$C$44)+O290+O291+O107+O116+O354+O355+O349+O350+O346*(1+$C$44)+O361</f>
        <v/>
      </c>
      <c r="P367" s="20">
        <f>P287+P289*(1+$C$44)+P290+P291+P107+P116+P354+P355+P349+P350+P346*(1+$C$44)+P361</f>
        <v/>
      </c>
      <c r="Q367" s="20">
        <f>Q287+Q289*(1+$C$44)+Q290+Q291+Q107+Q116+Q354+Q355+Q349+Q350+Q346*(1+$C$44)+Q361</f>
        <v/>
      </c>
      <c r="R367" s="20">
        <f>R287+R289*(1+$C$44)+R290+R291+R107+R116+R354+R355+R349+R350+R346*(1+$C$44)+R361</f>
        <v/>
      </c>
      <c r="S367" s="20">
        <f>S287+S289*(1+$C$44)+S290+S291+S107+S116+S354+S355+S349+S350+S346*(1+$C$44)+S361</f>
        <v/>
      </c>
      <c r="T367" s="20">
        <f>T287+T289*(1+$C$44)+T290+T291+T107+T116+T354+T355+T349+T350+T346*(1+$C$44)+T361</f>
        <v/>
      </c>
      <c r="U367" s="20">
        <f>U287+U289*(1+$C$44)+U290+U291+U107+U116+U354+U355+U349+U350+U346*(1+$C$44)+U361</f>
        <v/>
      </c>
      <c r="V367" s="20">
        <f>V287+V289*(1+$C$44)+V290+V291+V107+V116+V354+V355+V349+V350+V346*(1+$C$44)+V361</f>
        <v/>
      </c>
      <c r="W367" s="20">
        <f>W287+W289*(1+$C$44)+W290+W291+W107+W116+W354+W355+W349+W350+W346*(1+$C$44)+W361</f>
        <v/>
      </c>
      <c r="X367" s="20">
        <f>X287+X289*(1+$C$44)+X290+X291+X107+X116+X354+X355+X349+X350+X346*(1+$C$44)+X361</f>
        <v/>
      </c>
      <c r="Y367" s="20">
        <f>Y287+Y289*(1+$C$44)+Y290+Y291+Y107+Y116+Y354+Y355+Y349+Y350+Y346*(1+$C$44)+Y361</f>
        <v/>
      </c>
      <c r="Z367" s="20">
        <f>Z287+Z289*(1+$C$44)+Z290+Z291+Z107+Z116+Z354+Z355+Z349+Z350+Z346*(1+$C$44)+Z361</f>
        <v/>
      </c>
      <c r="AA367" s="20">
        <f>AA287+AA289*(1+$C$44)+AA290+AA291+AA107+AA116+AA354+AA355+AA349+AA350+AA346*(1+$C$44)+AA361</f>
        <v/>
      </c>
      <c r="AB367" s="20">
        <f>AB287+AB289*(1+$C$44)+AB290+AB291+AB107+AB116+AB354+AB355+AB349+AB350+AB346*(1+$C$44)+AB361</f>
        <v/>
      </c>
      <c r="AC367" s="20">
        <f>AC287+AC289*(1+$C$44)+AC290+AC291+AC107+AC116+AC354+AC355+AC349+AC350+AC346*(1+$C$44)+AC361</f>
        <v/>
      </c>
      <c r="AD367" s="20">
        <f>AD287+AD289*(1+$C$44)+AD290+AD291+AD107+AD116+AD354+AD355+AD349+AD350+AD346*(1+$C$44)+AD361</f>
        <v/>
      </c>
      <c r="AE367" s="20">
        <f>AE287+AE289*(1+$C$44)+AE290+AE291+AE107+AE116+AE354+AE355+AE349+AE350+AE346*(1+$C$44)+AE361</f>
        <v/>
      </c>
      <c r="AF367" s="20">
        <f>AF287+AF289*(1+$C$44)+AF290+AF291+AF107+AF116+AF354+AF355+AF349+AF350+AF346*(1+$C$44)+AF361</f>
        <v/>
      </c>
    </row>
    <row r="368">
      <c r="A368" s="3" t="inlineStr">
        <is>
          <t>Cassa a fine mese</t>
        </is>
      </c>
      <c r="B368" s="4" t="inlineStr">
        <is>
          <t>€</t>
        </is>
      </c>
      <c r="C368" s="26">
        <f>C366-C367</f>
        <v/>
      </c>
      <c r="D368" s="26">
        <f>C368+D366-D367</f>
        <v/>
      </c>
      <c r="E368" s="26">
        <f>D368+E366-E367</f>
        <v/>
      </c>
      <c r="F368" s="26">
        <f>E368+F366-F367</f>
        <v/>
      </c>
      <c r="G368" s="26">
        <f>F368+G366-G367</f>
        <v/>
      </c>
      <c r="H368" s="26">
        <f>G368+H366-H367</f>
        <v/>
      </c>
      <c r="I368" s="26">
        <f>H368+I366-I367</f>
        <v/>
      </c>
      <c r="J368" s="26">
        <f>I368+J366-J367</f>
        <v/>
      </c>
      <c r="K368" s="26">
        <f>J368+K366-K367</f>
        <v/>
      </c>
      <c r="L368" s="26">
        <f>K368+L366-L367</f>
        <v/>
      </c>
      <c r="M368" s="26">
        <f>L368+M366-M367</f>
        <v/>
      </c>
      <c r="N368" s="26">
        <f>M368+N366-N367</f>
        <v/>
      </c>
      <c r="O368" s="26">
        <f>N368+O366-O367</f>
        <v/>
      </c>
      <c r="P368" s="26">
        <f>O368+P366-P367</f>
        <v/>
      </c>
      <c r="Q368" s="26">
        <f>P368+Q366-Q367</f>
        <v/>
      </c>
      <c r="R368" s="26">
        <f>Q368+R366-R367</f>
        <v/>
      </c>
      <c r="S368" s="26">
        <f>R368+S366-S367</f>
        <v/>
      </c>
      <c r="T368" s="26">
        <f>S368+T366-T367</f>
        <v/>
      </c>
      <c r="U368" s="26">
        <f>T368+U366-U367</f>
        <v/>
      </c>
      <c r="V368" s="26">
        <f>U368+V366-V367</f>
        <v/>
      </c>
      <c r="W368" s="26">
        <f>V368+W366-W367</f>
        <v/>
      </c>
      <c r="X368" s="26">
        <f>W368+X366-X367</f>
        <v/>
      </c>
      <c r="Y368" s="26">
        <f>X368+Y366-Y367</f>
        <v/>
      </c>
      <c r="Z368" s="26">
        <f>Y368+Z366-Z367</f>
        <v/>
      </c>
      <c r="AA368" s="26">
        <f>Z368+AA366-AA367</f>
        <v/>
      </c>
      <c r="AB368" s="26">
        <f>AA368+AB366-AB367</f>
        <v/>
      </c>
      <c r="AC368" s="26">
        <f>AB368+AC366-AC367</f>
        <v/>
      </c>
      <c r="AD368" s="26">
        <f>AC368+AD366-AD367</f>
        <v/>
      </c>
      <c r="AE368" s="26">
        <f>AD368+AE366-AE367</f>
        <v/>
      </c>
      <c r="AF368" s="26">
        <f>AE368+AF366-AF367</f>
        <v/>
      </c>
    </row>
    <row r="369">
      <c r="A369" s="3" t="inlineStr">
        <is>
          <t>Garanzia: rimborsi attesi non ancora pagati (lordi)</t>
        </is>
      </c>
      <c r="B369" s="4" t="inlineStr">
        <is>
          <t>€</t>
        </is>
      </c>
      <c r="C369" s="20">
        <f>SUM($C$112:C112)*$C$12*$C$13*$H$76-SUM($C$287:C287)</f>
        <v/>
      </c>
      <c r="D369" s="20">
        <f>SUM($C$112:D112)*$C$12*$C$13*$H$76-SUM($C$287:D287)</f>
        <v/>
      </c>
      <c r="E369" s="20">
        <f>SUM($C$112:E112)*$C$12*$C$13*$H$76-SUM($C$287:E287)</f>
        <v/>
      </c>
      <c r="F369" s="20">
        <f>SUM($C$112:F112)*$C$12*$C$13*$H$76-SUM($C$287:F287)</f>
        <v/>
      </c>
      <c r="G369" s="20">
        <f>SUM($C$112:G112)*$C$12*$C$13*$H$76-SUM($C$287:G287)</f>
        <v/>
      </c>
      <c r="H369" s="20">
        <f>SUM($C$112:H112)*$C$12*$C$13*$H$76-SUM($C$287:H287)</f>
        <v/>
      </c>
      <c r="I369" s="20">
        <f>SUM($C$112:I112)*$C$12*$C$13*$H$76-SUM($C$287:I287)</f>
        <v/>
      </c>
      <c r="J369" s="20">
        <f>SUM($C$112:J112)*$C$12*$C$13*$H$76-SUM($C$287:J287)</f>
        <v/>
      </c>
      <c r="K369" s="20">
        <f>SUM($C$112:K112)*$C$12*$C$13*$H$76-SUM($C$287:K287)</f>
        <v/>
      </c>
      <c r="L369" s="20">
        <f>SUM($C$112:L112)*$C$12*$C$13*$H$76-SUM($C$287:L287)</f>
        <v/>
      </c>
      <c r="M369" s="20">
        <f>SUM($C$112:M112)*$C$12*$C$13*$H$76-SUM($C$287:M287)</f>
        <v/>
      </c>
      <c r="N369" s="20">
        <f>SUM($C$112:N112)*$C$12*$C$13*$H$76-SUM($C$287:N287)</f>
        <v/>
      </c>
      <c r="O369" s="20">
        <f>SUM($C$112:O112)*$C$12*$C$13*$H$76-SUM($C$287:O287)</f>
        <v/>
      </c>
      <c r="P369" s="20">
        <f>SUM($C$112:P112)*$C$12*$C$13*$H$76-SUM($C$287:P287)</f>
        <v/>
      </c>
      <c r="Q369" s="20">
        <f>SUM($C$112:Q112)*$C$12*$C$13*$H$76-SUM($C$287:Q287)</f>
        <v/>
      </c>
      <c r="R369" s="20">
        <f>SUM($C$112:R112)*$C$12*$C$13*$H$76-SUM($C$287:R287)</f>
        <v/>
      </c>
      <c r="S369" s="20">
        <f>SUM($C$112:S112)*$C$12*$C$13*$H$76-SUM($C$287:S287)</f>
        <v/>
      </c>
      <c r="T369" s="20">
        <f>SUM($C$112:T112)*$C$12*$C$13*$H$76-SUM($C$287:T287)</f>
        <v/>
      </c>
      <c r="U369" s="20">
        <f>SUM($C$112:U112)*$C$12*$C$13*$H$76-SUM($C$287:U287)</f>
        <v/>
      </c>
      <c r="V369" s="20">
        <f>SUM($C$112:V112)*$C$12*$C$13*$H$76-SUM($C$287:V287)</f>
        <v/>
      </c>
      <c r="W369" s="20">
        <f>SUM($C$112:W112)*$C$12*$C$13*$H$76-SUM($C$287:W287)</f>
        <v/>
      </c>
      <c r="X369" s="20">
        <f>SUM($C$112:X112)*$C$12*$C$13*$H$76-SUM($C$287:X287)</f>
        <v/>
      </c>
      <c r="Y369" s="20">
        <f>SUM($C$112:Y112)*$C$12*$C$13*$H$76-SUM($C$287:Y287)</f>
        <v/>
      </c>
      <c r="Z369" s="20">
        <f>SUM($C$112:Z112)*$C$12*$C$13*$H$76-SUM($C$287:Z287)</f>
        <v/>
      </c>
      <c r="AA369" s="20">
        <f>SUM($C$112:AA112)*$C$12*$C$13*$H$76-SUM($C$287:AA287)</f>
        <v/>
      </c>
      <c r="AB369" s="20">
        <f>SUM($C$112:AB112)*$C$12*$C$13*$H$76-SUM($C$287:AB287)</f>
        <v/>
      </c>
      <c r="AC369" s="20">
        <f>SUM($C$112:AC112)*$C$12*$C$13*$H$76-SUM($C$287:AC287)</f>
        <v/>
      </c>
      <c r="AD369" s="20">
        <f>SUM($C$112:AD112)*$C$12*$C$13*$H$76-SUM($C$287:AD287)</f>
        <v/>
      </c>
      <c r="AE369" s="20">
        <f>SUM($C$112:AE112)*$C$12*$C$13*$H$76-SUM($C$287:AE287)</f>
        <v/>
      </c>
      <c r="AF369" s="20">
        <f>SUM($C$112:AF112)*$C$12*$C$13*$H$76-SUM($C$287:AF287)</f>
        <v/>
      </c>
    </row>
    <row r="370">
      <c r="A370" s="3" t="inlineStr">
        <is>
          <t>Risultato operativo del mese (competenza semplificata)</t>
        </is>
      </c>
      <c r="B370" s="4" t="inlineStr">
        <is>
          <t>€</t>
        </is>
      </c>
      <c r="C370" s="20">
        <f>C285-C292-C289-C290-C291-(C287-C288)-C107-C116-C349</f>
        <v/>
      </c>
      <c r="D370" s="20">
        <f>D285-D292-D289-D290-D291-(D287-D288)-D107-D116-D349</f>
        <v/>
      </c>
      <c r="E370" s="20">
        <f>E285-E292-E289-E290-E291-(E287-E288)-E107-E116-E349</f>
        <v/>
      </c>
      <c r="F370" s="20">
        <f>F285-F292-F289-F290-F291-(F287-F288)-F107-F116-F349</f>
        <v/>
      </c>
      <c r="G370" s="20">
        <f>G285-G292-G289-G290-G291-(G287-G288)-G107-G116-G349</f>
        <v/>
      </c>
      <c r="H370" s="20">
        <f>H285-H292-H289-H290-H291-(H287-H288)-H107-H116-H349</f>
        <v/>
      </c>
      <c r="I370" s="20">
        <f>I285-I292-I289-I290-I291-(I287-I288)-I107-I116-I349</f>
        <v/>
      </c>
      <c r="J370" s="20">
        <f>J285-J292-J289-J290-J291-(J287-J288)-J107-J116-J349</f>
        <v/>
      </c>
      <c r="K370" s="20">
        <f>K285-K292-K289-K290-K291-(K287-K288)-K107-K116-K349</f>
        <v/>
      </c>
      <c r="L370" s="20">
        <f>L285-L292-L289-L290-L291-(L287-L288)-L107-L116-L349</f>
        <v/>
      </c>
      <c r="M370" s="20">
        <f>M285-M292-M289-M290-M291-(M287-M288)-M107-M116-M349</f>
        <v/>
      </c>
      <c r="N370" s="20">
        <f>N285-N292-N289-N290-N291-(N287-N288)-N107-N116-N349</f>
        <v/>
      </c>
      <c r="O370" s="20">
        <f>O285-O292-O289-O290-O291-(O287-O288)-O107-O116-O349</f>
        <v/>
      </c>
      <c r="P370" s="20">
        <f>P285-P292-P289-P290-P291-(P287-P288)-P107-P116-P349</f>
        <v/>
      </c>
      <c r="Q370" s="20">
        <f>Q285-Q292-Q289-Q290-Q291-(Q287-Q288)-Q107-Q116-Q349</f>
        <v/>
      </c>
      <c r="R370" s="20">
        <f>R285-R292-R289-R290-R291-(R287-R288)-R107-R116-R349</f>
        <v/>
      </c>
      <c r="S370" s="20">
        <f>S285-S292-S289-S290-S291-(S287-S288)-S107-S116-S349</f>
        <v/>
      </c>
      <c r="T370" s="20">
        <f>T285-T292-T289-T290-T291-(T287-T288)-T107-T116-T349</f>
        <v/>
      </c>
      <c r="U370" s="20">
        <f>U285-U292-U289-U290-U291-(U287-U288)-U107-U116-U349</f>
        <v/>
      </c>
      <c r="V370" s="20">
        <f>V285-V292-V289-V290-V291-(V287-V288)-V107-V116-V349</f>
        <v/>
      </c>
      <c r="W370" s="20">
        <f>W285-W292-W289-W290-W291-(W287-W288)-W107-W116-W349</f>
        <v/>
      </c>
      <c r="X370" s="20">
        <f>X285-X292-X289-X290-X291-(X287-X288)-X107-X116-X349</f>
        <v/>
      </c>
      <c r="Y370" s="20">
        <f>Y285-Y292-Y289-Y290-Y291-(Y287-Y288)-Y107-Y116-Y349</f>
        <v/>
      </c>
      <c r="Z370" s="20">
        <f>Z285-Z292-Z289-Z290-Z291-(Z287-Z288)-Z107-Z116-Z349</f>
        <v/>
      </c>
      <c r="AA370" s="20">
        <f>AA285-AA292-AA289-AA290-AA291-(AA287-AA288)-AA107-AA116-AA349</f>
        <v/>
      </c>
      <c r="AB370" s="20">
        <f>AB285-AB292-AB289-AB290-AB291-(AB287-AB288)-AB107-AB116-AB349</f>
        <v/>
      </c>
      <c r="AC370" s="20">
        <f>AC285-AC292-AC289-AC290-AC291-(AC287-AC288)-AC107-AC116-AC349</f>
        <v/>
      </c>
      <c r="AD370" s="20">
        <f>AD285-AD292-AD289-AD290-AD291-(AD287-AD288)-AD107-AD116-AD349</f>
        <v/>
      </c>
      <c r="AE370" s="20">
        <f>AE285-AE292-AE289-AE290-AE291-(AE287-AE288)-AE107-AE116-AE349</f>
        <v/>
      </c>
      <c r="AF370" s="20">
        <f>AF285-AF292-AF289-AF290-AF291-(AF287-AF288)-AF107-AF116-AF349</f>
        <v/>
      </c>
    </row>
    <row r="372">
      <c r="A372" s="10" t="inlineStr">
        <is>
          <t>Sintesi dello scenario</t>
        </is>
      </c>
    </row>
    <row r="373">
      <c r="A373" s="3" t="inlineStr">
        <is>
          <t>Cassa minima</t>
        </is>
      </c>
      <c r="C373" s="27">
        <f>MIN($C$368:$AF$368)</f>
        <v/>
      </c>
    </row>
    <row r="374">
      <c r="A374" s="3" t="inlineStr">
        <is>
          <t>Mese della cassa minima</t>
        </is>
      </c>
      <c r="C374" s="28">
        <f>INDEX($C$105:$AF$105,1,MATCH(MIN($C$368:$AF$368),$C$368:$AF$368,0))</f>
        <v/>
      </c>
    </row>
    <row r="375">
      <c r="A375" s="3" t="inlineStr">
        <is>
          <t>Capitale assorbito fino al minimo (versato meno cassa minima)</t>
        </is>
      </c>
      <c r="C375" s="27">
        <f>SUM($C$365:$AF$365)-MIN($C$368:$AF$368)</f>
        <v/>
      </c>
    </row>
    <row r="376">
      <c r="A376" s="3" t="inlineStr">
        <is>
          <t>Cassa al mese 24</t>
        </is>
      </c>
      <c r="C376" s="27">
        <f>$Z$368</f>
        <v/>
      </c>
    </row>
    <row r="377">
      <c r="A377" s="3" t="inlineStr">
        <is>
          <t>Cassa al mese 30</t>
        </is>
      </c>
      <c r="C377" s="27">
        <f>$AF$368</f>
        <v/>
      </c>
    </row>
    <row r="378">
      <c r="A378" s="3" t="inlineStr">
        <is>
          <t>Nuovi clienti fino al mese 30</t>
        </is>
      </c>
      <c r="C378" s="29">
        <f>SUM($C$111:$AF$111)</f>
        <v/>
      </c>
    </row>
    <row r="379">
      <c r="A379" s="3" t="inlineStr">
        <is>
          <t>di cui da pubblicità</t>
        </is>
      </c>
      <c r="C379" s="29">
        <f>SUM($C$109:$AF$109)</f>
        <v/>
      </c>
    </row>
    <row r="380">
      <c r="A380" s="3" t="inlineStr">
        <is>
          <t>Pubblicità fino al mese 30</t>
        </is>
      </c>
      <c r="C380" s="27">
        <f>SUM($C$107:$AF$107)</f>
        <v/>
      </c>
    </row>
    <row r="381">
      <c r="A381" s="3" t="inlineStr">
        <is>
          <t>Ricavi netti fino al mese 30</t>
        </is>
      </c>
      <c r="C381" s="27">
        <f>SUM($C$285:$AF$285)</f>
        <v/>
      </c>
    </row>
    <row r="382">
      <c r="A382" s="3" t="inlineStr">
        <is>
          <t>Rimborsi di garanzia pagati fino al mese 30</t>
        </is>
      </c>
      <c r="C382" s="27">
        <f>SUM($C$287:$AF$287)</f>
        <v/>
      </c>
    </row>
    <row r="383">
      <c r="A383" s="3" t="inlineStr">
        <is>
          <t>Lotti ordinati</t>
        </is>
      </c>
      <c r="C383" s="28">
        <f>SUM($C$345:$AF$345)/$C$61</f>
        <v/>
      </c>
    </row>
    <row r="384">
      <c r="A384" s="3" t="inlineStr">
        <is>
          <t>Credito IVA massimo</t>
        </is>
      </c>
      <c r="C384" s="27">
        <f>MAX($C$362:$AF$362)</f>
        <v/>
      </c>
    </row>
    <row r="385">
      <c r="A385" s="3" t="inlineStr">
        <is>
          <t>Esposizione di garanzia massima</t>
        </is>
      </c>
      <c r="C385" s="27">
        <f>MAX($C$369:$AF$369)</f>
        <v/>
      </c>
    </row>
    <row r="386">
      <c r="A386" s="3" t="inlineStr">
        <is>
          <t>Valore del cliente medio a 6 mesi</t>
        </is>
      </c>
      <c r="C386" s="30">
        <f>$H$102</f>
        <v/>
      </c>
    </row>
    <row r="387">
      <c r="A387" s="3" t="inlineStr">
        <is>
          <t>Valore del cliente medio a 12 mesi</t>
        </is>
      </c>
      <c r="C387" s="30">
        <f>$N$102</f>
        <v/>
      </c>
    </row>
    <row r="388">
      <c r="A388" s="3" t="inlineStr">
        <is>
          <t>Valore del cliente medio a 24 mesi</t>
        </is>
      </c>
      <c r="C388" s="30">
        <f>$Z$102</f>
        <v/>
      </c>
    </row>
    <row r="389">
      <c r="A389" s="3" t="inlineStr">
        <is>
          <t>CAC massimo con la regola 2:1 sul valore a 24 mesi</t>
        </is>
      </c>
      <c r="C389" s="30">
        <f>$Z$102/2</f>
        <v/>
      </c>
    </row>
    <row r="390">
      <c r="A390" s="3" t="inlineStr">
        <is>
          <t>Contribuzione media del primo ordine</t>
        </is>
      </c>
      <c r="C390" s="30">
        <f>$C$102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Scenario 4: Avverso con arresto</t>
        </is>
      </c>
    </row>
    <row r="2">
      <c r="A2" s="4" t="inlineStr">
        <is>
          <t>Indice dello scenario (colonna di Parametri)</t>
        </is>
      </c>
      <c r="C2" s="2" t="n">
        <v>4</v>
      </c>
    </row>
    <row r="5">
      <c r="A5" s="10" t="inlineStr">
        <is>
          <t>Parametri dello scenario (da Parametri)</t>
        </is>
      </c>
    </row>
    <row r="6">
      <c r="A6" s="3" t="inlineStr">
        <is>
          <t>Mese del lancio</t>
        </is>
      </c>
      <c r="B6" s="4" t="inlineStr">
        <is>
          <t>mese</t>
        </is>
      </c>
      <c r="C6" s="21">
        <f>INDEX(Parametri!$D$5:$H$5,1,$C$2)</f>
        <v/>
      </c>
    </row>
    <row r="7">
      <c r="A7" s="3" t="inlineStr">
        <is>
          <t>Costo industriale per flacone</t>
        </is>
      </c>
      <c r="B7" s="4" t="inlineStr">
        <is>
          <t>€</t>
        </is>
      </c>
      <c r="C7" s="9">
        <f>INDEX(Parametri!$D$6:$H$6,1,$C$2)</f>
        <v/>
      </c>
    </row>
    <row r="8">
      <c r="A8" s="3" t="inlineStr">
        <is>
          <t>Quota nuovi clienti: percorso da 6</t>
        </is>
      </c>
      <c r="B8" s="4" t="inlineStr">
        <is>
          <t>%</t>
        </is>
      </c>
      <c r="C8" s="22">
        <f>INDEX(Parametri!$D$7:$H$7,1,$C$2)</f>
        <v/>
      </c>
    </row>
    <row r="9">
      <c r="A9" s="3" t="inlineStr">
        <is>
          <t>Quota nuovi clienti: percorso da 3</t>
        </is>
      </c>
      <c r="B9" s="4" t="inlineStr">
        <is>
          <t>%</t>
        </is>
      </c>
      <c r="C9" s="22">
        <f>INDEX(Parametri!$D$8:$H$8,1,$C$2)</f>
        <v/>
      </c>
    </row>
    <row r="10">
      <c r="A10" s="3" t="inlineStr">
        <is>
          <t>Quota nuovi clienti: abbonamento</t>
        </is>
      </c>
      <c r="B10" s="4" t="inlineStr">
        <is>
          <t>%</t>
        </is>
      </c>
      <c r="C10" s="22">
        <f>INDEX(Parametri!$D$9:$H$9,1,$C$2)</f>
        <v/>
      </c>
    </row>
    <row r="11">
      <c r="A11" s="3" t="inlineStr">
        <is>
          <t>Quota nuovi clienti: flacone singolo</t>
        </is>
      </c>
      <c r="B11" s="4" t="inlineStr">
        <is>
          <t>%</t>
        </is>
      </c>
      <c r="C11" s="22">
        <f>INDEX(Parametri!$D$10:$H$10,1,$C$2)</f>
        <v/>
      </c>
    </row>
    <row r="12">
      <c r="A12" s="3" t="inlineStr">
        <is>
          <t>Percorso da 6: quota che lo completa</t>
        </is>
      </c>
      <c r="B12" s="4" t="inlineStr">
        <is>
          <t>%</t>
        </is>
      </c>
      <c r="C12" s="22">
        <f>INDEX(Parametri!$D$11:$H$11,1,$C$2)</f>
        <v/>
      </c>
    </row>
    <row r="13">
      <c r="A13" s="3" t="inlineStr">
        <is>
          <t>Percorso da 6: chi completa e chiede il rimborso</t>
        </is>
      </c>
      <c r="B13" s="4" t="inlineStr">
        <is>
          <t>%</t>
        </is>
      </c>
      <c r="C13" s="22">
        <f>INDEX(Parametri!$D$12:$H$12,1,$C$2)</f>
        <v/>
      </c>
    </row>
    <row r="14">
      <c r="A14" s="3" t="inlineStr">
        <is>
          <t>Percorso da 6: riacquisto di chi completa senza rimborso</t>
        </is>
      </c>
      <c r="B14" s="4" t="inlineStr">
        <is>
          <t>%</t>
        </is>
      </c>
      <c r="C14" s="22">
        <f>INDEX(Parametri!$D$13:$H$13,1,$C$2)</f>
        <v/>
      </c>
    </row>
    <row r="15">
      <c r="A15" s="3" t="inlineStr">
        <is>
          <t>Percorso da 6: riacquisti successivi</t>
        </is>
      </c>
      <c r="B15" s="4" t="inlineStr">
        <is>
          <t>%</t>
        </is>
      </c>
      <c r="C15" s="22">
        <f>INDEX(Parametri!$D$14:$H$14,1,$C$2)</f>
        <v/>
      </c>
    </row>
    <row r="16">
      <c r="A16" s="3" t="inlineStr">
        <is>
          <t>Percorso da 3: riacquisto a 3 mesi</t>
        </is>
      </c>
      <c r="B16" s="4" t="inlineStr">
        <is>
          <t>%</t>
        </is>
      </c>
      <c r="C16" s="22">
        <f>INDEX(Parametri!$D$15:$H$15,1,$C$2)</f>
        <v/>
      </c>
    </row>
    <row r="17">
      <c r="A17" s="3" t="inlineStr">
        <is>
          <t>Percorso da 3: riacquisti successivi</t>
        </is>
      </c>
      <c r="B17" s="4" t="inlineStr">
        <is>
          <t>%</t>
        </is>
      </c>
      <c r="C17" s="22">
        <f>INDEX(Parametri!$D$16:$H$16,1,$C$2)</f>
        <v/>
      </c>
    </row>
    <row r="18">
      <c r="A18" s="3" t="inlineStr">
        <is>
          <t>Abbonamento: rinnovo dopo il 1° invio</t>
        </is>
      </c>
      <c r="B18" s="4" t="inlineStr">
        <is>
          <t>%</t>
        </is>
      </c>
      <c r="C18" s="22">
        <f>INDEX(Parametri!$D$17:$H$17,1,$C$2)</f>
        <v/>
      </c>
    </row>
    <row r="19">
      <c r="A19" s="3" t="inlineStr">
        <is>
          <t>Abbonamento: rinnovo dopo il 2° invio</t>
        </is>
      </c>
      <c r="B19" s="4" t="inlineStr">
        <is>
          <t>%</t>
        </is>
      </c>
      <c r="C19" s="22">
        <f>INDEX(Parametri!$D$18:$H$18,1,$C$2)</f>
        <v/>
      </c>
    </row>
    <row r="20">
      <c r="A20" s="3" t="inlineStr">
        <is>
          <t>Abbonamento: rinnovo dopo il 3° invio</t>
        </is>
      </c>
      <c r="B20" s="4" t="inlineStr">
        <is>
          <t>%</t>
        </is>
      </c>
      <c r="C20" s="22">
        <f>INDEX(Parametri!$D$19:$H$19,1,$C$2)</f>
        <v/>
      </c>
    </row>
    <row r="21">
      <c r="A21" s="3" t="inlineStr">
        <is>
          <t>Abbonamento: rinnovo dopo il 4° invio</t>
        </is>
      </c>
      <c r="B21" s="4" t="inlineStr">
        <is>
          <t>%</t>
        </is>
      </c>
      <c r="C21" s="22">
        <f>INDEX(Parametri!$D$20:$H$20,1,$C$2)</f>
        <v/>
      </c>
    </row>
    <row r="22">
      <c r="A22" s="3" t="inlineStr">
        <is>
          <t>Abbonamento: rinnovo dopo il 5° invio</t>
        </is>
      </c>
      <c r="B22" s="4" t="inlineStr">
        <is>
          <t>%</t>
        </is>
      </c>
      <c r="C22" s="22">
        <f>INDEX(Parametri!$D$21:$H$21,1,$C$2)</f>
        <v/>
      </c>
    </row>
    <row r="23">
      <c r="A23" s="3" t="inlineStr">
        <is>
          <t>Abbonamento: rinnovo dal 6° invio in poi</t>
        </is>
      </c>
      <c r="B23" s="4" t="inlineStr">
        <is>
          <t>%</t>
        </is>
      </c>
      <c r="C23" s="22">
        <f>INDEX(Parametri!$D$22:$H$22,1,$C$2)</f>
        <v/>
      </c>
    </row>
    <row r="24">
      <c r="A24" s="3" t="inlineStr">
        <is>
          <t>Flacone singolo: probabilità di un nuovo acquisto</t>
        </is>
      </c>
      <c r="B24" s="4" t="inlineStr">
        <is>
          <t>%</t>
        </is>
      </c>
      <c r="C24" s="22">
        <f>INDEX(Parametri!$D$23:$H$23,1,$C$2)</f>
        <v/>
      </c>
    </row>
    <row r="25">
      <c r="A25" s="3" t="inlineStr">
        <is>
          <t>Sconto medio sul primo ordine</t>
        </is>
      </c>
      <c r="B25" s="4" t="inlineStr">
        <is>
          <t>%</t>
        </is>
      </c>
      <c r="C25" s="22">
        <f>INDEX(Parametri!$D$24:$H$24,1,$C$2)</f>
        <v/>
      </c>
    </row>
    <row r="26">
      <c r="A26" s="3" t="inlineStr">
        <is>
          <t>Clienti da canali non pagati, al mese</t>
        </is>
      </c>
      <c r="B26" s="4" t="inlineStr">
        <is>
          <t>clienti</t>
        </is>
      </c>
      <c r="C26" s="21">
        <f>INDEX(Parametri!$D$25:$H$25,1,$C$2)</f>
        <v/>
      </c>
    </row>
    <row r="27">
      <c r="A27" s="3" t="inlineStr">
        <is>
          <t>Pubblicità tranche 1 (totale)</t>
        </is>
      </c>
      <c r="B27" s="4" t="inlineStr">
        <is>
          <t>€</t>
        </is>
      </c>
      <c r="C27" s="9">
        <f>INDEX(Parametri!$D$26:$H$26,1,$C$2)</f>
        <v/>
      </c>
    </row>
    <row r="28">
      <c r="A28" s="3" t="inlineStr">
        <is>
          <t>Tranche 1: durata</t>
        </is>
      </c>
      <c r="B28" s="4" t="inlineStr">
        <is>
          <t>mesi</t>
        </is>
      </c>
      <c r="C28" s="21">
        <f>INDEX(Parametri!$D$27:$H$27,1,$C$2)</f>
        <v/>
      </c>
    </row>
    <row r="29">
      <c r="A29" s="3" t="inlineStr">
        <is>
          <t>CAC pubblicitario tranche 1</t>
        </is>
      </c>
      <c r="B29" s="4" t="inlineStr">
        <is>
          <t>€</t>
        </is>
      </c>
      <c r="C29" s="9">
        <f>INDEX(Parametri!$D$28:$H$28,1,$C$2)</f>
        <v/>
      </c>
    </row>
    <row r="30">
      <c r="A30" s="3" t="inlineStr">
        <is>
          <t>Pubblicità tranche 2 (totale)</t>
        </is>
      </c>
      <c r="B30" s="4" t="inlineStr">
        <is>
          <t>€</t>
        </is>
      </c>
      <c r="C30" s="9">
        <f>INDEX(Parametri!$D$29:$H$29,1,$C$2)</f>
        <v/>
      </c>
    </row>
    <row r="31">
      <c r="A31" s="3" t="inlineStr">
        <is>
          <t>Tranche 2: durata</t>
        </is>
      </c>
      <c r="B31" s="4" t="inlineStr">
        <is>
          <t>mesi</t>
        </is>
      </c>
      <c r="C31" s="21">
        <f>INDEX(Parametri!$D$30:$H$30,1,$C$2)</f>
        <v/>
      </c>
    </row>
    <row r="32">
      <c r="A32" s="3" t="inlineStr">
        <is>
          <t>CAC pubblicitario tranche 2</t>
        </is>
      </c>
      <c r="B32" s="4" t="inlineStr">
        <is>
          <t>€</t>
        </is>
      </c>
      <c r="C32" s="9">
        <f>INDEX(Parametri!$D$31:$H$31,1,$C$2)</f>
        <v/>
      </c>
    </row>
    <row r="33">
      <c r="A33" s="3" t="inlineStr">
        <is>
          <t>Pubblicità tranche 3 (totale)</t>
        </is>
      </c>
      <c r="B33" s="4" t="inlineStr">
        <is>
          <t>€</t>
        </is>
      </c>
      <c r="C33" s="9">
        <f>INDEX(Parametri!$D$32:$H$32,1,$C$2)</f>
        <v/>
      </c>
    </row>
    <row r="34">
      <c r="A34" s="3" t="inlineStr">
        <is>
          <t>Tranche 3: durata</t>
        </is>
      </c>
      <c r="B34" s="4" t="inlineStr">
        <is>
          <t>mesi</t>
        </is>
      </c>
      <c r="C34" s="21">
        <f>INDEX(Parametri!$D$33:$H$33,1,$C$2)</f>
        <v/>
      </c>
    </row>
    <row r="35">
      <c r="A35" s="3" t="inlineStr">
        <is>
          <t>CAC pubblicitario tranche 3 (marginale)</t>
        </is>
      </c>
      <c r="B35" s="4" t="inlineStr">
        <is>
          <t>€</t>
        </is>
      </c>
      <c r="C35" s="9">
        <f>INDEX(Parametri!$D$34:$H$34,1,$C$2)</f>
        <v/>
      </c>
    </row>
    <row r="36">
      <c r="A36" s="3" t="inlineStr">
        <is>
          <t>Pubblicità mensile dopo le tranche</t>
        </is>
      </c>
      <c r="B36" s="4" t="inlineStr">
        <is>
          <t>€/mese</t>
        </is>
      </c>
      <c r="C36" s="9">
        <f>INDEX(Parametri!$D$35:$H$35,1,$C$2)</f>
        <v/>
      </c>
    </row>
    <row r="37">
      <c r="A37" s="3" t="inlineStr">
        <is>
          <t>CAC dopo le tranche</t>
        </is>
      </c>
      <c r="B37" s="4" t="inlineStr">
        <is>
          <t>€</t>
        </is>
      </c>
      <c r="C37" s="9">
        <f>INDEX(Parametri!$D$36:$H$36,1,$C$2)</f>
        <v/>
      </c>
    </row>
    <row r="38">
      <c r="A38" s="3" t="inlineStr">
        <is>
          <t>Creatività e gestione campagne</t>
        </is>
      </c>
      <c r="B38" s="4" t="inlineStr">
        <is>
          <t>€/mese</t>
        </is>
      </c>
      <c r="C38" s="9">
        <f>INDEX(Parametri!$D$37:$H$37,1,$C$2)</f>
        <v/>
      </c>
    </row>
    <row r="39">
      <c r="A39" s="3" t="inlineStr">
        <is>
          <t>Ciclo di laboratorio aggiuntivo, mese 10</t>
        </is>
      </c>
      <c r="B39" s="4" t="inlineStr">
        <is>
          <t>€</t>
        </is>
      </c>
      <c r="C39" s="9">
        <f>INDEX(Parametri!$D$38:$H$38,1,$C$2)</f>
        <v/>
      </c>
    </row>
    <row r="40">
      <c r="A40" s="3" t="inlineStr">
        <is>
          <t>Ciclo di laboratorio aggiuntivo, mese 11</t>
        </is>
      </c>
      <c r="B40" s="4" t="inlineStr">
        <is>
          <t>€</t>
        </is>
      </c>
      <c r="C40" s="9">
        <f>INDEX(Parametri!$D$39:$H$39,1,$C$2)</f>
        <v/>
      </c>
    </row>
    <row r="41">
      <c r="A41" s="3" t="inlineStr">
        <is>
          <t>Capitale versato al mese 1</t>
        </is>
      </c>
      <c r="B41" s="4" t="inlineStr">
        <is>
          <t>€</t>
        </is>
      </c>
      <c r="C41" s="9">
        <f>INDEX(Parametri!$D$40:$H$40,1,$C$2)</f>
        <v/>
      </c>
    </row>
    <row r="42">
      <c r="A42" s="3" t="inlineStr">
        <is>
          <t>Mese della seconda tranche di capitale</t>
        </is>
      </c>
      <c r="B42" s="4" t="inlineStr">
        <is>
          <t>mese</t>
        </is>
      </c>
      <c r="C42" s="21">
        <f>INDEX(Parametri!$D$41:$H$41,1,$C$2)</f>
        <v/>
      </c>
    </row>
    <row r="43">
      <c r="A43" s="3" t="inlineStr">
        <is>
          <t>Seconda tranche di capitale</t>
        </is>
      </c>
      <c r="B43" s="4" t="inlineStr">
        <is>
          <t>€</t>
        </is>
      </c>
      <c r="C43" s="9">
        <f>INDEX(Parametri!$D$42:$H$42,1,$C$2)</f>
        <v/>
      </c>
    </row>
    <row r="44">
      <c r="A44" s="3" t="inlineStr">
        <is>
          <t>Aliquota IVA</t>
        </is>
      </c>
      <c r="B44" s="4" t="inlineStr">
        <is>
          <t>%</t>
        </is>
      </c>
      <c r="C44" s="22">
        <f>Parametri!$D$45</f>
        <v/>
      </c>
    </row>
    <row r="45">
      <c r="A45" s="3" t="inlineStr">
        <is>
          <t>Prezzo percorso da 6 flaconi</t>
        </is>
      </c>
      <c r="B45" s="4" t="inlineStr">
        <is>
          <t>€ IVA incl.</t>
        </is>
      </c>
      <c r="C45" s="21">
        <f>Parametri!$D$46</f>
        <v/>
      </c>
    </row>
    <row r="46">
      <c r="A46" s="3" t="inlineStr">
        <is>
          <t>Prezzo percorso da 3 flaconi</t>
        </is>
      </c>
      <c r="B46" s="4" t="inlineStr">
        <is>
          <t>€ IVA incl.</t>
        </is>
      </c>
      <c r="C46" s="21">
        <f>Parametri!$D$47</f>
        <v/>
      </c>
    </row>
    <row r="47">
      <c r="A47" s="3" t="inlineStr">
        <is>
          <t>Prezzo abbonamento, ogni 28 giorni</t>
        </is>
      </c>
      <c r="B47" s="4" t="inlineStr">
        <is>
          <t>€ IVA incl.</t>
        </is>
      </c>
      <c r="C47" s="21">
        <f>Parametri!$D$48</f>
        <v/>
      </c>
    </row>
    <row r="48">
      <c r="A48" s="3" t="inlineStr">
        <is>
          <t>Prezzo flacone singolo</t>
        </is>
      </c>
      <c r="B48" s="4" t="inlineStr">
        <is>
          <t>€ IVA incl.</t>
        </is>
      </c>
      <c r="C48" s="21">
        <f>Parametri!$D$49</f>
        <v/>
      </c>
    </row>
    <row r="49">
      <c r="A49" s="3" t="inlineStr">
        <is>
          <t>Flaconi: percorso da 6</t>
        </is>
      </c>
      <c r="B49" s="4" t="inlineStr">
        <is>
          <t>n</t>
        </is>
      </c>
      <c r="C49" s="21">
        <f>Parametri!$D$50</f>
        <v/>
      </c>
    </row>
    <row r="50">
      <c r="A50" s="3" t="inlineStr">
        <is>
          <t>Flaconi: percorso da 3</t>
        </is>
      </c>
      <c r="B50" s="4" t="inlineStr">
        <is>
          <t>n</t>
        </is>
      </c>
      <c r="C50" s="21">
        <f>Parametri!$D$51</f>
        <v/>
      </c>
    </row>
    <row r="51">
      <c r="A51" s="3" t="inlineStr">
        <is>
          <t>Flaconi: abbonamento</t>
        </is>
      </c>
      <c r="B51" s="4" t="inlineStr">
        <is>
          <t>n</t>
        </is>
      </c>
      <c r="C51" s="21">
        <f>Parametri!$D$52</f>
        <v/>
      </c>
    </row>
    <row r="52">
      <c r="A52" s="3" t="inlineStr">
        <is>
          <t>Flaconi: singolo</t>
        </is>
      </c>
      <c r="B52" s="4" t="inlineStr">
        <is>
          <t>n</t>
        </is>
      </c>
      <c r="C52" s="21">
        <f>Parametri!$D$53</f>
        <v/>
      </c>
    </row>
    <row r="53">
      <c r="A53" s="3" t="inlineStr">
        <is>
          <t>Corriere: 6 flaconi</t>
        </is>
      </c>
      <c r="B53" s="4" t="inlineStr">
        <is>
          <t>€</t>
        </is>
      </c>
      <c r="C53" s="21">
        <f>Parametri!$D$54</f>
        <v/>
      </c>
    </row>
    <row r="54">
      <c r="A54" s="3" t="inlineStr">
        <is>
          <t>Corriere: 3 flaconi</t>
        </is>
      </c>
      <c r="B54" s="4" t="inlineStr">
        <is>
          <t>€</t>
        </is>
      </c>
      <c r="C54" s="21">
        <f>Parametri!$D$55</f>
        <v/>
      </c>
    </row>
    <row r="55">
      <c r="A55" s="3" t="inlineStr">
        <is>
          <t>Corriere: 1 flacone (abbonamento)</t>
        </is>
      </c>
      <c r="B55" s="4" t="inlineStr">
        <is>
          <t>€</t>
        </is>
      </c>
      <c r="C55" s="21">
        <f>Parametri!$D$56</f>
        <v/>
      </c>
    </row>
    <row r="56">
      <c r="A56" s="3" t="inlineStr">
        <is>
          <t>Corriere: 1 flacone (singolo)</t>
        </is>
      </c>
      <c r="B56" s="4" t="inlineStr">
        <is>
          <t>€</t>
        </is>
      </c>
      <c r="C56" s="21">
        <f>Parametri!$D$57</f>
        <v/>
      </c>
    </row>
    <row r="57">
      <c r="A57" s="3" t="inlineStr">
        <is>
          <t>Prelievo e imballo per ordine</t>
        </is>
      </c>
      <c r="B57" s="4" t="inlineStr">
        <is>
          <t>€</t>
        </is>
      </c>
      <c r="C57" s="21">
        <f>Parametri!$D$58</f>
        <v/>
      </c>
    </row>
    <row r="58">
      <c r="A58" s="3" t="inlineStr">
        <is>
          <t>Commissione di incasso, percentuale</t>
        </is>
      </c>
      <c r="B58" s="4" t="inlineStr">
        <is>
          <t>%</t>
        </is>
      </c>
      <c r="C58" s="22">
        <f>Parametri!$D$59</f>
        <v/>
      </c>
    </row>
    <row r="59">
      <c r="A59" s="3" t="inlineStr">
        <is>
          <t>Commissione di incasso, fissa</t>
        </is>
      </c>
      <c r="B59" s="4" t="inlineStr">
        <is>
          <t>€</t>
        </is>
      </c>
      <c r="C59" s="21">
        <f>Parametri!$D$60</f>
        <v/>
      </c>
    </row>
    <row r="60">
      <c r="A60" s="3" t="inlineStr">
        <is>
          <t>Assistenza, resi ordinari, sostituzioni</t>
        </is>
      </c>
      <c r="B60" s="4" t="inlineStr">
        <is>
          <t>% ricavo netto</t>
        </is>
      </c>
      <c r="C60" s="22">
        <f>Parametri!$D$61</f>
        <v/>
      </c>
    </row>
    <row r="61">
      <c r="A61" s="3" t="inlineStr">
        <is>
          <t>Lotto di produzione</t>
        </is>
      </c>
      <c r="B61" s="4" t="inlineStr">
        <is>
          <t>flaconi</t>
        </is>
      </c>
      <c r="C61" s="21">
        <f>Parametri!$D$62</f>
        <v/>
      </c>
    </row>
    <row r="62">
      <c r="A62" s="3" t="inlineStr">
        <is>
          <t>Acconto all'ordine del lotto</t>
        </is>
      </c>
      <c r="B62" s="4" t="inlineStr">
        <is>
          <t>%</t>
        </is>
      </c>
      <c r="C62" s="22">
        <f>Parametri!$D$63</f>
        <v/>
      </c>
    </row>
    <row r="63">
      <c r="A63" s="3" t="inlineStr">
        <is>
          <t>Tempo di fornitura</t>
        </is>
      </c>
      <c r="B63" s="4" t="inlineStr">
        <is>
          <t>mesi</t>
        </is>
      </c>
      <c r="C63" s="21">
        <f>Parametri!$D$64</f>
        <v/>
      </c>
    </row>
    <row r="64">
      <c r="A64" s="3" t="inlineStr">
        <is>
          <t>Scorta di sicurezza</t>
        </is>
      </c>
      <c r="B64" s="4" t="inlineStr">
        <is>
          <t>mesi di consumo</t>
        </is>
      </c>
      <c r="C64" s="21">
        <f>Parametri!$D$65</f>
        <v/>
      </c>
    </row>
    <row r="65">
      <c r="A65" s="3" t="inlineStr">
        <is>
          <t>Scarto di produzione</t>
        </is>
      </c>
      <c r="B65" s="4" t="inlineStr">
        <is>
          <t>%</t>
        </is>
      </c>
      <c r="C65" s="22">
        <f>Parametri!$D$66</f>
        <v/>
      </c>
    </row>
    <row r="66">
      <c r="A66" s="3" t="inlineStr">
        <is>
          <t>Flaconi trattenuti per lotto (analisi e campioni di riserva)</t>
        </is>
      </c>
      <c r="B66" s="4" t="inlineStr">
        <is>
          <t>flaconi</t>
        </is>
      </c>
      <c r="C66" s="21">
        <f>Parametri!$D$67</f>
        <v/>
      </c>
    </row>
    <row r="67">
      <c r="A67" s="3" t="inlineStr">
        <is>
          <t>Campioni al lancio</t>
        </is>
      </c>
      <c r="B67" s="4" t="inlineStr">
        <is>
          <t>flaconi</t>
        </is>
      </c>
      <c r="C67" s="21">
        <f>Parametri!$D$68</f>
        <v/>
      </c>
    </row>
    <row r="68">
      <c r="A68" s="3" t="inlineStr">
        <is>
          <t>Campioni al mese dopo il lancio</t>
        </is>
      </c>
      <c r="B68" s="4" t="inlineStr">
        <is>
          <t>flaconi</t>
        </is>
      </c>
      <c r="C68" s="21">
        <f>Parametri!$D$69</f>
        <v/>
      </c>
    </row>
    <row r="69">
      <c r="A69" s="3" t="inlineStr">
        <is>
          <t>Sostituzioni fisiche</t>
        </is>
      </c>
      <c r="B69" s="4" t="inlineStr">
        <is>
          <t>% flaconi spediti</t>
        </is>
      </c>
      <c r="C69" s="22">
        <f>Parametri!$D$70</f>
        <v/>
      </c>
    </row>
    <row r="70">
      <c r="A70" s="3" t="inlineStr">
        <is>
          <t>Intervallo abbonamento</t>
        </is>
      </c>
      <c r="B70" s="4" t="inlineStr">
        <is>
          <t>giorni</t>
        </is>
      </c>
      <c r="C70" s="21">
        <f>Parametri!$D$71</f>
        <v/>
      </c>
    </row>
    <row r="71">
      <c r="A71" s="3" t="inlineStr">
        <is>
          <t>Durata di un flacone</t>
        </is>
      </c>
      <c r="B71" s="4" t="inlineStr">
        <is>
          <t>giorni</t>
        </is>
      </c>
      <c r="C71" s="21">
        <f>Parametri!$D$72</f>
        <v/>
      </c>
    </row>
    <row r="72">
      <c r="A72" s="3" t="inlineStr">
        <is>
          <t>Giorni per mese</t>
        </is>
      </c>
      <c r="B72" s="4" t="inlineStr">
        <is>
          <t>giorni</t>
        </is>
      </c>
      <c r="C72" s="21">
        <f>Parametri!$D$73</f>
        <v/>
      </c>
    </row>
    <row r="74">
      <c r="A74" s="10" t="inlineStr">
        <is>
          <t>Economia per ordine (colonne C-F ordini successivi, H-K primo ordine con sconto)</t>
        </is>
      </c>
    </row>
    <row r="75">
      <c r="C75" s="2" t="inlineStr">
        <is>
          <t>Percorso 6</t>
        </is>
      </c>
      <c r="D75" s="2" t="inlineStr">
        <is>
          <t>Percorso 3</t>
        </is>
      </c>
      <c r="E75" s="2" t="inlineStr">
        <is>
          <t>Abbonamento</t>
        </is>
      </c>
      <c r="F75" s="2" t="inlineStr">
        <is>
          <t>Singolo</t>
        </is>
      </c>
      <c r="H75" s="2" t="inlineStr">
        <is>
          <t>Percorso 6, 1° ord.</t>
        </is>
      </c>
      <c r="I75" s="2" t="inlineStr">
        <is>
          <t>Percorso 3, 1° ord.</t>
        </is>
      </c>
      <c r="J75" s="2" t="inlineStr">
        <is>
          <t>Abbonamento, 1° ord.</t>
        </is>
      </c>
      <c r="K75" s="2" t="inlineStr">
        <is>
          <t>Singolo, 1° ord.</t>
        </is>
      </c>
    </row>
    <row r="76">
      <c r="A76" s="3" t="inlineStr">
        <is>
          <t>Prezzo pagato (IVA incl.)</t>
        </is>
      </c>
      <c r="B76" s="4" t="inlineStr">
        <is>
          <t>€</t>
        </is>
      </c>
      <c r="C76" s="13">
        <f>$C$45*(1-0)</f>
        <v/>
      </c>
      <c r="D76" s="13">
        <f>$C$46*(1-0)</f>
        <v/>
      </c>
      <c r="E76" s="13">
        <f>$C$47*(1-0)</f>
        <v/>
      </c>
      <c r="F76" s="13">
        <f>$C$48*(1-0)</f>
        <v/>
      </c>
      <c r="H76" s="13">
        <f>$C$45*(1-$C$25)</f>
        <v/>
      </c>
      <c r="I76" s="13">
        <f>$C$46*(1-$C$25)</f>
        <v/>
      </c>
      <c r="J76" s="13">
        <f>$C$47*(1-$C$25)</f>
        <v/>
      </c>
      <c r="K76" s="13">
        <f>$C$48*(1-$C$25)</f>
        <v/>
      </c>
    </row>
    <row r="77">
      <c r="A77" s="3" t="inlineStr">
        <is>
          <t>Ricavo netto IVA</t>
        </is>
      </c>
      <c r="B77" s="4" t="inlineStr">
        <is>
          <t>€</t>
        </is>
      </c>
      <c r="C77" s="13">
        <f>C76/(1+$C$44)</f>
        <v/>
      </c>
      <c r="D77" s="13">
        <f>D76/(1+$C$44)</f>
        <v/>
      </c>
      <c r="E77" s="13">
        <f>E76/(1+$C$44)</f>
        <v/>
      </c>
      <c r="F77" s="13">
        <f>F76/(1+$C$44)</f>
        <v/>
      </c>
      <c r="H77" s="13">
        <f>H76/(1+$C$44)</f>
        <v/>
      </c>
      <c r="I77" s="13">
        <f>I76/(1+$C$44)</f>
        <v/>
      </c>
      <c r="J77" s="13">
        <f>J76/(1+$C$44)</f>
        <v/>
      </c>
      <c r="K77" s="13">
        <f>K76/(1+$C$44)</f>
        <v/>
      </c>
    </row>
    <row r="78">
      <c r="A78" s="3" t="inlineStr">
        <is>
          <t>Costo del prodotto</t>
        </is>
      </c>
      <c r="B78" s="4" t="inlineStr">
        <is>
          <t>€</t>
        </is>
      </c>
      <c r="C78" s="13">
        <f>$C$7*$C$49</f>
        <v/>
      </c>
      <c r="D78" s="13">
        <f>$C$7*$C$50</f>
        <v/>
      </c>
      <c r="E78" s="13">
        <f>$C$7*$C$51</f>
        <v/>
      </c>
      <c r="F78" s="13">
        <f>$C$7*$C$52</f>
        <v/>
      </c>
      <c r="H78" s="13">
        <f>$C$7*$C$49</f>
        <v/>
      </c>
      <c r="I78" s="13">
        <f>$C$7*$C$50</f>
        <v/>
      </c>
      <c r="J78" s="13">
        <f>$C$7*$C$51</f>
        <v/>
      </c>
      <c r="K78" s="13">
        <f>$C$7*$C$52</f>
        <v/>
      </c>
    </row>
    <row r="79">
      <c r="A79" s="3" t="inlineStr">
        <is>
          <t>Logistica</t>
        </is>
      </c>
      <c r="B79" s="4" t="inlineStr">
        <is>
          <t>€</t>
        </is>
      </c>
      <c r="C79" s="13">
        <f>$C$57+$C$53</f>
        <v/>
      </c>
      <c r="D79" s="13">
        <f>$C$57+$C$54</f>
        <v/>
      </c>
      <c r="E79" s="13">
        <f>$C$57+$C$55</f>
        <v/>
      </c>
      <c r="F79" s="13">
        <f>$C$57+$C$56</f>
        <v/>
      </c>
      <c r="H79" s="13">
        <f>$C$57+$C$53</f>
        <v/>
      </c>
      <c r="I79" s="13">
        <f>$C$57+$C$54</f>
        <v/>
      </c>
      <c r="J79" s="13">
        <f>$C$57+$C$55</f>
        <v/>
      </c>
      <c r="K79" s="13">
        <f>$C$57+$C$56</f>
        <v/>
      </c>
    </row>
    <row r="80">
      <c r="A80" s="3" t="inlineStr">
        <is>
          <t>Commissione di incasso</t>
        </is>
      </c>
      <c r="B80" s="4" t="inlineStr">
        <is>
          <t>€</t>
        </is>
      </c>
      <c r="C80" s="13">
        <f>C76*$C$58+$C$59</f>
        <v/>
      </c>
      <c r="D80" s="13">
        <f>D76*$C$58+$C$59</f>
        <v/>
      </c>
      <c r="E80" s="13">
        <f>E76*$C$58+$C$59</f>
        <v/>
      </c>
      <c r="F80" s="13">
        <f>F76*$C$58+$C$59</f>
        <v/>
      </c>
      <c r="H80" s="13">
        <f>H76*$C$58+$C$59</f>
        <v/>
      </c>
      <c r="I80" s="13">
        <f>I76*$C$58+$C$59</f>
        <v/>
      </c>
      <c r="J80" s="13">
        <f>J76*$C$58+$C$59</f>
        <v/>
      </c>
      <c r="K80" s="13">
        <f>K76*$C$58+$C$59</f>
        <v/>
      </c>
    </row>
    <row r="81">
      <c r="A81" s="3" t="inlineStr">
        <is>
          <t>Assistenza e resi ordinari</t>
        </is>
      </c>
      <c r="B81" s="4" t="inlineStr">
        <is>
          <t>€</t>
        </is>
      </c>
      <c r="C81" s="13">
        <f>C77*$C$60</f>
        <v/>
      </c>
      <c r="D81" s="13">
        <f>D77*$C$60</f>
        <v/>
      </c>
      <c r="E81" s="13">
        <f>E77*$C$60</f>
        <v/>
      </c>
      <c r="F81" s="13">
        <f>F77*$C$60</f>
        <v/>
      </c>
      <c r="H81" s="13">
        <f>H77*$C$60</f>
        <v/>
      </c>
      <c r="I81" s="13">
        <f>I77*$C$60</f>
        <v/>
      </c>
      <c r="J81" s="13">
        <f>J77*$C$60</f>
        <v/>
      </c>
      <c r="K81" s="13">
        <f>K77*$C$60</f>
        <v/>
      </c>
    </row>
    <row r="82">
      <c r="A82" s="3" t="inlineStr">
        <is>
          <t>Contribuzione per ordine</t>
        </is>
      </c>
      <c r="B82" s="4" t="inlineStr">
        <is>
          <t>€</t>
        </is>
      </c>
      <c r="C82" s="13">
        <f>C77-C78-C79-C80-C81</f>
        <v/>
      </c>
      <c r="D82" s="13">
        <f>D77-D78-D79-D80-D81</f>
        <v/>
      </c>
      <c r="E82" s="13">
        <f>E77-E78-E79-E80-E81</f>
        <v/>
      </c>
      <c r="F82" s="13">
        <f>F77-F78-F79-F80-F81</f>
        <v/>
      </c>
      <c r="H82" s="13">
        <f>H77-H78-H79-H80-H81</f>
        <v/>
      </c>
      <c r="I82" s="13">
        <f>I77-I78-I79-I80-I81</f>
        <v/>
      </c>
      <c r="J82" s="13">
        <f>J77-J78-J79-J80-J81</f>
        <v/>
      </c>
      <c r="K82" s="13">
        <f>K77-K78-K79-K80-K81</f>
        <v/>
      </c>
    </row>
    <row r="84">
      <c r="A84" s="10" t="inlineStr">
        <is>
          <t>Sequenza degli invii: abbonamento e flacone singolo (colonna = invio k)</t>
        </is>
      </c>
    </row>
    <row r="85">
      <c r="A85" s="3" t="inlineStr">
        <is>
          <t>Invio k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  <c r="J85" t="n">
        <v>8</v>
      </c>
      <c r="K85" t="n">
        <v>9</v>
      </c>
      <c r="L85" t="n">
        <v>10</v>
      </c>
      <c r="M85" t="n">
        <v>11</v>
      </c>
      <c r="N85" t="n">
        <v>12</v>
      </c>
      <c r="O85" t="n">
        <v>13</v>
      </c>
      <c r="P85" t="n">
        <v>14</v>
      </c>
      <c r="Q85" t="n">
        <v>15</v>
      </c>
      <c r="R85" t="n">
        <v>16</v>
      </c>
      <c r="S85" t="n">
        <v>17</v>
      </c>
      <c r="T85" t="n">
        <v>18</v>
      </c>
      <c r="U85" t="n">
        <v>19</v>
      </c>
      <c r="V85" t="n">
        <v>20</v>
      </c>
      <c r="W85" t="n">
        <v>21</v>
      </c>
      <c r="X85" t="n">
        <v>22</v>
      </c>
      <c r="Y85" t="n">
        <v>23</v>
      </c>
      <c r="Z85" t="n">
        <v>24</v>
      </c>
      <c r="AA85" t="n">
        <v>25</v>
      </c>
      <c r="AB85" t="n">
        <v>26</v>
      </c>
      <c r="AC85" t="n">
        <v>27</v>
      </c>
      <c r="AD85" t="n">
        <v>28</v>
      </c>
      <c r="AE85" t="n">
        <v>29</v>
      </c>
      <c r="AF85" t="n">
        <v>30</v>
      </c>
      <c r="AG85" t="n">
        <v>31</v>
      </c>
      <c r="AH85" t="n">
        <v>32</v>
      </c>
      <c r="AI85" t="n">
        <v>33</v>
      </c>
      <c r="AJ85" t="n">
        <v>34</v>
      </c>
      <c r="AK85" t="n">
        <v>35</v>
      </c>
      <c r="AL85" t="n">
        <v>36</v>
      </c>
      <c r="AM85" t="n">
        <v>37</v>
      </c>
      <c r="AN85" t="n">
        <v>38</v>
      </c>
      <c r="AO85" t="n">
        <v>39</v>
      </c>
      <c r="AP85" t="n">
        <v>40</v>
      </c>
      <c r="AQ85" t="n">
        <v>41</v>
      </c>
      <c r="AR85" t="n">
        <v>42</v>
      </c>
      <c r="AS85" t="n">
        <v>43</v>
      </c>
      <c r="AT85" t="n">
        <v>44</v>
      </c>
      <c r="AU85" t="n">
        <v>45</v>
      </c>
    </row>
    <row r="86">
      <c r="A86" s="3" t="inlineStr">
        <is>
          <t>Abbonamento: mese di età dell'invio</t>
        </is>
      </c>
      <c r="C86">
        <f>INT($C$70*(C85-1)/$C$72+0.5)</f>
        <v/>
      </c>
      <c r="D86">
        <f>INT($C$70*(D85-1)/$C$72+0.5)</f>
        <v/>
      </c>
      <c r="E86">
        <f>INT($C$70*(E85-1)/$C$72+0.5)</f>
        <v/>
      </c>
      <c r="F86">
        <f>INT($C$70*(F85-1)/$C$72+0.5)</f>
        <v/>
      </c>
      <c r="G86">
        <f>INT($C$70*(G85-1)/$C$72+0.5)</f>
        <v/>
      </c>
      <c r="H86">
        <f>INT($C$70*(H85-1)/$C$72+0.5)</f>
        <v/>
      </c>
      <c r="I86">
        <f>INT($C$70*(I85-1)/$C$72+0.5)</f>
        <v/>
      </c>
      <c r="J86">
        <f>INT($C$70*(J85-1)/$C$72+0.5)</f>
        <v/>
      </c>
      <c r="K86">
        <f>INT($C$70*(K85-1)/$C$72+0.5)</f>
        <v/>
      </c>
      <c r="L86">
        <f>INT($C$70*(L85-1)/$C$72+0.5)</f>
        <v/>
      </c>
      <c r="M86">
        <f>INT($C$70*(M85-1)/$C$72+0.5)</f>
        <v/>
      </c>
      <c r="N86">
        <f>INT($C$70*(N85-1)/$C$72+0.5)</f>
        <v/>
      </c>
      <c r="O86">
        <f>INT($C$70*(O85-1)/$C$72+0.5)</f>
        <v/>
      </c>
      <c r="P86">
        <f>INT($C$70*(P85-1)/$C$72+0.5)</f>
        <v/>
      </c>
      <c r="Q86">
        <f>INT($C$70*(Q85-1)/$C$72+0.5)</f>
        <v/>
      </c>
      <c r="R86">
        <f>INT($C$70*(R85-1)/$C$72+0.5)</f>
        <v/>
      </c>
      <c r="S86">
        <f>INT($C$70*(S85-1)/$C$72+0.5)</f>
        <v/>
      </c>
      <c r="T86">
        <f>INT($C$70*(T85-1)/$C$72+0.5)</f>
        <v/>
      </c>
      <c r="U86">
        <f>INT($C$70*(U85-1)/$C$72+0.5)</f>
        <v/>
      </c>
      <c r="V86">
        <f>INT($C$70*(V85-1)/$C$72+0.5)</f>
        <v/>
      </c>
      <c r="W86">
        <f>INT($C$70*(W85-1)/$C$72+0.5)</f>
        <v/>
      </c>
      <c r="X86">
        <f>INT($C$70*(X85-1)/$C$72+0.5)</f>
        <v/>
      </c>
      <c r="Y86">
        <f>INT($C$70*(Y85-1)/$C$72+0.5)</f>
        <v/>
      </c>
      <c r="Z86">
        <f>INT($C$70*(Z85-1)/$C$72+0.5)</f>
        <v/>
      </c>
      <c r="AA86">
        <f>INT($C$70*(AA85-1)/$C$72+0.5)</f>
        <v/>
      </c>
      <c r="AB86">
        <f>INT($C$70*(AB85-1)/$C$72+0.5)</f>
        <v/>
      </c>
      <c r="AC86">
        <f>INT($C$70*(AC85-1)/$C$72+0.5)</f>
        <v/>
      </c>
      <c r="AD86">
        <f>INT($C$70*(AD85-1)/$C$72+0.5)</f>
        <v/>
      </c>
      <c r="AE86">
        <f>INT($C$70*(AE85-1)/$C$72+0.5)</f>
        <v/>
      </c>
      <c r="AF86">
        <f>INT($C$70*(AF85-1)/$C$72+0.5)</f>
        <v/>
      </c>
      <c r="AG86">
        <f>INT($C$70*(AG85-1)/$C$72+0.5)</f>
        <v/>
      </c>
      <c r="AH86">
        <f>INT($C$70*(AH85-1)/$C$72+0.5)</f>
        <v/>
      </c>
      <c r="AI86">
        <f>INT($C$70*(AI85-1)/$C$72+0.5)</f>
        <v/>
      </c>
      <c r="AJ86">
        <f>INT($C$70*(AJ85-1)/$C$72+0.5)</f>
        <v/>
      </c>
      <c r="AK86">
        <f>INT($C$70*(AK85-1)/$C$72+0.5)</f>
        <v/>
      </c>
      <c r="AL86">
        <f>INT($C$70*(AL85-1)/$C$72+0.5)</f>
        <v/>
      </c>
      <c r="AM86">
        <f>INT($C$70*(AM85-1)/$C$72+0.5)</f>
        <v/>
      </c>
      <c r="AN86">
        <f>INT($C$70*(AN85-1)/$C$72+0.5)</f>
        <v/>
      </c>
      <c r="AO86">
        <f>INT($C$70*(AO85-1)/$C$72+0.5)</f>
        <v/>
      </c>
      <c r="AP86">
        <f>INT($C$70*(AP85-1)/$C$72+0.5)</f>
        <v/>
      </c>
      <c r="AQ86">
        <f>INT($C$70*(AQ85-1)/$C$72+0.5)</f>
        <v/>
      </c>
      <c r="AR86">
        <f>INT($C$70*(AR85-1)/$C$72+0.5)</f>
        <v/>
      </c>
      <c r="AS86">
        <f>INT($C$70*(AS85-1)/$C$72+0.5)</f>
        <v/>
      </c>
      <c r="AT86">
        <f>INT($C$70*(AT85-1)/$C$72+0.5)</f>
        <v/>
      </c>
      <c r="AU86">
        <f>INT($C$70*(AU85-1)/$C$72+0.5)</f>
        <v/>
      </c>
    </row>
    <row r="87">
      <c r="A87" s="3" t="inlineStr">
        <is>
          <t>Abbonamento: clienti ancora attivi</t>
        </is>
      </c>
      <c r="C87" s="23" t="n">
        <v>1</v>
      </c>
      <c r="D87" s="23">
        <f>C87*$C$18</f>
        <v/>
      </c>
      <c r="E87" s="23">
        <f>D87*$C$19</f>
        <v/>
      </c>
      <c r="F87" s="23">
        <f>E87*$C$20</f>
        <v/>
      </c>
      <c r="G87" s="23">
        <f>F87*$C$21</f>
        <v/>
      </c>
      <c r="H87" s="23">
        <f>G87*$C$22</f>
        <v/>
      </c>
      <c r="I87" s="23">
        <f>H87*$C$23</f>
        <v/>
      </c>
      <c r="J87" s="23">
        <f>I87*$C$23</f>
        <v/>
      </c>
      <c r="K87" s="23">
        <f>J87*$C$23</f>
        <v/>
      </c>
      <c r="L87" s="23">
        <f>K87*$C$23</f>
        <v/>
      </c>
      <c r="M87" s="23">
        <f>L87*$C$23</f>
        <v/>
      </c>
      <c r="N87" s="23">
        <f>M87*$C$23</f>
        <v/>
      </c>
      <c r="O87" s="23">
        <f>N87*$C$23</f>
        <v/>
      </c>
      <c r="P87" s="23">
        <f>O87*$C$23</f>
        <v/>
      </c>
      <c r="Q87" s="23">
        <f>P87*$C$23</f>
        <v/>
      </c>
      <c r="R87" s="23">
        <f>Q87*$C$23</f>
        <v/>
      </c>
      <c r="S87" s="23">
        <f>R87*$C$23</f>
        <v/>
      </c>
      <c r="T87" s="23">
        <f>S87*$C$23</f>
        <v/>
      </c>
      <c r="U87" s="23">
        <f>T87*$C$23</f>
        <v/>
      </c>
      <c r="V87" s="23">
        <f>U87*$C$23</f>
        <v/>
      </c>
      <c r="W87" s="23">
        <f>V87*$C$23</f>
        <v/>
      </c>
      <c r="X87" s="23">
        <f>W87*$C$23</f>
        <v/>
      </c>
      <c r="Y87" s="23">
        <f>X87*$C$23</f>
        <v/>
      </c>
      <c r="Z87" s="23">
        <f>Y87*$C$23</f>
        <v/>
      </c>
      <c r="AA87" s="23">
        <f>Z87*$C$23</f>
        <v/>
      </c>
      <c r="AB87" s="23">
        <f>AA87*$C$23</f>
        <v/>
      </c>
      <c r="AC87" s="23">
        <f>AB87*$C$23</f>
        <v/>
      </c>
      <c r="AD87" s="23">
        <f>AC87*$C$23</f>
        <v/>
      </c>
      <c r="AE87" s="23">
        <f>AD87*$C$23</f>
        <v/>
      </c>
      <c r="AF87" s="23">
        <f>AE87*$C$23</f>
        <v/>
      </c>
      <c r="AG87" s="23">
        <f>AF87*$C$23</f>
        <v/>
      </c>
      <c r="AH87" s="23">
        <f>AG87*$C$23</f>
        <v/>
      </c>
      <c r="AI87" s="23">
        <f>AH87*$C$23</f>
        <v/>
      </c>
      <c r="AJ87" s="23">
        <f>AI87*$C$23</f>
        <v/>
      </c>
      <c r="AK87" s="23">
        <f>AJ87*$C$23</f>
        <v/>
      </c>
      <c r="AL87" s="23">
        <f>AK87*$C$23</f>
        <v/>
      </c>
      <c r="AM87" s="23">
        <f>AL87*$C$23</f>
        <v/>
      </c>
      <c r="AN87" s="23">
        <f>AM87*$C$23</f>
        <v/>
      </c>
      <c r="AO87" s="23">
        <f>AN87*$C$23</f>
        <v/>
      </c>
      <c r="AP87" s="23">
        <f>AO87*$C$23</f>
        <v/>
      </c>
      <c r="AQ87" s="23">
        <f>AP87*$C$23</f>
        <v/>
      </c>
      <c r="AR87" s="23">
        <f>AQ87*$C$23</f>
        <v/>
      </c>
      <c r="AS87" s="23">
        <f>AR87*$C$23</f>
        <v/>
      </c>
      <c r="AT87" s="23">
        <f>AS87*$C$23</f>
        <v/>
      </c>
      <c r="AU87" s="23">
        <f>AT87*$C$23</f>
        <v/>
      </c>
    </row>
    <row r="88">
      <c r="A88" s="3" t="inlineStr">
        <is>
          <t>Singolo: mese di età dell'acquisto</t>
        </is>
      </c>
      <c r="C88">
        <f>INT($C$71*(C85-1)/$C$72+0.5)</f>
        <v/>
      </c>
      <c r="D88">
        <f>INT($C$71*(D85-1)/$C$72+0.5)</f>
        <v/>
      </c>
      <c r="E88">
        <f>INT($C$71*(E85-1)/$C$72+0.5)</f>
        <v/>
      </c>
      <c r="F88">
        <f>INT($C$71*(F85-1)/$C$72+0.5)</f>
        <v/>
      </c>
      <c r="G88">
        <f>INT($C$71*(G85-1)/$C$72+0.5)</f>
        <v/>
      </c>
      <c r="H88">
        <f>INT($C$71*(H85-1)/$C$72+0.5)</f>
        <v/>
      </c>
      <c r="I88">
        <f>INT($C$71*(I85-1)/$C$72+0.5)</f>
        <v/>
      </c>
      <c r="J88">
        <f>INT($C$71*(J85-1)/$C$72+0.5)</f>
        <v/>
      </c>
      <c r="K88">
        <f>INT($C$71*(K85-1)/$C$72+0.5)</f>
        <v/>
      </c>
      <c r="L88">
        <f>INT($C$71*(L85-1)/$C$72+0.5)</f>
        <v/>
      </c>
      <c r="M88">
        <f>INT($C$71*(M85-1)/$C$72+0.5)</f>
        <v/>
      </c>
      <c r="N88">
        <f>INT($C$71*(N85-1)/$C$72+0.5)</f>
        <v/>
      </c>
      <c r="O88">
        <f>INT($C$71*(O85-1)/$C$72+0.5)</f>
        <v/>
      </c>
      <c r="P88">
        <f>INT($C$71*(P85-1)/$C$72+0.5)</f>
        <v/>
      </c>
      <c r="Q88">
        <f>INT($C$71*(Q85-1)/$C$72+0.5)</f>
        <v/>
      </c>
      <c r="R88">
        <f>INT($C$71*(R85-1)/$C$72+0.5)</f>
        <v/>
      </c>
      <c r="S88">
        <f>INT($C$71*(S85-1)/$C$72+0.5)</f>
        <v/>
      </c>
      <c r="T88">
        <f>INT($C$71*(T85-1)/$C$72+0.5)</f>
        <v/>
      </c>
      <c r="U88">
        <f>INT($C$71*(U85-1)/$C$72+0.5)</f>
        <v/>
      </c>
      <c r="V88">
        <f>INT($C$71*(V85-1)/$C$72+0.5)</f>
        <v/>
      </c>
      <c r="W88">
        <f>INT($C$71*(W85-1)/$C$72+0.5)</f>
        <v/>
      </c>
      <c r="X88">
        <f>INT($C$71*(X85-1)/$C$72+0.5)</f>
        <v/>
      </c>
      <c r="Y88">
        <f>INT($C$71*(Y85-1)/$C$72+0.5)</f>
        <v/>
      </c>
      <c r="Z88">
        <f>INT($C$71*(Z85-1)/$C$72+0.5)</f>
        <v/>
      </c>
      <c r="AA88">
        <f>INT($C$71*(AA85-1)/$C$72+0.5)</f>
        <v/>
      </c>
      <c r="AB88">
        <f>INT($C$71*(AB85-1)/$C$72+0.5)</f>
        <v/>
      </c>
      <c r="AC88">
        <f>INT($C$71*(AC85-1)/$C$72+0.5)</f>
        <v/>
      </c>
      <c r="AD88">
        <f>INT($C$71*(AD85-1)/$C$72+0.5)</f>
        <v/>
      </c>
      <c r="AE88">
        <f>INT($C$71*(AE85-1)/$C$72+0.5)</f>
        <v/>
      </c>
      <c r="AF88">
        <f>INT($C$71*(AF85-1)/$C$72+0.5)</f>
        <v/>
      </c>
      <c r="AG88">
        <f>INT($C$71*(AG85-1)/$C$72+0.5)</f>
        <v/>
      </c>
      <c r="AH88">
        <f>INT($C$71*(AH85-1)/$C$72+0.5)</f>
        <v/>
      </c>
      <c r="AI88">
        <f>INT($C$71*(AI85-1)/$C$72+0.5)</f>
        <v/>
      </c>
      <c r="AJ88">
        <f>INT($C$71*(AJ85-1)/$C$72+0.5)</f>
        <v/>
      </c>
      <c r="AK88">
        <f>INT($C$71*(AK85-1)/$C$72+0.5)</f>
        <v/>
      </c>
      <c r="AL88">
        <f>INT($C$71*(AL85-1)/$C$72+0.5)</f>
        <v/>
      </c>
      <c r="AM88">
        <f>INT($C$71*(AM85-1)/$C$72+0.5)</f>
        <v/>
      </c>
      <c r="AN88">
        <f>INT($C$71*(AN85-1)/$C$72+0.5)</f>
        <v/>
      </c>
      <c r="AO88">
        <f>INT($C$71*(AO85-1)/$C$72+0.5)</f>
        <v/>
      </c>
      <c r="AP88">
        <f>INT($C$71*(AP85-1)/$C$72+0.5)</f>
        <v/>
      </c>
      <c r="AQ88">
        <f>INT($C$71*(AQ85-1)/$C$72+0.5)</f>
        <v/>
      </c>
      <c r="AR88">
        <f>INT($C$71*(AR85-1)/$C$72+0.5)</f>
        <v/>
      </c>
      <c r="AS88">
        <f>INT($C$71*(AS85-1)/$C$72+0.5)</f>
        <v/>
      </c>
      <c r="AT88">
        <f>INT($C$71*(AT85-1)/$C$72+0.5)</f>
        <v/>
      </c>
      <c r="AU88">
        <f>INT($C$71*(AU85-1)/$C$72+0.5)</f>
        <v/>
      </c>
    </row>
    <row r="89">
      <c r="A89" s="3" t="inlineStr">
        <is>
          <t>Singolo: probabilità dell'acquisto</t>
        </is>
      </c>
      <c r="C89" s="23" t="n">
        <v>1</v>
      </c>
      <c r="D89" s="23">
        <f>C89*$C$24</f>
        <v/>
      </c>
      <c r="E89" s="23">
        <f>D89*$C$24</f>
        <v/>
      </c>
      <c r="F89" s="23">
        <f>E89*$C$24</f>
        <v/>
      </c>
      <c r="G89" s="23">
        <f>F89*$C$24</f>
        <v/>
      </c>
      <c r="H89" s="23">
        <f>G89*$C$24</f>
        <v/>
      </c>
      <c r="I89" s="23">
        <f>H89*$C$24</f>
        <v/>
      </c>
      <c r="J89" s="23">
        <f>I89*$C$24</f>
        <v/>
      </c>
      <c r="K89" s="23">
        <f>J89*$C$24</f>
        <v/>
      </c>
      <c r="L89" s="23">
        <f>K89*$C$24</f>
        <v/>
      </c>
      <c r="M89" s="23">
        <f>L89*$C$24</f>
        <v/>
      </c>
      <c r="N89" s="23">
        <f>M89*$C$24</f>
        <v/>
      </c>
      <c r="O89" s="23">
        <f>N89*$C$24</f>
        <v/>
      </c>
      <c r="P89" s="23">
        <f>O89*$C$24</f>
        <v/>
      </c>
      <c r="Q89" s="23">
        <f>P89*$C$24</f>
        <v/>
      </c>
      <c r="R89" s="23">
        <f>Q89*$C$24</f>
        <v/>
      </c>
      <c r="S89" s="23">
        <f>R89*$C$24</f>
        <v/>
      </c>
      <c r="T89" s="23">
        <f>S89*$C$24</f>
        <v/>
      </c>
      <c r="U89" s="23">
        <f>T89*$C$24</f>
        <v/>
      </c>
      <c r="V89" s="23">
        <f>U89*$C$24</f>
        <v/>
      </c>
      <c r="W89" s="23">
        <f>V89*$C$24</f>
        <v/>
      </c>
      <c r="X89" s="23">
        <f>W89*$C$24</f>
        <v/>
      </c>
      <c r="Y89" s="23">
        <f>X89*$C$24</f>
        <v/>
      </c>
      <c r="Z89" s="23">
        <f>Y89*$C$24</f>
        <v/>
      </c>
      <c r="AA89" s="23">
        <f>Z89*$C$24</f>
        <v/>
      </c>
      <c r="AB89" s="23">
        <f>AA89*$C$24</f>
        <v/>
      </c>
      <c r="AC89" s="23">
        <f>AB89*$C$24</f>
        <v/>
      </c>
      <c r="AD89" s="23">
        <f>AC89*$C$24</f>
        <v/>
      </c>
      <c r="AE89" s="23">
        <f>AD89*$C$24</f>
        <v/>
      </c>
      <c r="AF89" s="23">
        <f>AE89*$C$24</f>
        <v/>
      </c>
      <c r="AG89" s="23">
        <f>AF89*$C$24</f>
        <v/>
      </c>
      <c r="AH89" s="23">
        <f>AG89*$C$24</f>
        <v/>
      </c>
      <c r="AI89" s="23">
        <f>AH89*$C$24</f>
        <v/>
      </c>
      <c r="AJ89" s="23">
        <f>AI89*$C$24</f>
        <v/>
      </c>
      <c r="AK89" s="23">
        <f>AJ89*$C$24</f>
        <v/>
      </c>
      <c r="AL89" s="23">
        <f>AK89*$C$24</f>
        <v/>
      </c>
      <c r="AM89" s="23">
        <f>AL89*$C$24</f>
        <v/>
      </c>
      <c r="AN89" s="23">
        <f>AM89*$C$24</f>
        <v/>
      </c>
      <c r="AO89" s="23">
        <f>AN89*$C$24</f>
        <v/>
      </c>
      <c r="AP89" s="23">
        <f>AO89*$C$24</f>
        <v/>
      </c>
      <c r="AQ89" s="23">
        <f>AP89*$C$24</f>
        <v/>
      </c>
      <c r="AR89" s="23">
        <f>AQ89*$C$24</f>
        <v/>
      </c>
      <c r="AS89" s="23">
        <f>AR89*$C$24</f>
        <v/>
      </c>
      <c r="AT89" s="23">
        <f>AS89*$C$24</f>
        <v/>
      </c>
      <c r="AU89" s="23">
        <f>AT89*$C$24</f>
        <v/>
      </c>
    </row>
    <row r="91">
      <c r="A91" s="10" t="inlineStr">
        <is>
          <t>Ordini e rimborsi per cliente iniziale, per mese di età (0 = mese dell'acquisto)</t>
        </is>
      </c>
    </row>
    <row r="92">
      <c r="A92" s="3" t="inlineStr">
        <is>
          <t>Età (mesi)</t>
        </is>
      </c>
      <c r="C92" t="n">
        <v>0</v>
      </c>
      <c r="D92" t="n">
        <v>1</v>
      </c>
      <c r="E92" t="n">
        <v>2</v>
      </c>
      <c r="F92" t="n">
        <v>3</v>
      </c>
      <c r="G92" t="n">
        <v>4</v>
      </c>
      <c r="H92" t="n">
        <v>5</v>
      </c>
      <c r="I92" t="n">
        <v>6</v>
      </c>
      <c r="J92" t="n">
        <v>7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13</v>
      </c>
      <c r="Q92" t="n">
        <v>14</v>
      </c>
      <c r="R92" t="n">
        <v>15</v>
      </c>
      <c r="S92" t="n">
        <v>16</v>
      </c>
      <c r="T92" t="n">
        <v>17</v>
      </c>
      <c r="U92" t="n">
        <v>18</v>
      </c>
      <c r="V92" t="n">
        <v>19</v>
      </c>
      <c r="W92" t="n">
        <v>20</v>
      </c>
      <c r="X92" t="n">
        <v>21</v>
      </c>
      <c r="Y92" t="n">
        <v>22</v>
      </c>
      <c r="Z92" t="n">
        <v>23</v>
      </c>
      <c r="AA92" t="n">
        <v>24</v>
      </c>
      <c r="AB92" t="n">
        <v>25</v>
      </c>
      <c r="AC92" t="n">
        <v>26</v>
      </c>
      <c r="AD92" t="n">
        <v>27</v>
      </c>
      <c r="AE92" t="n">
        <v>28</v>
      </c>
      <c r="AF92" t="n">
        <v>29</v>
      </c>
      <c r="AG92" t="n">
        <v>30</v>
      </c>
      <c r="AH92" t="n">
        <v>31</v>
      </c>
      <c r="AI92" t="n">
        <v>32</v>
      </c>
      <c r="AJ92" t="n">
        <v>33</v>
      </c>
      <c r="AK92" t="n">
        <v>34</v>
      </c>
      <c r="AL92" t="n">
        <v>35</v>
      </c>
    </row>
    <row r="93">
      <c r="A93" s="3" t="inlineStr">
        <is>
          <t>Percorso 6: ordini</t>
        </is>
      </c>
      <c r="C93" s="23">
        <f>IF(C92=0,1,IF(MOD(C92,6)=0,$C$12*(1-$C$13)*$C$14*$C$15^(C92/6-1),0))</f>
        <v/>
      </c>
      <c r="D93" s="23">
        <f>IF(D92=0,1,IF(MOD(D92,6)=0,$C$12*(1-$C$13)*$C$14*$C$15^(D92/6-1),0))</f>
        <v/>
      </c>
      <c r="E93" s="23">
        <f>IF(E92=0,1,IF(MOD(E92,6)=0,$C$12*(1-$C$13)*$C$14*$C$15^(E92/6-1),0))</f>
        <v/>
      </c>
      <c r="F93" s="23">
        <f>IF(F92=0,1,IF(MOD(F92,6)=0,$C$12*(1-$C$13)*$C$14*$C$15^(F92/6-1),0))</f>
        <v/>
      </c>
      <c r="G93" s="23">
        <f>IF(G92=0,1,IF(MOD(G92,6)=0,$C$12*(1-$C$13)*$C$14*$C$15^(G92/6-1),0))</f>
        <v/>
      </c>
      <c r="H93" s="23">
        <f>IF(H92=0,1,IF(MOD(H92,6)=0,$C$12*(1-$C$13)*$C$14*$C$15^(H92/6-1),0))</f>
        <v/>
      </c>
      <c r="I93" s="23">
        <f>IF(I92=0,1,IF(MOD(I92,6)=0,$C$12*(1-$C$13)*$C$14*$C$15^(I92/6-1),0))</f>
        <v/>
      </c>
      <c r="J93" s="23">
        <f>IF(J92=0,1,IF(MOD(J92,6)=0,$C$12*(1-$C$13)*$C$14*$C$15^(J92/6-1),0))</f>
        <v/>
      </c>
      <c r="K93" s="23">
        <f>IF(K92=0,1,IF(MOD(K92,6)=0,$C$12*(1-$C$13)*$C$14*$C$15^(K92/6-1),0))</f>
        <v/>
      </c>
      <c r="L93" s="23">
        <f>IF(L92=0,1,IF(MOD(L92,6)=0,$C$12*(1-$C$13)*$C$14*$C$15^(L92/6-1),0))</f>
        <v/>
      </c>
      <c r="M93" s="23">
        <f>IF(M92=0,1,IF(MOD(M92,6)=0,$C$12*(1-$C$13)*$C$14*$C$15^(M92/6-1),0))</f>
        <v/>
      </c>
      <c r="N93" s="23">
        <f>IF(N92=0,1,IF(MOD(N92,6)=0,$C$12*(1-$C$13)*$C$14*$C$15^(N92/6-1),0))</f>
        <v/>
      </c>
      <c r="O93" s="23">
        <f>IF(O92=0,1,IF(MOD(O92,6)=0,$C$12*(1-$C$13)*$C$14*$C$15^(O92/6-1),0))</f>
        <v/>
      </c>
      <c r="P93" s="23">
        <f>IF(P92=0,1,IF(MOD(P92,6)=0,$C$12*(1-$C$13)*$C$14*$C$15^(P92/6-1),0))</f>
        <v/>
      </c>
      <c r="Q93" s="23">
        <f>IF(Q92=0,1,IF(MOD(Q92,6)=0,$C$12*(1-$C$13)*$C$14*$C$15^(Q92/6-1),0))</f>
        <v/>
      </c>
      <c r="R93" s="23">
        <f>IF(R92=0,1,IF(MOD(R92,6)=0,$C$12*(1-$C$13)*$C$14*$C$15^(R92/6-1),0))</f>
        <v/>
      </c>
      <c r="S93" s="23">
        <f>IF(S92=0,1,IF(MOD(S92,6)=0,$C$12*(1-$C$13)*$C$14*$C$15^(S92/6-1),0))</f>
        <v/>
      </c>
      <c r="T93" s="23">
        <f>IF(T92=0,1,IF(MOD(T92,6)=0,$C$12*(1-$C$13)*$C$14*$C$15^(T92/6-1),0))</f>
        <v/>
      </c>
      <c r="U93" s="23">
        <f>IF(U92=0,1,IF(MOD(U92,6)=0,$C$12*(1-$C$13)*$C$14*$C$15^(U92/6-1),0))</f>
        <v/>
      </c>
      <c r="V93" s="23">
        <f>IF(V92=0,1,IF(MOD(V92,6)=0,$C$12*(1-$C$13)*$C$14*$C$15^(V92/6-1),0))</f>
        <v/>
      </c>
      <c r="W93" s="23">
        <f>IF(W92=0,1,IF(MOD(W92,6)=0,$C$12*(1-$C$13)*$C$14*$C$15^(W92/6-1),0))</f>
        <v/>
      </c>
      <c r="X93" s="23">
        <f>IF(X92=0,1,IF(MOD(X92,6)=0,$C$12*(1-$C$13)*$C$14*$C$15^(X92/6-1),0))</f>
        <v/>
      </c>
      <c r="Y93" s="23">
        <f>IF(Y92=0,1,IF(MOD(Y92,6)=0,$C$12*(1-$C$13)*$C$14*$C$15^(Y92/6-1),0))</f>
        <v/>
      </c>
      <c r="Z93" s="23">
        <f>IF(Z92=0,1,IF(MOD(Z92,6)=0,$C$12*(1-$C$13)*$C$14*$C$15^(Z92/6-1),0))</f>
        <v/>
      </c>
      <c r="AA93" s="23">
        <f>IF(AA92=0,1,IF(MOD(AA92,6)=0,$C$12*(1-$C$13)*$C$14*$C$15^(AA92/6-1),0))</f>
        <v/>
      </c>
      <c r="AB93" s="23">
        <f>IF(AB92=0,1,IF(MOD(AB92,6)=0,$C$12*(1-$C$13)*$C$14*$C$15^(AB92/6-1),0))</f>
        <v/>
      </c>
      <c r="AC93" s="23">
        <f>IF(AC92=0,1,IF(MOD(AC92,6)=0,$C$12*(1-$C$13)*$C$14*$C$15^(AC92/6-1),0))</f>
        <v/>
      </c>
      <c r="AD93" s="23">
        <f>IF(AD92=0,1,IF(MOD(AD92,6)=0,$C$12*(1-$C$13)*$C$14*$C$15^(AD92/6-1),0))</f>
        <v/>
      </c>
      <c r="AE93" s="23">
        <f>IF(AE92=0,1,IF(MOD(AE92,6)=0,$C$12*(1-$C$13)*$C$14*$C$15^(AE92/6-1),0))</f>
        <v/>
      </c>
      <c r="AF93" s="23">
        <f>IF(AF92=0,1,IF(MOD(AF92,6)=0,$C$12*(1-$C$13)*$C$14*$C$15^(AF92/6-1),0))</f>
        <v/>
      </c>
      <c r="AG93" s="23">
        <f>IF(AG92=0,1,IF(MOD(AG92,6)=0,$C$12*(1-$C$13)*$C$14*$C$15^(AG92/6-1),0))</f>
        <v/>
      </c>
      <c r="AH93" s="23">
        <f>IF(AH92=0,1,IF(MOD(AH92,6)=0,$C$12*(1-$C$13)*$C$14*$C$15^(AH92/6-1),0))</f>
        <v/>
      </c>
      <c r="AI93" s="23">
        <f>IF(AI92=0,1,IF(MOD(AI92,6)=0,$C$12*(1-$C$13)*$C$14*$C$15^(AI92/6-1),0))</f>
        <v/>
      </c>
      <c r="AJ93" s="23">
        <f>IF(AJ92=0,1,IF(MOD(AJ92,6)=0,$C$12*(1-$C$13)*$C$14*$C$15^(AJ92/6-1),0))</f>
        <v/>
      </c>
      <c r="AK93" s="23">
        <f>IF(AK92=0,1,IF(MOD(AK92,6)=0,$C$12*(1-$C$13)*$C$14*$C$15^(AK92/6-1),0))</f>
        <v/>
      </c>
      <c r="AL93" s="23">
        <f>IF(AL92=0,1,IF(MOD(AL92,6)=0,$C$12*(1-$C$13)*$C$14*$C$15^(AL92/6-1),0))</f>
        <v/>
      </c>
    </row>
    <row r="94">
      <c r="A94" s="3" t="inlineStr">
        <is>
          <t>Percorso 6: rimborsi di garanzia</t>
        </is>
      </c>
      <c r="C94" s="23">
        <f>IF(OR(C92=5,C92=6),$C$12*$C$13/2,0)</f>
        <v/>
      </c>
      <c r="D94" s="23">
        <f>IF(OR(D92=5,D92=6),$C$12*$C$13/2,0)</f>
        <v/>
      </c>
      <c r="E94" s="23">
        <f>IF(OR(E92=5,E92=6),$C$12*$C$13/2,0)</f>
        <v/>
      </c>
      <c r="F94" s="23">
        <f>IF(OR(F92=5,F92=6),$C$12*$C$13/2,0)</f>
        <v/>
      </c>
      <c r="G94" s="23">
        <f>IF(OR(G92=5,G92=6),$C$12*$C$13/2,0)</f>
        <v/>
      </c>
      <c r="H94" s="23">
        <f>IF(OR(H92=5,H92=6),$C$12*$C$13/2,0)</f>
        <v/>
      </c>
      <c r="I94" s="23">
        <f>IF(OR(I92=5,I92=6),$C$12*$C$13/2,0)</f>
        <v/>
      </c>
      <c r="J94" s="23">
        <f>IF(OR(J92=5,J92=6),$C$12*$C$13/2,0)</f>
        <v/>
      </c>
      <c r="K94" s="23">
        <f>IF(OR(K92=5,K92=6),$C$12*$C$13/2,0)</f>
        <v/>
      </c>
      <c r="L94" s="23">
        <f>IF(OR(L92=5,L92=6),$C$12*$C$13/2,0)</f>
        <v/>
      </c>
      <c r="M94" s="23">
        <f>IF(OR(M92=5,M92=6),$C$12*$C$13/2,0)</f>
        <v/>
      </c>
      <c r="N94" s="23">
        <f>IF(OR(N92=5,N92=6),$C$12*$C$13/2,0)</f>
        <v/>
      </c>
      <c r="O94" s="23">
        <f>IF(OR(O92=5,O92=6),$C$12*$C$13/2,0)</f>
        <v/>
      </c>
      <c r="P94" s="23">
        <f>IF(OR(P92=5,P92=6),$C$12*$C$13/2,0)</f>
        <v/>
      </c>
      <c r="Q94" s="23">
        <f>IF(OR(Q92=5,Q92=6),$C$12*$C$13/2,0)</f>
        <v/>
      </c>
      <c r="R94" s="23">
        <f>IF(OR(R92=5,R92=6),$C$12*$C$13/2,0)</f>
        <v/>
      </c>
      <c r="S94" s="23">
        <f>IF(OR(S92=5,S92=6),$C$12*$C$13/2,0)</f>
        <v/>
      </c>
      <c r="T94" s="23">
        <f>IF(OR(T92=5,T92=6),$C$12*$C$13/2,0)</f>
        <v/>
      </c>
      <c r="U94" s="23">
        <f>IF(OR(U92=5,U92=6),$C$12*$C$13/2,0)</f>
        <v/>
      </c>
      <c r="V94" s="23">
        <f>IF(OR(V92=5,V92=6),$C$12*$C$13/2,0)</f>
        <v/>
      </c>
      <c r="W94" s="23">
        <f>IF(OR(W92=5,W92=6),$C$12*$C$13/2,0)</f>
        <v/>
      </c>
      <c r="X94" s="23">
        <f>IF(OR(X92=5,X92=6),$C$12*$C$13/2,0)</f>
        <v/>
      </c>
      <c r="Y94" s="23">
        <f>IF(OR(Y92=5,Y92=6),$C$12*$C$13/2,0)</f>
        <v/>
      </c>
      <c r="Z94" s="23">
        <f>IF(OR(Z92=5,Z92=6),$C$12*$C$13/2,0)</f>
        <v/>
      </c>
      <c r="AA94" s="23">
        <f>IF(OR(AA92=5,AA92=6),$C$12*$C$13/2,0)</f>
        <v/>
      </c>
      <c r="AB94" s="23">
        <f>IF(OR(AB92=5,AB92=6),$C$12*$C$13/2,0)</f>
        <v/>
      </c>
      <c r="AC94" s="23">
        <f>IF(OR(AC92=5,AC92=6),$C$12*$C$13/2,0)</f>
        <v/>
      </c>
      <c r="AD94" s="23">
        <f>IF(OR(AD92=5,AD92=6),$C$12*$C$13/2,0)</f>
        <v/>
      </c>
      <c r="AE94" s="23">
        <f>IF(OR(AE92=5,AE92=6),$C$12*$C$13/2,0)</f>
        <v/>
      </c>
      <c r="AF94" s="23">
        <f>IF(OR(AF92=5,AF92=6),$C$12*$C$13/2,0)</f>
        <v/>
      </c>
      <c r="AG94" s="23">
        <f>IF(OR(AG92=5,AG92=6),$C$12*$C$13/2,0)</f>
        <v/>
      </c>
      <c r="AH94" s="23">
        <f>IF(OR(AH92=5,AH92=6),$C$12*$C$13/2,0)</f>
        <v/>
      </c>
      <c r="AI94" s="23">
        <f>IF(OR(AI92=5,AI92=6),$C$12*$C$13/2,0)</f>
        <v/>
      </c>
      <c r="AJ94" s="23">
        <f>IF(OR(AJ92=5,AJ92=6),$C$12*$C$13/2,0)</f>
        <v/>
      </c>
      <c r="AK94" s="23">
        <f>IF(OR(AK92=5,AK92=6),$C$12*$C$13/2,0)</f>
        <v/>
      </c>
      <c r="AL94" s="23">
        <f>IF(OR(AL92=5,AL92=6),$C$12*$C$13/2,0)</f>
        <v/>
      </c>
    </row>
    <row r="95">
      <c r="A95" s="3" t="inlineStr">
        <is>
          <t>Percorso 3: ordini</t>
        </is>
      </c>
      <c r="C95" s="23">
        <f>IF(C92=0,1,IF(MOD(C92,3)=0,$C$16*$C$17^(C92/3-1),0))</f>
        <v/>
      </c>
      <c r="D95" s="23">
        <f>IF(D92=0,1,IF(MOD(D92,3)=0,$C$16*$C$17^(D92/3-1),0))</f>
        <v/>
      </c>
      <c r="E95" s="23">
        <f>IF(E92=0,1,IF(MOD(E92,3)=0,$C$16*$C$17^(E92/3-1),0))</f>
        <v/>
      </c>
      <c r="F95" s="23">
        <f>IF(F92=0,1,IF(MOD(F92,3)=0,$C$16*$C$17^(F92/3-1),0))</f>
        <v/>
      </c>
      <c r="G95" s="23">
        <f>IF(G92=0,1,IF(MOD(G92,3)=0,$C$16*$C$17^(G92/3-1),0))</f>
        <v/>
      </c>
      <c r="H95" s="23">
        <f>IF(H92=0,1,IF(MOD(H92,3)=0,$C$16*$C$17^(H92/3-1),0))</f>
        <v/>
      </c>
      <c r="I95" s="23">
        <f>IF(I92=0,1,IF(MOD(I92,3)=0,$C$16*$C$17^(I92/3-1),0))</f>
        <v/>
      </c>
      <c r="J95" s="23">
        <f>IF(J92=0,1,IF(MOD(J92,3)=0,$C$16*$C$17^(J92/3-1),0))</f>
        <v/>
      </c>
      <c r="K95" s="23">
        <f>IF(K92=0,1,IF(MOD(K92,3)=0,$C$16*$C$17^(K92/3-1),0))</f>
        <v/>
      </c>
      <c r="L95" s="23">
        <f>IF(L92=0,1,IF(MOD(L92,3)=0,$C$16*$C$17^(L92/3-1),0))</f>
        <v/>
      </c>
      <c r="M95" s="23">
        <f>IF(M92=0,1,IF(MOD(M92,3)=0,$C$16*$C$17^(M92/3-1),0))</f>
        <v/>
      </c>
      <c r="N95" s="23">
        <f>IF(N92=0,1,IF(MOD(N92,3)=0,$C$16*$C$17^(N92/3-1),0))</f>
        <v/>
      </c>
      <c r="O95" s="23">
        <f>IF(O92=0,1,IF(MOD(O92,3)=0,$C$16*$C$17^(O92/3-1),0))</f>
        <v/>
      </c>
      <c r="P95" s="23">
        <f>IF(P92=0,1,IF(MOD(P92,3)=0,$C$16*$C$17^(P92/3-1),0))</f>
        <v/>
      </c>
      <c r="Q95" s="23">
        <f>IF(Q92=0,1,IF(MOD(Q92,3)=0,$C$16*$C$17^(Q92/3-1),0))</f>
        <v/>
      </c>
      <c r="R95" s="23">
        <f>IF(R92=0,1,IF(MOD(R92,3)=0,$C$16*$C$17^(R92/3-1),0))</f>
        <v/>
      </c>
      <c r="S95" s="23">
        <f>IF(S92=0,1,IF(MOD(S92,3)=0,$C$16*$C$17^(S92/3-1),0))</f>
        <v/>
      </c>
      <c r="T95" s="23">
        <f>IF(T92=0,1,IF(MOD(T92,3)=0,$C$16*$C$17^(T92/3-1),0))</f>
        <v/>
      </c>
      <c r="U95" s="23">
        <f>IF(U92=0,1,IF(MOD(U92,3)=0,$C$16*$C$17^(U92/3-1),0))</f>
        <v/>
      </c>
      <c r="V95" s="23">
        <f>IF(V92=0,1,IF(MOD(V92,3)=0,$C$16*$C$17^(V92/3-1),0))</f>
        <v/>
      </c>
      <c r="W95" s="23">
        <f>IF(W92=0,1,IF(MOD(W92,3)=0,$C$16*$C$17^(W92/3-1),0))</f>
        <v/>
      </c>
      <c r="X95" s="23">
        <f>IF(X92=0,1,IF(MOD(X92,3)=0,$C$16*$C$17^(X92/3-1),0))</f>
        <v/>
      </c>
      <c r="Y95" s="23">
        <f>IF(Y92=0,1,IF(MOD(Y92,3)=0,$C$16*$C$17^(Y92/3-1),0))</f>
        <v/>
      </c>
      <c r="Z95" s="23">
        <f>IF(Z92=0,1,IF(MOD(Z92,3)=0,$C$16*$C$17^(Z92/3-1),0))</f>
        <v/>
      </c>
      <c r="AA95" s="23">
        <f>IF(AA92=0,1,IF(MOD(AA92,3)=0,$C$16*$C$17^(AA92/3-1),0))</f>
        <v/>
      </c>
      <c r="AB95" s="23">
        <f>IF(AB92=0,1,IF(MOD(AB92,3)=0,$C$16*$C$17^(AB92/3-1),0))</f>
        <v/>
      </c>
      <c r="AC95" s="23">
        <f>IF(AC92=0,1,IF(MOD(AC92,3)=0,$C$16*$C$17^(AC92/3-1),0))</f>
        <v/>
      </c>
      <c r="AD95" s="23">
        <f>IF(AD92=0,1,IF(MOD(AD92,3)=0,$C$16*$C$17^(AD92/3-1),0))</f>
        <v/>
      </c>
      <c r="AE95" s="23">
        <f>IF(AE92=0,1,IF(MOD(AE92,3)=0,$C$16*$C$17^(AE92/3-1),0))</f>
        <v/>
      </c>
      <c r="AF95" s="23">
        <f>IF(AF92=0,1,IF(MOD(AF92,3)=0,$C$16*$C$17^(AF92/3-1),0))</f>
        <v/>
      </c>
      <c r="AG95" s="23">
        <f>IF(AG92=0,1,IF(MOD(AG92,3)=0,$C$16*$C$17^(AG92/3-1),0))</f>
        <v/>
      </c>
      <c r="AH95" s="23">
        <f>IF(AH92=0,1,IF(MOD(AH92,3)=0,$C$16*$C$17^(AH92/3-1),0))</f>
        <v/>
      </c>
      <c r="AI95" s="23">
        <f>IF(AI92=0,1,IF(MOD(AI92,3)=0,$C$16*$C$17^(AI92/3-1),0))</f>
        <v/>
      </c>
      <c r="AJ95" s="23">
        <f>IF(AJ92=0,1,IF(MOD(AJ92,3)=0,$C$16*$C$17^(AJ92/3-1),0))</f>
        <v/>
      </c>
      <c r="AK95" s="23">
        <f>IF(AK92=0,1,IF(MOD(AK92,3)=0,$C$16*$C$17^(AK92/3-1),0))</f>
        <v/>
      </c>
      <c r="AL95" s="23">
        <f>IF(AL92=0,1,IF(MOD(AL92,3)=0,$C$16*$C$17^(AL92/3-1),0))</f>
        <v/>
      </c>
    </row>
    <row r="96">
      <c r="A96" s="3" t="inlineStr">
        <is>
          <t>Abbonamento: ordini</t>
        </is>
      </c>
      <c r="C96" s="23">
        <f>SUMIF($C$86:$AU$86,C92,$C$87:$AU$87)</f>
        <v/>
      </c>
      <c r="D96" s="23">
        <f>SUMIF($C$86:$AU$86,D92,$C$87:$AU$87)</f>
        <v/>
      </c>
      <c r="E96" s="23">
        <f>SUMIF($C$86:$AU$86,E92,$C$87:$AU$87)</f>
        <v/>
      </c>
      <c r="F96" s="23">
        <f>SUMIF($C$86:$AU$86,F92,$C$87:$AU$87)</f>
        <v/>
      </c>
      <c r="G96" s="23">
        <f>SUMIF($C$86:$AU$86,G92,$C$87:$AU$87)</f>
        <v/>
      </c>
      <c r="H96" s="23">
        <f>SUMIF($C$86:$AU$86,H92,$C$87:$AU$87)</f>
        <v/>
      </c>
      <c r="I96" s="23">
        <f>SUMIF($C$86:$AU$86,I92,$C$87:$AU$87)</f>
        <v/>
      </c>
      <c r="J96" s="23">
        <f>SUMIF($C$86:$AU$86,J92,$C$87:$AU$87)</f>
        <v/>
      </c>
      <c r="K96" s="23">
        <f>SUMIF($C$86:$AU$86,K92,$C$87:$AU$87)</f>
        <v/>
      </c>
      <c r="L96" s="23">
        <f>SUMIF($C$86:$AU$86,L92,$C$87:$AU$87)</f>
        <v/>
      </c>
      <c r="M96" s="23">
        <f>SUMIF($C$86:$AU$86,M92,$C$87:$AU$87)</f>
        <v/>
      </c>
      <c r="N96" s="23">
        <f>SUMIF($C$86:$AU$86,N92,$C$87:$AU$87)</f>
        <v/>
      </c>
      <c r="O96" s="23">
        <f>SUMIF($C$86:$AU$86,O92,$C$87:$AU$87)</f>
        <v/>
      </c>
      <c r="P96" s="23">
        <f>SUMIF($C$86:$AU$86,P92,$C$87:$AU$87)</f>
        <v/>
      </c>
      <c r="Q96" s="23">
        <f>SUMIF($C$86:$AU$86,Q92,$C$87:$AU$87)</f>
        <v/>
      </c>
      <c r="R96" s="23">
        <f>SUMIF($C$86:$AU$86,R92,$C$87:$AU$87)</f>
        <v/>
      </c>
      <c r="S96" s="23">
        <f>SUMIF($C$86:$AU$86,S92,$C$87:$AU$87)</f>
        <v/>
      </c>
      <c r="T96" s="23">
        <f>SUMIF($C$86:$AU$86,T92,$C$87:$AU$87)</f>
        <v/>
      </c>
      <c r="U96" s="23">
        <f>SUMIF($C$86:$AU$86,U92,$C$87:$AU$87)</f>
        <v/>
      </c>
      <c r="V96" s="23">
        <f>SUMIF($C$86:$AU$86,V92,$C$87:$AU$87)</f>
        <v/>
      </c>
      <c r="W96" s="23">
        <f>SUMIF($C$86:$AU$86,W92,$C$87:$AU$87)</f>
        <v/>
      </c>
      <c r="X96" s="23">
        <f>SUMIF($C$86:$AU$86,X92,$C$87:$AU$87)</f>
        <v/>
      </c>
      <c r="Y96" s="23">
        <f>SUMIF($C$86:$AU$86,Y92,$C$87:$AU$87)</f>
        <v/>
      </c>
      <c r="Z96" s="23">
        <f>SUMIF($C$86:$AU$86,Z92,$C$87:$AU$87)</f>
        <v/>
      </c>
      <c r="AA96" s="23">
        <f>SUMIF($C$86:$AU$86,AA92,$C$87:$AU$87)</f>
        <v/>
      </c>
      <c r="AB96" s="23">
        <f>SUMIF($C$86:$AU$86,AB92,$C$87:$AU$87)</f>
        <v/>
      </c>
      <c r="AC96" s="23">
        <f>SUMIF($C$86:$AU$86,AC92,$C$87:$AU$87)</f>
        <v/>
      </c>
      <c r="AD96" s="23">
        <f>SUMIF($C$86:$AU$86,AD92,$C$87:$AU$87)</f>
        <v/>
      </c>
      <c r="AE96" s="23">
        <f>SUMIF($C$86:$AU$86,AE92,$C$87:$AU$87)</f>
        <v/>
      </c>
      <c r="AF96" s="23">
        <f>SUMIF($C$86:$AU$86,AF92,$C$87:$AU$87)</f>
        <v/>
      </c>
      <c r="AG96" s="23">
        <f>SUMIF($C$86:$AU$86,AG92,$C$87:$AU$87)</f>
        <v/>
      </c>
      <c r="AH96" s="23">
        <f>SUMIF($C$86:$AU$86,AH92,$C$87:$AU$87)</f>
        <v/>
      </c>
      <c r="AI96" s="23">
        <f>SUMIF($C$86:$AU$86,AI92,$C$87:$AU$87)</f>
        <v/>
      </c>
      <c r="AJ96" s="23">
        <f>SUMIF($C$86:$AU$86,AJ92,$C$87:$AU$87)</f>
        <v/>
      </c>
      <c r="AK96" s="23">
        <f>SUMIF($C$86:$AU$86,AK92,$C$87:$AU$87)</f>
        <v/>
      </c>
      <c r="AL96" s="23">
        <f>SUMIF($C$86:$AU$86,AL92,$C$87:$AU$87)</f>
        <v/>
      </c>
    </row>
    <row r="97">
      <c r="A97" s="3" t="inlineStr">
        <is>
          <t>Singolo: ordini</t>
        </is>
      </c>
      <c r="C97" s="23">
        <f>SUMIF($C$88:$AU$88,C92,$C$89:$AU$89)</f>
        <v/>
      </c>
      <c r="D97" s="23">
        <f>SUMIF($C$88:$AU$88,D92,$C$89:$AU$89)</f>
        <v/>
      </c>
      <c r="E97" s="23">
        <f>SUMIF($C$88:$AU$88,E92,$C$89:$AU$89)</f>
        <v/>
      </c>
      <c r="F97" s="23">
        <f>SUMIF($C$88:$AU$88,F92,$C$89:$AU$89)</f>
        <v/>
      </c>
      <c r="G97" s="23">
        <f>SUMIF($C$88:$AU$88,G92,$C$89:$AU$89)</f>
        <v/>
      </c>
      <c r="H97" s="23">
        <f>SUMIF($C$88:$AU$88,H92,$C$89:$AU$89)</f>
        <v/>
      </c>
      <c r="I97" s="23">
        <f>SUMIF($C$88:$AU$88,I92,$C$89:$AU$89)</f>
        <v/>
      </c>
      <c r="J97" s="23">
        <f>SUMIF($C$88:$AU$88,J92,$C$89:$AU$89)</f>
        <v/>
      </c>
      <c r="K97" s="23">
        <f>SUMIF($C$88:$AU$88,K92,$C$89:$AU$89)</f>
        <v/>
      </c>
      <c r="L97" s="23">
        <f>SUMIF($C$88:$AU$88,L92,$C$89:$AU$89)</f>
        <v/>
      </c>
      <c r="M97" s="23">
        <f>SUMIF($C$88:$AU$88,M92,$C$89:$AU$89)</f>
        <v/>
      </c>
      <c r="N97" s="23">
        <f>SUMIF($C$88:$AU$88,N92,$C$89:$AU$89)</f>
        <v/>
      </c>
      <c r="O97" s="23">
        <f>SUMIF($C$88:$AU$88,O92,$C$89:$AU$89)</f>
        <v/>
      </c>
      <c r="P97" s="23">
        <f>SUMIF($C$88:$AU$88,P92,$C$89:$AU$89)</f>
        <v/>
      </c>
      <c r="Q97" s="23">
        <f>SUMIF($C$88:$AU$88,Q92,$C$89:$AU$89)</f>
        <v/>
      </c>
      <c r="R97" s="23">
        <f>SUMIF($C$88:$AU$88,R92,$C$89:$AU$89)</f>
        <v/>
      </c>
      <c r="S97" s="23">
        <f>SUMIF($C$88:$AU$88,S92,$C$89:$AU$89)</f>
        <v/>
      </c>
      <c r="T97" s="23">
        <f>SUMIF($C$88:$AU$88,T92,$C$89:$AU$89)</f>
        <v/>
      </c>
      <c r="U97" s="23">
        <f>SUMIF($C$88:$AU$88,U92,$C$89:$AU$89)</f>
        <v/>
      </c>
      <c r="V97" s="23">
        <f>SUMIF($C$88:$AU$88,V92,$C$89:$AU$89)</f>
        <v/>
      </c>
      <c r="W97" s="23">
        <f>SUMIF($C$88:$AU$88,W92,$C$89:$AU$89)</f>
        <v/>
      </c>
      <c r="X97" s="23">
        <f>SUMIF($C$88:$AU$88,X92,$C$89:$AU$89)</f>
        <v/>
      </c>
      <c r="Y97" s="23">
        <f>SUMIF($C$88:$AU$88,Y92,$C$89:$AU$89)</f>
        <v/>
      </c>
      <c r="Z97" s="23">
        <f>SUMIF($C$88:$AU$88,Z92,$C$89:$AU$89)</f>
        <v/>
      </c>
      <c r="AA97" s="23">
        <f>SUMIF($C$88:$AU$88,AA92,$C$89:$AU$89)</f>
        <v/>
      </c>
      <c r="AB97" s="23">
        <f>SUMIF($C$88:$AU$88,AB92,$C$89:$AU$89)</f>
        <v/>
      </c>
      <c r="AC97" s="23">
        <f>SUMIF($C$88:$AU$88,AC92,$C$89:$AU$89)</f>
        <v/>
      </c>
      <c r="AD97" s="23">
        <f>SUMIF($C$88:$AU$88,AD92,$C$89:$AU$89)</f>
        <v/>
      </c>
      <c r="AE97" s="23">
        <f>SUMIF($C$88:$AU$88,AE92,$C$89:$AU$89)</f>
        <v/>
      </c>
      <c r="AF97" s="23">
        <f>SUMIF($C$88:$AU$88,AF92,$C$89:$AU$89)</f>
        <v/>
      </c>
      <c r="AG97" s="23">
        <f>SUMIF($C$88:$AU$88,AG92,$C$89:$AU$89)</f>
        <v/>
      </c>
      <c r="AH97" s="23">
        <f>SUMIF($C$88:$AU$88,AH92,$C$89:$AU$89)</f>
        <v/>
      </c>
      <c r="AI97" s="23">
        <f>SUMIF($C$88:$AU$88,AI92,$C$89:$AU$89)</f>
        <v/>
      </c>
      <c r="AJ97" s="23">
        <f>SUMIF($C$88:$AU$88,AJ92,$C$89:$AU$89)</f>
        <v/>
      </c>
      <c r="AK97" s="23">
        <f>SUMIF($C$88:$AU$88,AK92,$C$89:$AU$89)</f>
        <v/>
      </c>
      <c r="AL97" s="23">
        <f>SUMIF($C$88:$AU$88,AL92,$C$89:$AU$89)</f>
        <v/>
      </c>
    </row>
    <row r="98">
      <c r="A98" s="3" t="inlineStr">
        <is>
          <t>Percorso 6: contribuzione cumulata</t>
        </is>
      </c>
      <c r="B98" s="4" t="inlineStr">
        <is>
          <t>€</t>
        </is>
      </c>
      <c r="C98" s="13">
        <f>$H$82+(C93-1)*$C$82-C94*$H$77</f>
        <v/>
      </c>
      <c r="D98" s="13">
        <f>C98+D93*$C$82-D94*$H$77</f>
        <v/>
      </c>
      <c r="E98" s="13">
        <f>D98+E93*$C$82-E94*$H$77</f>
        <v/>
      </c>
      <c r="F98" s="13">
        <f>E98+F93*$C$82-F94*$H$77</f>
        <v/>
      </c>
      <c r="G98" s="13">
        <f>F98+G93*$C$82-G94*$H$77</f>
        <v/>
      </c>
      <c r="H98" s="13">
        <f>G98+H93*$C$82-H94*$H$77</f>
        <v/>
      </c>
      <c r="I98" s="13">
        <f>H98+I93*$C$82-I94*$H$77</f>
        <v/>
      </c>
      <c r="J98" s="13">
        <f>I98+J93*$C$82-J94*$H$77</f>
        <v/>
      </c>
      <c r="K98" s="13">
        <f>J98+K93*$C$82-K94*$H$77</f>
        <v/>
      </c>
      <c r="L98" s="13">
        <f>K98+L93*$C$82-L94*$H$77</f>
        <v/>
      </c>
      <c r="M98" s="13">
        <f>L98+M93*$C$82-M94*$H$77</f>
        <v/>
      </c>
      <c r="N98" s="13">
        <f>M98+N93*$C$82-N94*$H$77</f>
        <v/>
      </c>
      <c r="O98" s="13">
        <f>N98+O93*$C$82-O94*$H$77</f>
        <v/>
      </c>
      <c r="P98" s="13">
        <f>O98+P93*$C$82-P94*$H$77</f>
        <v/>
      </c>
      <c r="Q98" s="13">
        <f>P98+Q93*$C$82-Q94*$H$77</f>
        <v/>
      </c>
      <c r="R98" s="13">
        <f>Q98+R93*$C$82-R94*$H$77</f>
        <v/>
      </c>
      <c r="S98" s="13">
        <f>R98+S93*$C$82-S94*$H$77</f>
        <v/>
      </c>
      <c r="T98" s="13">
        <f>S98+T93*$C$82-T94*$H$77</f>
        <v/>
      </c>
      <c r="U98" s="13">
        <f>T98+U93*$C$82-U94*$H$77</f>
        <v/>
      </c>
      <c r="V98" s="13">
        <f>U98+V93*$C$82-V94*$H$77</f>
        <v/>
      </c>
      <c r="W98" s="13">
        <f>V98+W93*$C$82-W94*$H$77</f>
        <v/>
      </c>
      <c r="X98" s="13">
        <f>W98+X93*$C$82-X94*$H$77</f>
        <v/>
      </c>
      <c r="Y98" s="13">
        <f>X98+Y93*$C$82-Y94*$H$77</f>
        <v/>
      </c>
      <c r="Z98" s="13">
        <f>Y98+Z93*$C$82-Z94*$H$77</f>
        <v/>
      </c>
      <c r="AA98" s="13">
        <f>Z98+AA93*$C$82-AA94*$H$77</f>
        <v/>
      </c>
      <c r="AB98" s="13">
        <f>AA98+AB93*$C$82-AB94*$H$77</f>
        <v/>
      </c>
      <c r="AC98" s="13">
        <f>AB98+AC93*$C$82-AC94*$H$77</f>
        <v/>
      </c>
      <c r="AD98" s="13">
        <f>AC98+AD93*$C$82-AD94*$H$77</f>
        <v/>
      </c>
      <c r="AE98" s="13">
        <f>AD98+AE93*$C$82-AE94*$H$77</f>
        <v/>
      </c>
      <c r="AF98" s="13">
        <f>AE98+AF93*$C$82-AF94*$H$77</f>
        <v/>
      </c>
      <c r="AG98" s="13">
        <f>AF98+AG93*$C$82-AG94*$H$77</f>
        <v/>
      </c>
      <c r="AH98" s="13">
        <f>AG98+AH93*$C$82-AH94*$H$77</f>
        <v/>
      </c>
      <c r="AI98" s="13">
        <f>AH98+AI93*$C$82-AI94*$H$77</f>
        <v/>
      </c>
      <c r="AJ98" s="13">
        <f>AI98+AJ93*$C$82-AJ94*$H$77</f>
        <v/>
      </c>
      <c r="AK98" s="13">
        <f>AJ98+AK93*$C$82-AK94*$H$77</f>
        <v/>
      </c>
      <c r="AL98" s="13">
        <f>AK98+AL93*$C$82-AL94*$H$77</f>
        <v/>
      </c>
    </row>
    <row r="99">
      <c r="A99" s="3" t="inlineStr">
        <is>
          <t>Percorso 3: contribuzione cumulata</t>
        </is>
      </c>
      <c r="B99" s="4" t="inlineStr">
        <is>
          <t>€</t>
        </is>
      </c>
      <c r="C99" s="13">
        <f>$I$82+(C95-1)*$D$82</f>
        <v/>
      </c>
      <c r="D99" s="13">
        <f>C99+D95*$D$82</f>
        <v/>
      </c>
      <c r="E99" s="13">
        <f>D99+E95*$D$82</f>
        <v/>
      </c>
      <c r="F99" s="13">
        <f>E99+F95*$D$82</f>
        <v/>
      </c>
      <c r="G99" s="13">
        <f>F99+G95*$D$82</f>
        <v/>
      </c>
      <c r="H99" s="13">
        <f>G99+H95*$D$82</f>
        <v/>
      </c>
      <c r="I99" s="13">
        <f>H99+I95*$D$82</f>
        <v/>
      </c>
      <c r="J99" s="13">
        <f>I99+J95*$D$82</f>
        <v/>
      </c>
      <c r="K99" s="13">
        <f>J99+K95*$D$82</f>
        <v/>
      </c>
      <c r="L99" s="13">
        <f>K99+L95*$D$82</f>
        <v/>
      </c>
      <c r="M99" s="13">
        <f>L99+M95*$D$82</f>
        <v/>
      </c>
      <c r="N99" s="13">
        <f>M99+N95*$D$82</f>
        <v/>
      </c>
      <c r="O99" s="13">
        <f>N99+O95*$D$82</f>
        <v/>
      </c>
      <c r="P99" s="13">
        <f>O99+P95*$D$82</f>
        <v/>
      </c>
      <c r="Q99" s="13">
        <f>P99+Q95*$D$82</f>
        <v/>
      </c>
      <c r="R99" s="13">
        <f>Q99+R95*$D$82</f>
        <v/>
      </c>
      <c r="S99" s="13">
        <f>R99+S95*$D$82</f>
        <v/>
      </c>
      <c r="T99" s="13">
        <f>S99+T95*$D$82</f>
        <v/>
      </c>
      <c r="U99" s="13">
        <f>T99+U95*$D$82</f>
        <v/>
      </c>
      <c r="V99" s="13">
        <f>U99+V95*$D$82</f>
        <v/>
      </c>
      <c r="W99" s="13">
        <f>V99+W95*$D$82</f>
        <v/>
      </c>
      <c r="X99" s="13">
        <f>W99+X95*$D$82</f>
        <v/>
      </c>
      <c r="Y99" s="13">
        <f>X99+Y95*$D$82</f>
        <v/>
      </c>
      <c r="Z99" s="13">
        <f>Y99+Z95*$D$82</f>
        <v/>
      </c>
      <c r="AA99" s="13">
        <f>Z99+AA95*$D$82</f>
        <v/>
      </c>
      <c r="AB99" s="13">
        <f>AA99+AB95*$D$82</f>
        <v/>
      </c>
      <c r="AC99" s="13">
        <f>AB99+AC95*$D$82</f>
        <v/>
      </c>
      <c r="AD99" s="13">
        <f>AC99+AD95*$D$82</f>
        <v/>
      </c>
      <c r="AE99" s="13">
        <f>AD99+AE95*$D$82</f>
        <v/>
      </c>
      <c r="AF99" s="13">
        <f>AE99+AF95*$D$82</f>
        <v/>
      </c>
      <c r="AG99" s="13">
        <f>AF99+AG95*$D$82</f>
        <v/>
      </c>
      <c r="AH99" s="13">
        <f>AG99+AH95*$D$82</f>
        <v/>
      </c>
      <c r="AI99" s="13">
        <f>AH99+AI95*$D$82</f>
        <v/>
      </c>
      <c r="AJ99" s="13">
        <f>AI99+AJ95*$D$82</f>
        <v/>
      </c>
      <c r="AK99" s="13">
        <f>AJ99+AK95*$D$82</f>
        <v/>
      </c>
      <c r="AL99" s="13">
        <f>AK99+AL95*$D$82</f>
        <v/>
      </c>
    </row>
    <row r="100">
      <c r="A100" s="3" t="inlineStr">
        <is>
          <t>Abbonamento: contribuzione cumulata</t>
        </is>
      </c>
      <c r="B100" s="4" t="inlineStr">
        <is>
          <t>€</t>
        </is>
      </c>
      <c r="C100" s="13">
        <f>$J$82+(C96-1)*$E$82</f>
        <v/>
      </c>
      <c r="D100" s="13">
        <f>C100+D96*$E$82</f>
        <v/>
      </c>
      <c r="E100" s="13">
        <f>D100+E96*$E$82</f>
        <v/>
      </c>
      <c r="F100" s="13">
        <f>E100+F96*$E$82</f>
        <v/>
      </c>
      <c r="G100" s="13">
        <f>F100+G96*$E$82</f>
        <v/>
      </c>
      <c r="H100" s="13">
        <f>G100+H96*$E$82</f>
        <v/>
      </c>
      <c r="I100" s="13">
        <f>H100+I96*$E$82</f>
        <v/>
      </c>
      <c r="J100" s="13">
        <f>I100+J96*$E$82</f>
        <v/>
      </c>
      <c r="K100" s="13">
        <f>J100+K96*$E$82</f>
        <v/>
      </c>
      <c r="L100" s="13">
        <f>K100+L96*$E$82</f>
        <v/>
      </c>
      <c r="M100" s="13">
        <f>L100+M96*$E$82</f>
        <v/>
      </c>
      <c r="N100" s="13">
        <f>M100+N96*$E$82</f>
        <v/>
      </c>
      <c r="O100" s="13">
        <f>N100+O96*$E$82</f>
        <v/>
      </c>
      <c r="P100" s="13">
        <f>O100+P96*$E$82</f>
        <v/>
      </c>
      <c r="Q100" s="13">
        <f>P100+Q96*$E$82</f>
        <v/>
      </c>
      <c r="R100" s="13">
        <f>Q100+R96*$E$82</f>
        <v/>
      </c>
      <c r="S100" s="13">
        <f>R100+S96*$E$82</f>
        <v/>
      </c>
      <c r="T100" s="13">
        <f>S100+T96*$E$82</f>
        <v/>
      </c>
      <c r="U100" s="13">
        <f>T100+U96*$E$82</f>
        <v/>
      </c>
      <c r="V100" s="13">
        <f>U100+V96*$E$82</f>
        <v/>
      </c>
      <c r="W100" s="13">
        <f>V100+W96*$E$82</f>
        <v/>
      </c>
      <c r="X100" s="13">
        <f>W100+X96*$E$82</f>
        <v/>
      </c>
      <c r="Y100" s="13">
        <f>X100+Y96*$E$82</f>
        <v/>
      </c>
      <c r="Z100" s="13">
        <f>Y100+Z96*$E$82</f>
        <v/>
      </c>
      <c r="AA100" s="13">
        <f>Z100+AA96*$E$82</f>
        <v/>
      </c>
      <c r="AB100" s="13">
        <f>AA100+AB96*$E$82</f>
        <v/>
      </c>
      <c r="AC100" s="13">
        <f>AB100+AC96*$E$82</f>
        <v/>
      </c>
      <c r="AD100" s="13">
        <f>AC100+AD96*$E$82</f>
        <v/>
      </c>
      <c r="AE100" s="13">
        <f>AD100+AE96*$E$82</f>
        <v/>
      </c>
      <c r="AF100" s="13">
        <f>AE100+AF96*$E$82</f>
        <v/>
      </c>
      <c r="AG100" s="13">
        <f>AF100+AG96*$E$82</f>
        <v/>
      </c>
      <c r="AH100" s="13">
        <f>AG100+AH96*$E$82</f>
        <v/>
      </c>
      <c r="AI100" s="13">
        <f>AH100+AI96*$E$82</f>
        <v/>
      </c>
      <c r="AJ100" s="13">
        <f>AI100+AJ96*$E$82</f>
        <v/>
      </c>
      <c r="AK100" s="13">
        <f>AJ100+AK96*$E$82</f>
        <v/>
      </c>
      <c r="AL100" s="13">
        <f>AK100+AL96*$E$82</f>
        <v/>
      </c>
    </row>
    <row r="101">
      <c r="A101" s="3" t="inlineStr">
        <is>
          <t>Singolo: contribuzione cumulata</t>
        </is>
      </c>
      <c r="B101" s="4" t="inlineStr">
        <is>
          <t>€</t>
        </is>
      </c>
      <c r="C101" s="13">
        <f>$K$82+(C97-1)*$F$82</f>
        <v/>
      </c>
      <c r="D101" s="13">
        <f>C101+D97*$F$82</f>
        <v/>
      </c>
      <c r="E101" s="13">
        <f>D101+E97*$F$82</f>
        <v/>
      </c>
      <c r="F101" s="13">
        <f>E101+F97*$F$82</f>
        <v/>
      </c>
      <c r="G101" s="13">
        <f>F101+G97*$F$82</f>
        <v/>
      </c>
      <c r="H101" s="13">
        <f>G101+H97*$F$82</f>
        <v/>
      </c>
      <c r="I101" s="13">
        <f>H101+I97*$F$82</f>
        <v/>
      </c>
      <c r="J101" s="13">
        <f>I101+J97*$F$82</f>
        <v/>
      </c>
      <c r="K101" s="13">
        <f>J101+K97*$F$82</f>
        <v/>
      </c>
      <c r="L101" s="13">
        <f>K101+L97*$F$82</f>
        <v/>
      </c>
      <c r="M101" s="13">
        <f>L101+M97*$F$82</f>
        <v/>
      </c>
      <c r="N101" s="13">
        <f>M101+N97*$F$82</f>
        <v/>
      </c>
      <c r="O101" s="13">
        <f>N101+O97*$F$82</f>
        <v/>
      </c>
      <c r="P101" s="13">
        <f>O101+P97*$F$82</f>
        <v/>
      </c>
      <c r="Q101" s="13">
        <f>P101+Q97*$F$82</f>
        <v/>
      </c>
      <c r="R101" s="13">
        <f>Q101+R97*$F$82</f>
        <v/>
      </c>
      <c r="S101" s="13">
        <f>R101+S97*$F$82</f>
        <v/>
      </c>
      <c r="T101" s="13">
        <f>S101+T97*$F$82</f>
        <v/>
      </c>
      <c r="U101" s="13">
        <f>T101+U97*$F$82</f>
        <v/>
      </c>
      <c r="V101" s="13">
        <f>U101+V97*$F$82</f>
        <v/>
      </c>
      <c r="W101" s="13">
        <f>V101+W97*$F$82</f>
        <v/>
      </c>
      <c r="X101" s="13">
        <f>W101+X97*$F$82</f>
        <v/>
      </c>
      <c r="Y101" s="13">
        <f>X101+Y97*$F$82</f>
        <v/>
      </c>
      <c r="Z101" s="13">
        <f>Y101+Z97*$F$82</f>
        <v/>
      </c>
      <c r="AA101" s="13">
        <f>Z101+AA97*$F$82</f>
        <v/>
      </c>
      <c r="AB101" s="13">
        <f>AA101+AB97*$F$82</f>
        <v/>
      </c>
      <c r="AC101" s="13">
        <f>AB101+AC97*$F$82</f>
        <v/>
      </c>
      <c r="AD101" s="13">
        <f>AC101+AD97*$F$82</f>
        <v/>
      </c>
      <c r="AE101" s="13">
        <f>AD101+AE97*$F$82</f>
        <v/>
      </c>
      <c r="AF101" s="13">
        <f>AE101+AF97*$F$82</f>
        <v/>
      </c>
      <c r="AG101" s="13">
        <f>AF101+AG97*$F$82</f>
        <v/>
      </c>
      <c r="AH101" s="13">
        <f>AG101+AH97*$F$82</f>
        <v/>
      </c>
      <c r="AI101" s="13">
        <f>AH101+AI97*$F$82</f>
        <v/>
      </c>
      <c r="AJ101" s="13">
        <f>AI101+AJ97*$F$82</f>
        <v/>
      </c>
      <c r="AK101" s="13">
        <f>AJ101+AK97*$F$82</f>
        <v/>
      </c>
      <c r="AL101" s="13">
        <f>AK101+AL97*$F$82</f>
        <v/>
      </c>
    </row>
    <row r="102">
      <c r="A102" s="3" t="inlineStr">
        <is>
          <t>Cliente medio (mix): contribuzione cumulata</t>
        </is>
      </c>
      <c r="B102" s="4" t="inlineStr">
        <is>
          <t>€</t>
        </is>
      </c>
      <c r="C102" s="13">
        <f>$C$8*C98+$C$9*C99+$C$10*C100+$C$11*C101</f>
        <v/>
      </c>
      <c r="D102" s="13">
        <f>$C$8*D98+$C$9*D99+$C$10*D100+$C$11*D101</f>
        <v/>
      </c>
      <c r="E102" s="13">
        <f>$C$8*E98+$C$9*E99+$C$10*E100+$C$11*E101</f>
        <v/>
      </c>
      <c r="F102" s="13">
        <f>$C$8*F98+$C$9*F99+$C$10*F100+$C$11*F101</f>
        <v/>
      </c>
      <c r="G102" s="13">
        <f>$C$8*G98+$C$9*G99+$C$10*G100+$C$11*G101</f>
        <v/>
      </c>
      <c r="H102" s="13">
        <f>$C$8*H98+$C$9*H99+$C$10*H100+$C$11*H101</f>
        <v/>
      </c>
      <c r="I102" s="13">
        <f>$C$8*I98+$C$9*I99+$C$10*I100+$C$11*I101</f>
        <v/>
      </c>
      <c r="J102" s="13">
        <f>$C$8*J98+$C$9*J99+$C$10*J100+$C$11*J101</f>
        <v/>
      </c>
      <c r="K102" s="13">
        <f>$C$8*K98+$C$9*K99+$C$10*K100+$C$11*K101</f>
        <v/>
      </c>
      <c r="L102" s="13">
        <f>$C$8*L98+$C$9*L99+$C$10*L100+$C$11*L101</f>
        <v/>
      </c>
      <c r="M102" s="13">
        <f>$C$8*M98+$C$9*M99+$C$10*M100+$C$11*M101</f>
        <v/>
      </c>
      <c r="N102" s="13">
        <f>$C$8*N98+$C$9*N99+$C$10*N100+$C$11*N101</f>
        <v/>
      </c>
      <c r="O102" s="13">
        <f>$C$8*O98+$C$9*O99+$C$10*O100+$C$11*O101</f>
        <v/>
      </c>
      <c r="P102" s="13">
        <f>$C$8*P98+$C$9*P99+$C$10*P100+$C$11*P101</f>
        <v/>
      </c>
      <c r="Q102" s="13">
        <f>$C$8*Q98+$C$9*Q99+$C$10*Q100+$C$11*Q101</f>
        <v/>
      </c>
      <c r="R102" s="13">
        <f>$C$8*R98+$C$9*R99+$C$10*R100+$C$11*R101</f>
        <v/>
      </c>
      <c r="S102" s="13">
        <f>$C$8*S98+$C$9*S99+$C$10*S100+$C$11*S101</f>
        <v/>
      </c>
      <c r="T102" s="13">
        <f>$C$8*T98+$C$9*T99+$C$10*T100+$C$11*T101</f>
        <v/>
      </c>
      <c r="U102" s="13">
        <f>$C$8*U98+$C$9*U99+$C$10*U100+$C$11*U101</f>
        <v/>
      </c>
      <c r="V102" s="13">
        <f>$C$8*V98+$C$9*V99+$C$10*V100+$C$11*V101</f>
        <v/>
      </c>
      <c r="W102" s="13">
        <f>$C$8*W98+$C$9*W99+$C$10*W100+$C$11*W101</f>
        <v/>
      </c>
      <c r="X102" s="13">
        <f>$C$8*X98+$C$9*X99+$C$10*X100+$C$11*X101</f>
        <v/>
      </c>
      <c r="Y102" s="13">
        <f>$C$8*Y98+$C$9*Y99+$C$10*Y100+$C$11*Y101</f>
        <v/>
      </c>
      <c r="Z102" s="13">
        <f>$C$8*Z98+$C$9*Z99+$C$10*Z100+$C$11*Z101</f>
        <v/>
      </c>
      <c r="AA102" s="13">
        <f>$C$8*AA98+$C$9*AA99+$C$10*AA100+$C$11*AA101</f>
        <v/>
      </c>
      <c r="AB102" s="13">
        <f>$C$8*AB98+$C$9*AB99+$C$10*AB100+$C$11*AB101</f>
        <v/>
      </c>
      <c r="AC102" s="13">
        <f>$C$8*AC98+$C$9*AC99+$C$10*AC100+$C$11*AC101</f>
        <v/>
      </c>
      <c r="AD102" s="13">
        <f>$C$8*AD98+$C$9*AD99+$C$10*AD100+$C$11*AD101</f>
        <v/>
      </c>
      <c r="AE102" s="13">
        <f>$C$8*AE98+$C$9*AE99+$C$10*AE100+$C$11*AE101</f>
        <v/>
      </c>
      <c r="AF102" s="13">
        <f>$C$8*AF98+$C$9*AF99+$C$10*AF100+$C$11*AF101</f>
        <v/>
      </c>
      <c r="AG102" s="13">
        <f>$C$8*AG98+$C$9*AG99+$C$10*AG100+$C$11*AG101</f>
        <v/>
      </c>
      <c r="AH102" s="13">
        <f>$C$8*AH98+$C$9*AH99+$C$10*AH100+$C$11*AH101</f>
        <v/>
      </c>
      <c r="AI102" s="13">
        <f>$C$8*AI98+$C$9*AI99+$C$10*AI100+$C$11*AI101</f>
        <v/>
      </c>
      <c r="AJ102" s="13">
        <f>$C$8*AJ98+$C$9*AJ99+$C$10*AJ100+$C$11*AJ101</f>
        <v/>
      </c>
      <c r="AK102" s="13">
        <f>$C$8*AK98+$C$9*AK99+$C$10*AK100+$C$11*AK101</f>
        <v/>
      </c>
      <c r="AL102" s="13">
        <f>$C$8*AL98+$C$9*AL99+$C$10*AL100+$C$11*AL101</f>
        <v/>
      </c>
    </row>
    <row r="104">
      <c r="A104" s="10" t="inlineStr">
        <is>
          <t>Clienti nuovi per mese</t>
        </is>
      </c>
    </row>
    <row r="105">
      <c r="A105" s="3" t="inlineStr">
        <is>
          <t>Mese</t>
        </is>
      </c>
      <c r="C105" t="n">
        <v>1</v>
      </c>
      <c r="D105" t="n">
        <v>2</v>
      </c>
      <c r="E105" t="n">
        <v>3</v>
      </c>
      <c r="F105" t="n">
        <v>4</v>
      </c>
      <c r="G105" t="n">
        <v>5</v>
      </c>
      <c r="H105" t="n">
        <v>6</v>
      </c>
      <c r="I105" t="n">
        <v>7</v>
      </c>
      <c r="J105" t="n">
        <v>8</v>
      </c>
      <c r="K105" t="n">
        <v>9</v>
      </c>
      <c r="L105" t="n">
        <v>10</v>
      </c>
      <c r="M105" t="n">
        <v>11</v>
      </c>
      <c r="N105" t="n">
        <v>12</v>
      </c>
      <c r="O105" t="n">
        <v>13</v>
      </c>
      <c r="P105" t="n">
        <v>14</v>
      </c>
      <c r="Q105" t="n">
        <v>15</v>
      </c>
      <c r="R105" t="n">
        <v>16</v>
      </c>
      <c r="S105" t="n">
        <v>17</v>
      </c>
      <c r="T105" t="n">
        <v>18</v>
      </c>
      <c r="U105" t="n">
        <v>19</v>
      </c>
      <c r="V105" t="n">
        <v>20</v>
      </c>
      <c r="W105" t="n">
        <v>21</v>
      </c>
      <c r="X105" t="n">
        <v>22</v>
      </c>
      <c r="Y105" t="n">
        <v>23</v>
      </c>
      <c r="Z105" t="n">
        <v>24</v>
      </c>
      <c r="AA105" t="n">
        <v>25</v>
      </c>
      <c r="AB105" t="n">
        <v>26</v>
      </c>
      <c r="AC105" t="n">
        <v>27</v>
      </c>
      <c r="AD105" t="n">
        <v>28</v>
      </c>
      <c r="AE105" t="n">
        <v>29</v>
      </c>
      <c r="AF105" t="n">
        <v>30</v>
      </c>
    </row>
    <row r="106">
      <c r="A106" s="3" t="inlineStr">
        <is>
          <t>Mesi dal lancio</t>
        </is>
      </c>
      <c r="C106">
        <f>C105-$C$6</f>
        <v/>
      </c>
      <c r="D106">
        <f>D105-$C$6</f>
        <v/>
      </c>
      <c r="E106">
        <f>E105-$C$6</f>
        <v/>
      </c>
      <c r="F106">
        <f>F105-$C$6</f>
        <v/>
      </c>
      <c r="G106">
        <f>G105-$C$6</f>
        <v/>
      </c>
      <c r="H106">
        <f>H105-$C$6</f>
        <v/>
      </c>
      <c r="I106">
        <f>I105-$C$6</f>
        <v/>
      </c>
      <c r="J106">
        <f>J105-$C$6</f>
        <v/>
      </c>
      <c r="K106">
        <f>K105-$C$6</f>
        <v/>
      </c>
      <c r="L106">
        <f>L105-$C$6</f>
        <v/>
      </c>
      <c r="M106">
        <f>M105-$C$6</f>
        <v/>
      </c>
      <c r="N106">
        <f>N105-$C$6</f>
        <v/>
      </c>
      <c r="O106">
        <f>O105-$C$6</f>
        <v/>
      </c>
      <c r="P106">
        <f>P105-$C$6</f>
        <v/>
      </c>
      <c r="Q106">
        <f>Q105-$C$6</f>
        <v/>
      </c>
      <c r="R106">
        <f>R105-$C$6</f>
        <v/>
      </c>
      <c r="S106">
        <f>S105-$C$6</f>
        <v/>
      </c>
      <c r="T106">
        <f>T105-$C$6</f>
        <v/>
      </c>
      <c r="U106">
        <f>U105-$C$6</f>
        <v/>
      </c>
      <c r="V106">
        <f>V105-$C$6</f>
        <v/>
      </c>
      <c r="W106">
        <f>W105-$C$6</f>
        <v/>
      </c>
      <c r="X106">
        <f>X105-$C$6</f>
        <v/>
      </c>
      <c r="Y106">
        <f>Y105-$C$6</f>
        <v/>
      </c>
      <c r="Z106">
        <f>Z105-$C$6</f>
        <v/>
      </c>
      <c r="AA106">
        <f>AA105-$C$6</f>
        <v/>
      </c>
      <c r="AB106">
        <f>AB105-$C$6</f>
        <v/>
      </c>
      <c r="AC106">
        <f>AC105-$C$6</f>
        <v/>
      </c>
      <c r="AD106">
        <f>AD105-$C$6</f>
        <v/>
      </c>
      <c r="AE106">
        <f>AE105-$C$6</f>
        <v/>
      </c>
      <c r="AF106">
        <f>AF105-$C$6</f>
        <v/>
      </c>
    </row>
    <row r="107">
      <c r="A107" s="3" t="inlineStr">
        <is>
          <t>Pubblicità</t>
        </is>
      </c>
      <c r="B107" s="4" t="inlineStr">
        <is>
          <t>€</t>
        </is>
      </c>
      <c r="C107" s="20">
        <f>IF(C106&lt;0,0,IF(C106&lt;$C$28,$C$27/$C$28,IF(C106&lt;$C$28+$C$31,$C$30/$C$31,IF(C106&lt;$C$28+$C$31+$C$34,$C$33/$C$34,$C$36))))</f>
        <v/>
      </c>
      <c r="D107" s="20">
        <f>IF(D106&lt;0,0,IF(D106&lt;$C$28,$C$27/$C$28,IF(D106&lt;$C$28+$C$31,$C$30/$C$31,IF(D106&lt;$C$28+$C$31+$C$34,$C$33/$C$34,$C$36))))</f>
        <v/>
      </c>
      <c r="E107" s="20">
        <f>IF(E106&lt;0,0,IF(E106&lt;$C$28,$C$27/$C$28,IF(E106&lt;$C$28+$C$31,$C$30/$C$31,IF(E106&lt;$C$28+$C$31+$C$34,$C$33/$C$34,$C$36))))</f>
        <v/>
      </c>
      <c r="F107" s="20">
        <f>IF(F106&lt;0,0,IF(F106&lt;$C$28,$C$27/$C$28,IF(F106&lt;$C$28+$C$31,$C$30/$C$31,IF(F106&lt;$C$28+$C$31+$C$34,$C$33/$C$34,$C$36))))</f>
        <v/>
      </c>
      <c r="G107" s="20">
        <f>IF(G106&lt;0,0,IF(G106&lt;$C$28,$C$27/$C$28,IF(G106&lt;$C$28+$C$31,$C$30/$C$31,IF(G106&lt;$C$28+$C$31+$C$34,$C$33/$C$34,$C$36))))</f>
        <v/>
      </c>
      <c r="H107" s="20">
        <f>IF(H106&lt;0,0,IF(H106&lt;$C$28,$C$27/$C$28,IF(H106&lt;$C$28+$C$31,$C$30/$C$31,IF(H106&lt;$C$28+$C$31+$C$34,$C$33/$C$34,$C$36))))</f>
        <v/>
      </c>
      <c r="I107" s="20">
        <f>IF(I106&lt;0,0,IF(I106&lt;$C$28,$C$27/$C$28,IF(I106&lt;$C$28+$C$31,$C$30/$C$31,IF(I106&lt;$C$28+$C$31+$C$34,$C$33/$C$34,$C$36))))</f>
        <v/>
      </c>
      <c r="J107" s="20">
        <f>IF(J106&lt;0,0,IF(J106&lt;$C$28,$C$27/$C$28,IF(J106&lt;$C$28+$C$31,$C$30/$C$31,IF(J106&lt;$C$28+$C$31+$C$34,$C$33/$C$34,$C$36))))</f>
        <v/>
      </c>
      <c r="K107" s="20">
        <f>IF(K106&lt;0,0,IF(K106&lt;$C$28,$C$27/$C$28,IF(K106&lt;$C$28+$C$31,$C$30/$C$31,IF(K106&lt;$C$28+$C$31+$C$34,$C$33/$C$34,$C$36))))</f>
        <v/>
      </c>
      <c r="L107" s="20">
        <f>IF(L106&lt;0,0,IF(L106&lt;$C$28,$C$27/$C$28,IF(L106&lt;$C$28+$C$31,$C$30/$C$31,IF(L106&lt;$C$28+$C$31+$C$34,$C$33/$C$34,$C$36))))</f>
        <v/>
      </c>
      <c r="M107" s="20">
        <f>IF(M106&lt;0,0,IF(M106&lt;$C$28,$C$27/$C$28,IF(M106&lt;$C$28+$C$31,$C$30/$C$31,IF(M106&lt;$C$28+$C$31+$C$34,$C$33/$C$34,$C$36))))</f>
        <v/>
      </c>
      <c r="N107" s="20">
        <f>IF(N106&lt;0,0,IF(N106&lt;$C$28,$C$27/$C$28,IF(N106&lt;$C$28+$C$31,$C$30/$C$31,IF(N106&lt;$C$28+$C$31+$C$34,$C$33/$C$34,$C$36))))</f>
        <v/>
      </c>
      <c r="O107" s="20">
        <f>IF(O106&lt;0,0,IF(O106&lt;$C$28,$C$27/$C$28,IF(O106&lt;$C$28+$C$31,$C$30/$C$31,IF(O106&lt;$C$28+$C$31+$C$34,$C$33/$C$34,$C$36))))</f>
        <v/>
      </c>
      <c r="P107" s="20">
        <f>IF(P106&lt;0,0,IF(P106&lt;$C$28,$C$27/$C$28,IF(P106&lt;$C$28+$C$31,$C$30/$C$31,IF(P106&lt;$C$28+$C$31+$C$34,$C$33/$C$34,$C$36))))</f>
        <v/>
      </c>
      <c r="Q107" s="20">
        <f>IF(Q106&lt;0,0,IF(Q106&lt;$C$28,$C$27/$C$28,IF(Q106&lt;$C$28+$C$31,$C$30/$C$31,IF(Q106&lt;$C$28+$C$31+$C$34,$C$33/$C$34,$C$36))))</f>
        <v/>
      </c>
      <c r="R107" s="20">
        <f>IF(R106&lt;0,0,IF(R106&lt;$C$28,$C$27/$C$28,IF(R106&lt;$C$28+$C$31,$C$30/$C$31,IF(R106&lt;$C$28+$C$31+$C$34,$C$33/$C$34,$C$36))))</f>
        <v/>
      </c>
      <c r="S107" s="20">
        <f>IF(S106&lt;0,0,IF(S106&lt;$C$28,$C$27/$C$28,IF(S106&lt;$C$28+$C$31,$C$30/$C$31,IF(S106&lt;$C$28+$C$31+$C$34,$C$33/$C$34,$C$36))))</f>
        <v/>
      </c>
      <c r="T107" s="20">
        <f>IF(T106&lt;0,0,IF(T106&lt;$C$28,$C$27/$C$28,IF(T106&lt;$C$28+$C$31,$C$30/$C$31,IF(T106&lt;$C$28+$C$31+$C$34,$C$33/$C$34,$C$36))))</f>
        <v/>
      </c>
      <c r="U107" s="20">
        <f>IF(U106&lt;0,0,IF(U106&lt;$C$28,$C$27/$C$28,IF(U106&lt;$C$28+$C$31,$C$30/$C$31,IF(U106&lt;$C$28+$C$31+$C$34,$C$33/$C$34,$C$36))))</f>
        <v/>
      </c>
      <c r="V107" s="20">
        <f>IF(V106&lt;0,0,IF(V106&lt;$C$28,$C$27/$C$28,IF(V106&lt;$C$28+$C$31,$C$30/$C$31,IF(V106&lt;$C$28+$C$31+$C$34,$C$33/$C$34,$C$36))))</f>
        <v/>
      </c>
      <c r="W107" s="20">
        <f>IF(W106&lt;0,0,IF(W106&lt;$C$28,$C$27/$C$28,IF(W106&lt;$C$28+$C$31,$C$30/$C$31,IF(W106&lt;$C$28+$C$31+$C$34,$C$33/$C$34,$C$36))))</f>
        <v/>
      </c>
      <c r="X107" s="20">
        <f>IF(X106&lt;0,0,IF(X106&lt;$C$28,$C$27/$C$28,IF(X106&lt;$C$28+$C$31,$C$30/$C$31,IF(X106&lt;$C$28+$C$31+$C$34,$C$33/$C$34,$C$36))))</f>
        <v/>
      </c>
      <c r="Y107" s="20">
        <f>IF(Y106&lt;0,0,IF(Y106&lt;$C$28,$C$27/$C$28,IF(Y106&lt;$C$28+$C$31,$C$30/$C$31,IF(Y106&lt;$C$28+$C$31+$C$34,$C$33/$C$34,$C$36))))</f>
        <v/>
      </c>
      <c r="Z107" s="20">
        <f>IF(Z106&lt;0,0,IF(Z106&lt;$C$28,$C$27/$C$28,IF(Z106&lt;$C$28+$C$31,$C$30/$C$31,IF(Z106&lt;$C$28+$C$31+$C$34,$C$33/$C$34,$C$36))))</f>
        <v/>
      </c>
      <c r="AA107" s="20">
        <f>IF(AA106&lt;0,0,IF(AA106&lt;$C$28,$C$27/$C$28,IF(AA106&lt;$C$28+$C$31,$C$30/$C$31,IF(AA106&lt;$C$28+$C$31+$C$34,$C$33/$C$34,$C$36))))</f>
        <v/>
      </c>
      <c r="AB107" s="20">
        <f>IF(AB106&lt;0,0,IF(AB106&lt;$C$28,$C$27/$C$28,IF(AB106&lt;$C$28+$C$31,$C$30/$C$31,IF(AB106&lt;$C$28+$C$31+$C$34,$C$33/$C$34,$C$36))))</f>
        <v/>
      </c>
      <c r="AC107" s="20">
        <f>IF(AC106&lt;0,0,IF(AC106&lt;$C$28,$C$27/$C$28,IF(AC106&lt;$C$28+$C$31,$C$30/$C$31,IF(AC106&lt;$C$28+$C$31+$C$34,$C$33/$C$34,$C$36))))</f>
        <v/>
      </c>
      <c r="AD107" s="20">
        <f>IF(AD106&lt;0,0,IF(AD106&lt;$C$28,$C$27/$C$28,IF(AD106&lt;$C$28+$C$31,$C$30/$C$31,IF(AD106&lt;$C$28+$C$31+$C$34,$C$33/$C$34,$C$36))))</f>
        <v/>
      </c>
      <c r="AE107" s="20">
        <f>IF(AE106&lt;0,0,IF(AE106&lt;$C$28,$C$27/$C$28,IF(AE106&lt;$C$28+$C$31,$C$30/$C$31,IF(AE106&lt;$C$28+$C$31+$C$34,$C$33/$C$34,$C$36))))</f>
        <v/>
      </c>
      <c r="AF107" s="20">
        <f>IF(AF106&lt;0,0,IF(AF106&lt;$C$28,$C$27/$C$28,IF(AF106&lt;$C$28+$C$31,$C$30/$C$31,IF(AF106&lt;$C$28+$C$31+$C$34,$C$33/$C$34,$C$36))))</f>
        <v/>
      </c>
    </row>
    <row r="108">
      <c r="A108" s="3" t="inlineStr">
        <is>
          <t>CAC pubblicitario</t>
        </is>
      </c>
      <c r="B108" s="4" t="inlineStr">
        <is>
          <t>€</t>
        </is>
      </c>
      <c r="C108" s="20">
        <f>IF(C106&lt;0,0,IF(C106&lt;$C$28,$C$29,IF(C106&lt;$C$28+$C$31,$C$32,IF(C106&lt;$C$28+$C$31+$C$34,$C$35,$C$37))))</f>
        <v/>
      </c>
      <c r="D108" s="20">
        <f>IF(D106&lt;0,0,IF(D106&lt;$C$28,$C$29,IF(D106&lt;$C$28+$C$31,$C$32,IF(D106&lt;$C$28+$C$31+$C$34,$C$35,$C$37))))</f>
        <v/>
      </c>
      <c r="E108" s="20">
        <f>IF(E106&lt;0,0,IF(E106&lt;$C$28,$C$29,IF(E106&lt;$C$28+$C$31,$C$32,IF(E106&lt;$C$28+$C$31+$C$34,$C$35,$C$37))))</f>
        <v/>
      </c>
      <c r="F108" s="20">
        <f>IF(F106&lt;0,0,IF(F106&lt;$C$28,$C$29,IF(F106&lt;$C$28+$C$31,$C$32,IF(F106&lt;$C$28+$C$31+$C$34,$C$35,$C$37))))</f>
        <v/>
      </c>
      <c r="G108" s="20">
        <f>IF(G106&lt;0,0,IF(G106&lt;$C$28,$C$29,IF(G106&lt;$C$28+$C$31,$C$32,IF(G106&lt;$C$28+$C$31+$C$34,$C$35,$C$37))))</f>
        <v/>
      </c>
      <c r="H108" s="20">
        <f>IF(H106&lt;0,0,IF(H106&lt;$C$28,$C$29,IF(H106&lt;$C$28+$C$31,$C$32,IF(H106&lt;$C$28+$C$31+$C$34,$C$35,$C$37))))</f>
        <v/>
      </c>
      <c r="I108" s="20">
        <f>IF(I106&lt;0,0,IF(I106&lt;$C$28,$C$29,IF(I106&lt;$C$28+$C$31,$C$32,IF(I106&lt;$C$28+$C$31+$C$34,$C$35,$C$37))))</f>
        <v/>
      </c>
      <c r="J108" s="20">
        <f>IF(J106&lt;0,0,IF(J106&lt;$C$28,$C$29,IF(J106&lt;$C$28+$C$31,$C$32,IF(J106&lt;$C$28+$C$31+$C$34,$C$35,$C$37))))</f>
        <v/>
      </c>
      <c r="K108" s="20">
        <f>IF(K106&lt;0,0,IF(K106&lt;$C$28,$C$29,IF(K106&lt;$C$28+$C$31,$C$32,IF(K106&lt;$C$28+$C$31+$C$34,$C$35,$C$37))))</f>
        <v/>
      </c>
      <c r="L108" s="20">
        <f>IF(L106&lt;0,0,IF(L106&lt;$C$28,$C$29,IF(L106&lt;$C$28+$C$31,$C$32,IF(L106&lt;$C$28+$C$31+$C$34,$C$35,$C$37))))</f>
        <v/>
      </c>
      <c r="M108" s="20">
        <f>IF(M106&lt;0,0,IF(M106&lt;$C$28,$C$29,IF(M106&lt;$C$28+$C$31,$C$32,IF(M106&lt;$C$28+$C$31+$C$34,$C$35,$C$37))))</f>
        <v/>
      </c>
      <c r="N108" s="20">
        <f>IF(N106&lt;0,0,IF(N106&lt;$C$28,$C$29,IF(N106&lt;$C$28+$C$31,$C$32,IF(N106&lt;$C$28+$C$31+$C$34,$C$35,$C$37))))</f>
        <v/>
      </c>
      <c r="O108" s="20">
        <f>IF(O106&lt;0,0,IF(O106&lt;$C$28,$C$29,IF(O106&lt;$C$28+$C$31,$C$32,IF(O106&lt;$C$28+$C$31+$C$34,$C$35,$C$37))))</f>
        <v/>
      </c>
      <c r="P108" s="20">
        <f>IF(P106&lt;0,0,IF(P106&lt;$C$28,$C$29,IF(P106&lt;$C$28+$C$31,$C$32,IF(P106&lt;$C$28+$C$31+$C$34,$C$35,$C$37))))</f>
        <v/>
      </c>
      <c r="Q108" s="20">
        <f>IF(Q106&lt;0,0,IF(Q106&lt;$C$28,$C$29,IF(Q106&lt;$C$28+$C$31,$C$32,IF(Q106&lt;$C$28+$C$31+$C$34,$C$35,$C$37))))</f>
        <v/>
      </c>
      <c r="R108" s="20">
        <f>IF(R106&lt;0,0,IF(R106&lt;$C$28,$C$29,IF(R106&lt;$C$28+$C$31,$C$32,IF(R106&lt;$C$28+$C$31+$C$34,$C$35,$C$37))))</f>
        <v/>
      </c>
      <c r="S108" s="20">
        <f>IF(S106&lt;0,0,IF(S106&lt;$C$28,$C$29,IF(S106&lt;$C$28+$C$31,$C$32,IF(S106&lt;$C$28+$C$31+$C$34,$C$35,$C$37))))</f>
        <v/>
      </c>
      <c r="T108" s="20">
        <f>IF(T106&lt;0,0,IF(T106&lt;$C$28,$C$29,IF(T106&lt;$C$28+$C$31,$C$32,IF(T106&lt;$C$28+$C$31+$C$34,$C$35,$C$37))))</f>
        <v/>
      </c>
      <c r="U108" s="20">
        <f>IF(U106&lt;0,0,IF(U106&lt;$C$28,$C$29,IF(U106&lt;$C$28+$C$31,$C$32,IF(U106&lt;$C$28+$C$31+$C$34,$C$35,$C$37))))</f>
        <v/>
      </c>
      <c r="V108" s="20">
        <f>IF(V106&lt;0,0,IF(V106&lt;$C$28,$C$29,IF(V106&lt;$C$28+$C$31,$C$32,IF(V106&lt;$C$28+$C$31+$C$34,$C$35,$C$37))))</f>
        <v/>
      </c>
      <c r="W108" s="20">
        <f>IF(W106&lt;0,0,IF(W106&lt;$C$28,$C$29,IF(W106&lt;$C$28+$C$31,$C$32,IF(W106&lt;$C$28+$C$31+$C$34,$C$35,$C$37))))</f>
        <v/>
      </c>
      <c r="X108" s="20">
        <f>IF(X106&lt;0,0,IF(X106&lt;$C$28,$C$29,IF(X106&lt;$C$28+$C$31,$C$32,IF(X106&lt;$C$28+$C$31+$C$34,$C$35,$C$37))))</f>
        <v/>
      </c>
      <c r="Y108" s="20">
        <f>IF(Y106&lt;0,0,IF(Y106&lt;$C$28,$C$29,IF(Y106&lt;$C$28+$C$31,$C$32,IF(Y106&lt;$C$28+$C$31+$C$34,$C$35,$C$37))))</f>
        <v/>
      </c>
      <c r="Z108" s="20">
        <f>IF(Z106&lt;0,0,IF(Z106&lt;$C$28,$C$29,IF(Z106&lt;$C$28+$C$31,$C$32,IF(Z106&lt;$C$28+$C$31+$C$34,$C$35,$C$37))))</f>
        <v/>
      </c>
      <c r="AA108" s="20">
        <f>IF(AA106&lt;0,0,IF(AA106&lt;$C$28,$C$29,IF(AA106&lt;$C$28+$C$31,$C$32,IF(AA106&lt;$C$28+$C$31+$C$34,$C$35,$C$37))))</f>
        <v/>
      </c>
      <c r="AB108" s="20">
        <f>IF(AB106&lt;0,0,IF(AB106&lt;$C$28,$C$29,IF(AB106&lt;$C$28+$C$31,$C$32,IF(AB106&lt;$C$28+$C$31+$C$34,$C$35,$C$37))))</f>
        <v/>
      </c>
      <c r="AC108" s="20">
        <f>IF(AC106&lt;0,0,IF(AC106&lt;$C$28,$C$29,IF(AC106&lt;$C$28+$C$31,$C$32,IF(AC106&lt;$C$28+$C$31+$C$34,$C$35,$C$37))))</f>
        <v/>
      </c>
      <c r="AD108" s="20">
        <f>IF(AD106&lt;0,0,IF(AD106&lt;$C$28,$C$29,IF(AD106&lt;$C$28+$C$31,$C$32,IF(AD106&lt;$C$28+$C$31+$C$34,$C$35,$C$37))))</f>
        <v/>
      </c>
      <c r="AE108" s="20">
        <f>IF(AE106&lt;0,0,IF(AE106&lt;$C$28,$C$29,IF(AE106&lt;$C$28+$C$31,$C$32,IF(AE106&lt;$C$28+$C$31+$C$34,$C$35,$C$37))))</f>
        <v/>
      </c>
      <c r="AF108" s="20">
        <f>IF(AF106&lt;0,0,IF(AF106&lt;$C$28,$C$29,IF(AF106&lt;$C$28+$C$31,$C$32,IF(AF106&lt;$C$28+$C$31+$C$34,$C$35,$C$37))))</f>
        <v/>
      </c>
    </row>
    <row r="109">
      <c r="A109" s="3" t="inlineStr">
        <is>
          <t>Nuovi clienti da pubblicità</t>
        </is>
      </c>
      <c r="C109" s="24">
        <f>IF(C107&gt;0,C107/C108,0)</f>
        <v/>
      </c>
      <c r="D109" s="24">
        <f>IF(D107&gt;0,D107/D108,0)</f>
        <v/>
      </c>
      <c r="E109" s="24">
        <f>IF(E107&gt;0,E107/E108,0)</f>
        <v/>
      </c>
      <c r="F109" s="24">
        <f>IF(F107&gt;0,F107/F108,0)</f>
        <v/>
      </c>
      <c r="G109" s="24">
        <f>IF(G107&gt;0,G107/G108,0)</f>
        <v/>
      </c>
      <c r="H109" s="24">
        <f>IF(H107&gt;0,H107/H108,0)</f>
        <v/>
      </c>
      <c r="I109" s="24">
        <f>IF(I107&gt;0,I107/I108,0)</f>
        <v/>
      </c>
      <c r="J109" s="24">
        <f>IF(J107&gt;0,J107/J108,0)</f>
        <v/>
      </c>
      <c r="K109" s="24">
        <f>IF(K107&gt;0,K107/K108,0)</f>
        <v/>
      </c>
      <c r="L109" s="24">
        <f>IF(L107&gt;0,L107/L108,0)</f>
        <v/>
      </c>
      <c r="M109" s="24">
        <f>IF(M107&gt;0,M107/M108,0)</f>
        <v/>
      </c>
      <c r="N109" s="24">
        <f>IF(N107&gt;0,N107/N108,0)</f>
        <v/>
      </c>
      <c r="O109" s="24">
        <f>IF(O107&gt;0,O107/O108,0)</f>
        <v/>
      </c>
      <c r="P109" s="24">
        <f>IF(P107&gt;0,P107/P108,0)</f>
        <v/>
      </c>
      <c r="Q109" s="24">
        <f>IF(Q107&gt;0,Q107/Q108,0)</f>
        <v/>
      </c>
      <c r="R109" s="24">
        <f>IF(R107&gt;0,R107/R108,0)</f>
        <v/>
      </c>
      <c r="S109" s="24">
        <f>IF(S107&gt;0,S107/S108,0)</f>
        <v/>
      </c>
      <c r="T109" s="24">
        <f>IF(T107&gt;0,T107/T108,0)</f>
        <v/>
      </c>
      <c r="U109" s="24">
        <f>IF(U107&gt;0,U107/U108,0)</f>
        <v/>
      </c>
      <c r="V109" s="24">
        <f>IF(V107&gt;0,V107/V108,0)</f>
        <v/>
      </c>
      <c r="W109" s="24">
        <f>IF(W107&gt;0,W107/W108,0)</f>
        <v/>
      </c>
      <c r="X109" s="24">
        <f>IF(X107&gt;0,X107/X108,0)</f>
        <v/>
      </c>
      <c r="Y109" s="24">
        <f>IF(Y107&gt;0,Y107/Y108,0)</f>
        <v/>
      </c>
      <c r="Z109" s="24">
        <f>IF(Z107&gt;0,Z107/Z108,0)</f>
        <v/>
      </c>
      <c r="AA109" s="24">
        <f>IF(AA107&gt;0,AA107/AA108,0)</f>
        <v/>
      </c>
      <c r="AB109" s="24">
        <f>IF(AB107&gt;0,AB107/AB108,0)</f>
        <v/>
      </c>
      <c r="AC109" s="24">
        <f>IF(AC107&gt;0,AC107/AC108,0)</f>
        <v/>
      </c>
      <c r="AD109" s="24">
        <f>IF(AD107&gt;0,AD107/AD108,0)</f>
        <v/>
      </c>
      <c r="AE109" s="24">
        <f>IF(AE107&gt;0,AE107/AE108,0)</f>
        <v/>
      </c>
      <c r="AF109" s="24">
        <f>IF(AF107&gt;0,AF107/AF108,0)</f>
        <v/>
      </c>
    </row>
    <row r="110">
      <c r="A110" s="3" t="inlineStr">
        <is>
          <t>Nuovi clienti da canali non pagati</t>
        </is>
      </c>
      <c r="C110" s="24">
        <f>IF(C106&gt;=0,$C$26,0)</f>
        <v/>
      </c>
      <c r="D110" s="24">
        <f>IF(D106&gt;=0,$C$26,0)</f>
        <v/>
      </c>
      <c r="E110" s="24">
        <f>IF(E106&gt;=0,$C$26,0)</f>
        <v/>
      </c>
      <c r="F110" s="24">
        <f>IF(F106&gt;=0,$C$26,0)</f>
        <v/>
      </c>
      <c r="G110" s="24">
        <f>IF(G106&gt;=0,$C$26,0)</f>
        <v/>
      </c>
      <c r="H110" s="24">
        <f>IF(H106&gt;=0,$C$26,0)</f>
        <v/>
      </c>
      <c r="I110" s="24">
        <f>IF(I106&gt;=0,$C$26,0)</f>
        <v/>
      </c>
      <c r="J110" s="24">
        <f>IF(J106&gt;=0,$C$26,0)</f>
        <v/>
      </c>
      <c r="K110" s="24">
        <f>IF(K106&gt;=0,$C$26,0)</f>
        <v/>
      </c>
      <c r="L110" s="24">
        <f>IF(L106&gt;=0,$C$26,0)</f>
        <v/>
      </c>
      <c r="M110" s="24">
        <f>IF(M106&gt;=0,$C$26,0)</f>
        <v/>
      </c>
      <c r="N110" s="24">
        <f>IF(N106&gt;=0,$C$26,0)</f>
        <v/>
      </c>
      <c r="O110" s="24">
        <f>IF(O106&gt;=0,$C$26,0)</f>
        <v/>
      </c>
      <c r="P110" s="24">
        <f>IF(P106&gt;=0,$C$26,0)</f>
        <v/>
      </c>
      <c r="Q110" s="24">
        <f>IF(Q106&gt;=0,$C$26,0)</f>
        <v/>
      </c>
      <c r="R110" s="24">
        <f>IF(R106&gt;=0,$C$26,0)</f>
        <v/>
      </c>
      <c r="S110" s="24">
        <f>IF(S106&gt;=0,$C$26,0)</f>
        <v/>
      </c>
      <c r="T110" s="24">
        <f>IF(T106&gt;=0,$C$26,0)</f>
        <v/>
      </c>
      <c r="U110" s="24">
        <f>IF(U106&gt;=0,$C$26,0)</f>
        <v/>
      </c>
      <c r="V110" s="24">
        <f>IF(V106&gt;=0,$C$26,0)</f>
        <v/>
      </c>
      <c r="W110" s="24">
        <f>IF(W106&gt;=0,$C$26,0)</f>
        <v/>
      </c>
      <c r="X110" s="24">
        <f>IF(X106&gt;=0,$C$26,0)</f>
        <v/>
      </c>
      <c r="Y110" s="24">
        <f>IF(Y106&gt;=0,$C$26,0)</f>
        <v/>
      </c>
      <c r="Z110" s="24">
        <f>IF(Z106&gt;=0,$C$26,0)</f>
        <v/>
      </c>
      <c r="AA110" s="24">
        <f>IF(AA106&gt;=0,$C$26,0)</f>
        <v/>
      </c>
      <c r="AB110" s="24">
        <f>IF(AB106&gt;=0,$C$26,0)</f>
        <v/>
      </c>
      <c r="AC110" s="24">
        <f>IF(AC106&gt;=0,$C$26,0)</f>
        <v/>
      </c>
      <c r="AD110" s="24">
        <f>IF(AD106&gt;=0,$C$26,0)</f>
        <v/>
      </c>
      <c r="AE110" s="24">
        <f>IF(AE106&gt;=0,$C$26,0)</f>
        <v/>
      </c>
      <c r="AF110" s="24">
        <f>IF(AF106&gt;=0,$C$26,0)</f>
        <v/>
      </c>
    </row>
    <row r="111">
      <c r="A111" s="3" t="inlineStr">
        <is>
          <t>Nuovi clienti totali</t>
        </is>
      </c>
      <c r="C111" s="24">
        <f>C109+C110</f>
        <v/>
      </c>
      <c r="D111" s="24">
        <f>D109+D110</f>
        <v/>
      </c>
      <c r="E111" s="24">
        <f>E109+E110</f>
        <v/>
      </c>
      <c r="F111" s="24">
        <f>F109+F110</f>
        <v/>
      </c>
      <c r="G111" s="24">
        <f>G109+G110</f>
        <v/>
      </c>
      <c r="H111" s="24">
        <f>H109+H110</f>
        <v/>
      </c>
      <c r="I111" s="24">
        <f>I109+I110</f>
        <v/>
      </c>
      <c r="J111" s="24">
        <f>J109+J110</f>
        <v/>
      </c>
      <c r="K111" s="24">
        <f>K109+K110</f>
        <v/>
      </c>
      <c r="L111" s="24">
        <f>L109+L110</f>
        <v/>
      </c>
      <c r="M111" s="24">
        <f>M109+M110</f>
        <v/>
      </c>
      <c r="N111" s="24">
        <f>N109+N110</f>
        <v/>
      </c>
      <c r="O111" s="24">
        <f>O109+O110</f>
        <v/>
      </c>
      <c r="P111" s="24">
        <f>P109+P110</f>
        <v/>
      </c>
      <c r="Q111" s="24">
        <f>Q109+Q110</f>
        <v/>
      </c>
      <c r="R111" s="24">
        <f>R109+R110</f>
        <v/>
      </c>
      <c r="S111" s="24">
        <f>S109+S110</f>
        <v/>
      </c>
      <c r="T111" s="24">
        <f>T109+T110</f>
        <v/>
      </c>
      <c r="U111" s="24">
        <f>U109+U110</f>
        <v/>
      </c>
      <c r="V111" s="24">
        <f>V109+V110</f>
        <v/>
      </c>
      <c r="W111" s="24">
        <f>W109+W110</f>
        <v/>
      </c>
      <c r="X111" s="24">
        <f>X109+X110</f>
        <v/>
      </c>
      <c r="Y111" s="24">
        <f>Y109+Y110</f>
        <v/>
      </c>
      <c r="Z111" s="24">
        <f>Z109+Z110</f>
        <v/>
      </c>
      <c r="AA111" s="24">
        <f>AA109+AA110</f>
        <v/>
      </c>
      <c r="AB111" s="24">
        <f>AB109+AB110</f>
        <v/>
      </c>
      <c r="AC111" s="24">
        <f>AC109+AC110</f>
        <v/>
      </c>
      <c r="AD111" s="24">
        <f>AD109+AD110</f>
        <v/>
      </c>
      <c r="AE111" s="24">
        <f>AE109+AE110</f>
        <v/>
      </c>
      <c r="AF111" s="24">
        <f>AF109+AF110</f>
        <v/>
      </c>
    </row>
    <row r="112">
      <c r="A112" s="3" t="inlineStr">
        <is>
          <t>Nuovi clienti: Percorso 6</t>
        </is>
      </c>
      <c r="C112" s="24">
        <f>C111*$C$8</f>
        <v/>
      </c>
      <c r="D112" s="24">
        <f>D111*$C$8</f>
        <v/>
      </c>
      <c r="E112" s="24">
        <f>E111*$C$8</f>
        <v/>
      </c>
      <c r="F112" s="24">
        <f>F111*$C$8</f>
        <v/>
      </c>
      <c r="G112" s="24">
        <f>G111*$C$8</f>
        <v/>
      </c>
      <c r="H112" s="24">
        <f>H111*$C$8</f>
        <v/>
      </c>
      <c r="I112" s="24">
        <f>I111*$C$8</f>
        <v/>
      </c>
      <c r="J112" s="24">
        <f>J111*$C$8</f>
        <v/>
      </c>
      <c r="K112" s="24">
        <f>K111*$C$8</f>
        <v/>
      </c>
      <c r="L112" s="24">
        <f>L111*$C$8</f>
        <v/>
      </c>
      <c r="M112" s="24">
        <f>M111*$C$8</f>
        <v/>
      </c>
      <c r="N112" s="24">
        <f>N111*$C$8</f>
        <v/>
      </c>
      <c r="O112" s="24">
        <f>O111*$C$8</f>
        <v/>
      </c>
      <c r="P112" s="24">
        <f>P111*$C$8</f>
        <v/>
      </c>
      <c r="Q112" s="24">
        <f>Q111*$C$8</f>
        <v/>
      </c>
      <c r="R112" s="24">
        <f>R111*$C$8</f>
        <v/>
      </c>
      <c r="S112" s="24">
        <f>S111*$C$8</f>
        <v/>
      </c>
      <c r="T112" s="24">
        <f>T111*$C$8</f>
        <v/>
      </c>
      <c r="U112" s="24">
        <f>U111*$C$8</f>
        <v/>
      </c>
      <c r="V112" s="24">
        <f>V111*$C$8</f>
        <v/>
      </c>
      <c r="W112" s="24">
        <f>W111*$C$8</f>
        <v/>
      </c>
      <c r="X112" s="24">
        <f>X111*$C$8</f>
        <v/>
      </c>
      <c r="Y112" s="24">
        <f>Y111*$C$8</f>
        <v/>
      </c>
      <c r="Z112" s="24">
        <f>Z111*$C$8</f>
        <v/>
      </c>
      <c r="AA112" s="24">
        <f>AA111*$C$8</f>
        <v/>
      </c>
      <c r="AB112" s="24">
        <f>AB111*$C$8</f>
        <v/>
      </c>
      <c r="AC112" s="24">
        <f>AC111*$C$8</f>
        <v/>
      </c>
      <c r="AD112" s="24">
        <f>AD111*$C$8</f>
        <v/>
      </c>
      <c r="AE112" s="24">
        <f>AE111*$C$8</f>
        <v/>
      </c>
      <c r="AF112" s="24">
        <f>AF111*$C$8</f>
        <v/>
      </c>
    </row>
    <row r="113">
      <c r="A113" s="3" t="inlineStr">
        <is>
          <t>Nuovi clienti: Percorso 3</t>
        </is>
      </c>
      <c r="C113" s="24">
        <f>C111*$C$9</f>
        <v/>
      </c>
      <c r="D113" s="24">
        <f>D111*$C$9</f>
        <v/>
      </c>
      <c r="E113" s="24">
        <f>E111*$C$9</f>
        <v/>
      </c>
      <c r="F113" s="24">
        <f>F111*$C$9</f>
        <v/>
      </c>
      <c r="G113" s="24">
        <f>G111*$C$9</f>
        <v/>
      </c>
      <c r="H113" s="24">
        <f>H111*$C$9</f>
        <v/>
      </c>
      <c r="I113" s="24">
        <f>I111*$C$9</f>
        <v/>
      </c>
      <c r="J113" s="24">
        <f>J111*$C$9</f>
        <v/>
      </c>
      <c r="K113" s="24">
        <f>K111*$C$9</f>
        <v/>
      </c>
      <c r="L113" s="24">
        <f>L111*$C$9</f>
        <v/>
      </c>
      <c r="M113" s="24">
        <f>M111*$C$9</f>
        <v/>
      </c>
      <c r="N113" s="24">
        <f>N111*$C$9</f>
        <v/>
      </c>
      <c r="O113" s="24">
        <f>O111*$C$9</f>
        <v/>
      </c>
      <c r="P113" s="24">
        <f>P111*$C$9</f>
        <v/>
      </c>
      <c r="Q113" s="24">
        <f>Q111*$C$9</f>
        <v/>
      </c>
      <c r="R113" s="24">
        <f>R111*$C$9</f>
        <v/>
      </c>
      <c r="S113" s="24">
        <f>S111*$C$9</f>
        <v/>
      </c>
      <c r="T113" s="24">
        <f>T111*$C$9</f>
        <v/>
      </c>
      <c r="U113" s="24">
        <f>U111*$C$9</f>
        <v/>
      </c>
      <c r="V113" s="24">
        <f>V111*$C$9</f>
        <v/>
      </c>
      <c r="W113" s="24">
        <f>W111*$C$9</f>
        <v/>
      </c>
      <c r="X113" s="24">
        <f>X111*$C$9</f>
        <v/>
      </c>
      <c r="Y113" s="24">
        <f>Y111*$C$9</f>
        <v/>
      </c>
      <c r="Z113" s="24">
        <f>Z111*$C$9</f>
        <v/>
      </c>
      <c r="AA113" s="24">
        <f>AA111*$C$9</f>
        <v/>
      </c>
      <c r="AB113" s="24">
        <f>AB111*$C$9</f>
        <v/>
      </c>
      <c r="AC113" s="24">
        <f>AC111*$C$9</f>
        <v/>
      </c>
      <c r="AD113" s="24">
        <f>AD111*$C$9</f>
        <v/>
      </c>
      <c r="AE113" s="24">
        <f>AE111*$C$9</f>
        <v/>
      </c>
      <c r="AF113" s="24">
        <f>AF111*$C$9</f>
        <v/>
      </c>
    </row>
    <row r="114">
      <c r="A114" s="3" t="inlineStr">
        <is>
          <t>Nuovi clienti: Abbonamento</t>
        </is>
      </c>
      <c r="C114" s="24">
        <f>C111*$C$10</f>
        <v/>
      </c>
      <c r="D114" s="24">
        <f>D111*$C$10</f>
        <v/>
      </c>
      <c r="E114" s="24">
        <f>E111*$C$10</f>
        <v/>
      </c>
      <c r="F114" s="24">
        <f>F111*$C$10</f>
        <v/>
      </c>
      <c r="G114" s="24">
        <f>G111*$C$10</f>
        <v/>
      </c>
      <c r="H114" s="24">
        <f>H111*$C$10</f>
        <v/>
      </c>
      <c r="I114" s="24">
        <f>I111*$C$10</f>
        <v/>
      </c>
      <c r="J114" s="24">
        <f>J111*$C$10</f>
        <v/>
      </c>
      <c r="K114" s="24">
        <f>K111*$C$10</f>
        <v/>
      </c>
      <c r="L114" s="24">
        <f>L111*$C$10</f>
        <v/>
      </c>
      <c r="M114" s="24">
        <f>M111*$C$10</f>
        <v/>
      </c>
      <c r="N114" s="24">
        <f>N111*$C$10</f>
        <v/>
      </c>
      <c r="O114" s="24">
        <f>O111*$C$10</f>
        <v/>
      </c>
      <c r="P114" s="24">
        <f>P111*$C$10</f>
        <v/>
      </c>
      <c r="Q114" s="24">
        <f>Q111*$C$10</f>
        <v/>
      </c>
      <c r="R114" s="24">
        <f>R111*$C$10</f>
        <v/>
      </c>
      <c r="S114" s="24">
        <f>S111*$C$10</f>
        <v/>
      </c>
      <c r="T114" s="24">
        <f>T111*$C$10</f>
        <v/>
      </c>
      <c r="U114" s="24">
        <f>U111*$C$10</f>
        <v/>
      </c>
      <c r="V114" s="24">
        <f>V111*$C$10</f>
        <v/>
      </c>
      <c r="W114" s="24">
        <f>W111*$C$10</f>
        <v/>
      </c>
      <c r="X114" s="24">
        <f>X111*$C$10</f>
        <v/>
      </c>
      <c r="Y114" s="24">
        <f>Y111*$C$10</f>
        <v/>
      </c>
      <c r="Z114" s="24">
        <f>Z111*$C$10</f>
        <v/>
      </c>
      <c r="AA114" s="24">
        <f>AA111*$C$10</f>
        <v/>
      </c>
      <c r="AB114" s="24">
        <f>AB111*$C$10</f>
        <v/>
      </c>
      <c r="AC114" s="24">
        <f>AC111*$C$10</f>
        <v/>
      </c>
      <c r="AD114" s="24">
        <f>AD111*$C$10</f>
        <v/>
      </c>
      <c r="AE114" s="24">
        <f>AE111*$C$10</f>
        <v/>
      </c>
      <c r="AF114" s="24">
        <f>AF111*$C$10</f>
        <v/>
      </c>
    </row>
    <row r="115">
      <c r="A115" s="3" t="inlineStr">
        <is>
          <t>Nuovi clienti: Singolo</t>
        </is>
      </c>
      <c r="C115" s="24">
        <f>C111*$C$11</f>
        <v/>
      </c>
      <c r="D115" s="24">
        <f>D111*$C$11</f>
        <v/>
      </c>
      <c r="E115" s="24">
        <f>E111*$C$11</f>
        <v/>
      </c>
      <c r="F115" s="24">
        <f>F111*$C$11</f>
        <v/>
      </c>
      <c r="G115" s="24">
        <f>G111*$C$11</f>
        <v/>
      </c>
      <c r="H115" s="24">
        <f>H111*$C$11</f>
        <v/>
      </c>
      <c r="I115" s="24">
        <f>I111*$C$11</f>
        <v/>
      </c>
      <c r="J115" s="24">
        <f>J111*$C$11</f>
        <v/>
      </c>
      <c r="K115" s="24">
        <f>K111*$C$11</f>
        <v/>
      </c>
      <c r="L115" s="24">
        <f>L111*$C$11</f>
        <v/>
      </c>
      <c r="M115" s="24">
        <f>M111*$C$11</f>
        <v/>
      </c>
      <c r="N115" s="24">
        <f>N111*$C$11</f>
        <v/>
      </c>
      <c r="O115" s="24">
        <f>O111*$C$11</f>
        <v/>
      </c>
      <c r="P115" s="24">
        <f>P111*$C$11</f>
        <v/>
      </c>
      <c r="Q115" s="24">
        <f>Q111*$C$11</f>
        <v/>
      </c>
      <c r="R115" s="24">
        <f>R111*$C$11</f>
        <v/>
      </c>
      <c r="S115" s="24">
        <f>S111*$C$11</f>
        <v/>
      </c>
      <c r="T115" s="24">
        <f>T111*$C$11</f>
        <v/>
      </c>
      <c r="U115" s="24">
        <f>U111*$C$11</f>
        <v/>
      </c>
      <c r="V115" s="24">
        <f>V111*$C$11</f>
        <v/>
      </c>
      <c r="W115" s="24">
        <f>W111*$C$11</f>
        <v/>
      </c>
      <c r="X115" s="24">
        <f>X111*$C$11</f>
        <v/>
      </c>
      <c r="Y115" s="24">
        <f>Y111*$C$11</f>
        <v/>
      </c>
      <c r="Z115" s="24">
        <f>Z111*$C$11</f>
        <v/>
      </c>
      <c r="AA115" s="24">
        <f>AA111*$C$11</f>
        <v/>
      </c>
      <c r="AB115" s="24">
        <f>AB111*$C$11</f>
        <v/>
      </c>
      <c r="AC115" s="24">
        <f>AC111*$C$11</f>
        <v/>
      </c>
      <c r="AD115" s="24">
        <f>AD111*$C$11</f>
        <v/>
      </c>
      <c r="AE115" s="24">
        <f>AE111*$C$11</f>
        <v/>
      </c>
      <c r="AF115" s="24">
        <f>AF111*$C$11</f>
        <v/>
      </c>
    </row>
    <row r="116">
      <c r="A116" s="3" t="inlineStr">
        <is>
          <t>Creatività e gestione campagne</t>
        </is>
      </c>
      <c r="B116" s="4" t="inlineStr">
        <is>
          <t>€</t>
        </is>
      </c>
      <c r="C116" s="20">
        <f>IF(C107&gt;0,$C$38,0)</f>
        <v/>
      </c>
      <c r="D116" s="20">
        <f>IF(D107&gt;0,$C$38,0)</f>
        <v/>
      </c>
      <c r="E116" s="20">
        <f>IF(E107&gt;0,$C$38,0)</f>
        <v/>
      </c>
      <c r="F116" s="20">
        <f>IF(F107&gt;0,$C$38,0)</f>
        <v/>
      </c>
      <c r="G116" s="20">
        <f>IF(G107&gt;0,$C$38,0)</f>
        <v/>
      </c>
      <c r="H116" s="20">
        <f>IF(H107&gt;0,$C$38,0)</f>
        <v/>
      </c>
      <c r="I116" s="20">
        <f>IF(I107&gt;0,$C$38,0)</f>
        <v/>
      </c>
      <c r="J116" s="20">
        <f>IF(J107&gt;0,$C$38,0)</f>
        <v/>
      </c>
      <c r="K116" s="20">
        <f>IF(K107&gt;0,$C$38,0)</f>
        <v/>
      </c>
      <c r="L116" s="20">
        <f>IF(L107&gt;0,$C$38,0)</f>
        <v/>
      </c>
      <c r="M116" s="20">
        <f>IF(M107&gt;0,$C$38,0)</f>
        <v/>
      </c>
      <c r="N116" s="20">
        <f>IF(N107&gt;0,$C$38,0)</f>
        <v/>
      </c>
      <c r="O116" s="20">
        <f>IF(O107&gt;0,$C$38,0)</f>
        <v/>
      </c>
      <c r="P116" s="20">
        <f>IF(P107&gt;0,$C$38,0)</f>
        <v/>
      </c>
      <c r="Q116" s="20">
        <f>IF(Q107&gt;0,$C$38,0)</f>
        <v/>
      </c>
      <c r="R116" s="20">
        <f>IF(R107&gt;0,$C$38,0)</f>
        <v/>
      </c>
      <c r="S116" s="20">
        <f>IF(S107&gt;0,$C$38,0)</f>
        <v/>
      </c>
      <c r="T116" s="20">
        <f>IF(T107&gt;0,$C$38,0)</f>
        <v/>
      </c>
      <c r="U116" s="20">
        <f>IF(U107&gt;0,$C$38,0)</f>
        <v/>
      </c>
      <c r="V116" s="20">
        <f>IF(V107&gt;0,$C$38,0)</f>
        <v/>
      </c>
      <c r="W116" s="20">
        <f>IF(W107&gt;0,$C$38,0)</f>
        <v/>
      </c>
      <c r="X116" s="20">
        <f>IF(X107&gt;0,$C$38,0)</f>
        <v/>
      </c>
      <c r="Y116" s="20">
        <f>IF(Y107&gt;0,$C$38,0)</f>
        <v/>
      </c>
      <c r="Z116" s="20">
        <f>IF(Z107&gt;0,$C$38,0)</f>
        <v/>
      </c>
      <c r="AA116" s="20">
        <f>IF(AA107&gt;0,$C$38,0)</f>
        <v/>
      </c>
      <c r="AB116" s="20">
        <f>IF(AB107&gt;0,$C$38,0)</f>
        <v/>
      </c>
      <c r="AC116" s="20">
        <f>IF(AC107&gt;0,$C$38,0)</f>
        <v/>
      </c>
      <c r="AD116" s="20">
        <f>IF(AD107&gt;0,$C$38,0)</f>
        <v/>
      </c>
      <c r="AE116" s="20">
        <f>IF(AE107&gt;0,$C$38,0)</f>
        <v/>
      </c>
      <c r="AF116" s="20">
        <f>IF(AF107&gt;0,$C$38,0)</f>
        <v/>
      </c>
    </row>
    <row r="118">
      <c r="A118" s="10" t="inlineStr">
        <is>
          <t>Percorso 6: ordini per coorte (righe = mese di acquisizione, colonne = mese di calendario)</t>
        </is>
      </c>
    </row>
    <row r="119">
      <c r="A119" s="4" t="inlineStr">
        <is>
          <t>Coorte del mese 1</t>
        </is>
      </c>
      <c r="C119" s="24">
        <f>$C$112*INDEX($C$93:$AL$93,1,1)</f>
        <v/>
      </c>
      <c r="D119" s="24">
        <f>$C$112*INDEX($C$93:$AL$93,1,2)</f>
        <v/>
      </c>
      <c r="E119" s="24">
        <f>$C$112*INDEX($C$93:$AL$93,1,3)</f>
        <v/>
      </c>
      <c r="F119" s="24">
        <f>$C$112*INDEX($C$93:$AL$93,1,4)</f>
        <v/>
      </c>
      <c r="G119" s="24">
        <f>$C$112*INDEX($C$93:$AL$93,1,5)</f>
        <v/>
      </c>
      <c r="H119" s="24">
        <f>$C$112*INDEX($C$93:$AL$93,1,6)</f>
        <v/>
      </c>
      <c r="I119" s="24">
        <f>$C$112*INDEX($C$93:$AL$93,1,7)</f>
        <v/>
      </c>
      <c r="J119" s="24">
        <f>$C$112*INDEX($C$93:$AL$93,1,8)</f>
        <v/>
      </c>
      <c r="K119" s="24">
        <f>$C$112*INDEX($C$93:$AL$93,1,9)</f>
        <v/>
      </c>
      <c r="L119" s="24">
        <f>$C$112*INDEX($C$93:$AL$93,1,10)</f>
        <v/>
      </c>
      <c r="M119" s="24">
        <f>$C$112*INDEX($C$93:$AL$93,1,11)</f>
        <v/>
      </c>
      <c r="N119" s="24">
        <f>$C$112*INDEX($C$93:$AL$93,1,12)</f>
        <v/>
      </c>
      <c r="O119" s="24">
        <f>$C$112*INDEX($C$93:$AL$93,1,13)</f>
        <v/>
      </c>
      <c r="P119" s="24">
        <f>$C$112*INDEX($C$93:$AL$93,1,14)</f>
        <v/>
      </c>
      <c r="Q119" s="24">
        <f>$C$112*INDEX($C$93:$AL$93,1,15)</f>
        <v/>
      </c>
      <c r="R119" s="24">
        <f>$C$112*INDEX($C$93:$AL$93,1,16)</f>
        <v/>
      </c>
      <c r="S119" s="24">
        <f>$C$112*INDEX($C$93:$AL$93,1,17)</f>
        <v/>
      </c>
      <c r="T119" s="24">
        <f>$C$112*INDEX($C$93:$AL$93,1,18)</f>
        <v/>
      </c>
      <c r="U119" s="24">
        <f>$C$112*INDEX($C$93:$AL$93,1,19)</f>
        <v/>
      </c>
      <c r="V119" s="24">
        <f>$C$112*INDEX($C$93:$AL$93,1,20)</f>
        <v/>
      </c>
      <c r="W119" s="24">
        <f>$C$112*INDEX($C$93:$AL$93,1,21)</f>
        <v/>
      </c>
      <c r="X119" s="24">
        <f>$C$112*INDEX($C$93:$AL$93,1,22)</f>
        <v/>
      </c>
      <c r="Y119" s="24">
        <f>$C$112*INDEX($C$93:$AL$93,1,23)</f>
        <v/>
      </c>
      <c r="Z119" s="24">
        <f>$C$112*INDEX($C$93:$AL$93,1,24)</f>
        <v/>
      </c>
      <c r="AA119" s="24">
        <f>$C$112*INDEX($C$93:$AL$93,1,25)</f>
        <v/>
      </c>
      <c r="AB119" s="24">
        <f>$C$112*INDEX($C$93:$AL$93,1,26)</f>
        <v/>
      </c>
      <c r="AC119" s="24">
        <f>$C$112*INDEX($C$93:$AL$93,1,27)</f>
        <v/>
      </c>
      <c r="AD119" s="24">
        <f>$C$112*INDEX($C$93:$AL$93,1,28)</f>
        <v/>
      </c>
      <c r="AE119" s="24">
        <f>$C$112*INDEX($C$93:$AL$93,1,29)</f>
        <v/>
      </c>
      <c r="AF119" s="24">
        <f>$C$112*INDEX($C$93:$AL$93,1,30)</f>
        <v/>
      </c>
    </row>
    <row r="120">
      <c r="A120" s="4" t="inlineStr">
        <is>
          <t>Coorte del mese 2</t>
        </is>
      </c>
      <c r="C120" s="24" t="n">
        <v>0</v>
      </c>
      <c r="D120" s="24">
        <f>$D$112*INDEX($C$93:$AL$93,1,1)</f>
        <v/>
      </c>
      <c r="E120" s="24">
        <f>$D$112*INDEX($C$93:$AL$93,1,2)</f>
        <v/>
      </c>
      <c r="F120" s="24">
        <f>$D$112*INDEX($C$93:$AL$93,1,3)</f>
        <v/>
      </c>
      <c r="G120" s="24">
        <f>$D$112*INDEX($C$93:$AL$93,1,4)</f>
        <v/>
      </c>
      <c r="H120" s="24">
        <f>$D$112*INDEX($C$93:$AL$93,1,5)</f>
        <v/>
      </c>
      <c r="I120" s="24">
        <f>$D$112*INDEX($C$93:$AL$93,1,6)</f>
        <v/>
      </c>
      <c r="J120" s="24">
        <f>$D$112*INDEX($C$93:$AL$93,1,7)</f>
        <v/>
      </c>
      <c r="K120" s="24">
        <f>$D$112*INDEX($C$93:$AL$93,1,8)</f>
        <v/>
      </c>
      <c r="L120" s="24">
        <f>$D$112*INDEX($C$93:$AL$93,1,9)</f>
        <v/>
      </c>
      <c r="M120" s="24">
        <f>$D$112*INDEX($C$93:$AL$93,1,10)</f>
        <v/>
      </c>
      <c r="N120" s="24">
        <f>$D$112*INDEX($C$93:$AL$93,1,11)</f>
        <v/>
      </c>
      <c r="O120" s="24">
        <f>$D$112*INDEX($C$93:$AL$93,1,12)</f>
        <v/>
      </c>
      <c r="P120" s="24">
        <f>$D$112*INDEX($C$93:$AL$93,1,13)</f>
        <v/>
      </c>
      <c r="Q120" s="24">
        <f>$D$112*INDEX($C$93:$AL$93,1,14)</f>
        <v/>
      </c>
      <c r="R120" s="24">
        <f>$D$112*INDEX($C$93:$AL$93,1,15)</f>
        <v/>
      </c>
      <c r="S120" s="24">
        <f>$D$112*INDEX($C$93:$AL$93,1,16)</f>
        <v/>
      </c>
      <c r="T120" s="24">
        <f>$D$112*INDEX($C$93:$AL$93,1,17)</f>
        <v/>
      </c>
      <c r="U120" s="24">
        <f>$D$112*INDEX($C$93:$AL$93,1,18)</f>
        <v/>
      </c>
      <c r="V120" s="24">
        <f>$D$112*INDEX($C$93:$AL$93,1,19)</f>
        <v/>
      </c>
      <c r="W120" s="24">
        <f>$D$112*INDEX($C$93:$AL$93,1,20)</f>
        <v/>
      </c>
      <c r="X120" s="24">
        <f>$D$112*INDEX($C$93:$AL$93,1,21)</f>
        <v/>
      </c>
      <c r="Y120" s="24">
        <f>$D$112*INDEX($C$93:$AL$93,1,22)</f>
        <v/>
      </c>
      <c r="Z120" s="24">
        <f>$D$112*INDEX($C$93:$AL$93,1,23)</f>
        <v/>
      </c>
      <c r="AA120" s="24">
        <f>$D$112*INDEX($C$93:$AL$93,1,24)</f>
        <v/>
      </c>
      <c r="AB120" s="24">
        <f>$D$112*INDEX($C$93:$AL$93,1,25)</f>
        <v/>
      </c>
      <c r="AC120" s="24">
        <f>$D$112*INDEX($C$93:$AL$93,1,26)</f>
        <v/>
      </c>
      <c r="AD120" s="24">
        <f>$D$112*INDEX($C$93:$AL$93,1,27)</f>
        <v/>
      </c>
      <c r="AE120" s="24">
        <f>$D$112*INDEX($C$93:$AL$93,1,28)</f>
        <v/>
      </c>
      <c r="AF120" s="24">
        <f>$D$112*INDEX($C$93:$AL$93,1,29)</f>
        <v/>
      </c>
    </row>
    <row r="121">
      <c r="A121" s="4" t="inlineStr">
        <is>
          <t>Coorte del mese 3</t>
        </is>
      </c>
      <c r="C121" s="24" t="n">
        <v>0</v>
      </c>
      <c r="D121" s="24" t="n">
        <v>0</v>
      </c>
      <c r="E121" s="24">
        <f>$E$112*INDEX($C$93:$AL$93,1,1)</f>
        <v/>
      </c>
      <c r="F121" s="24">
        <f>$E$112*INDEX($C$93:$AL$93,1,2)</f>
        <v/>
      </c>
      <c r="G121" s="24">
        <f>$E$112*INDEX($C$93:$AL$93,1,3)</f>
        <v/>
      </c>
      <c r="H121" s="24">
        <f>$E$112*INDEX($C$93:$AL$93,1,4)</f>
        <v/>
      </c>
      <c r="I121" s="24">
        <f>$E$112*INDEX($C$93:$AL$93,1,5)</f>
        <v/>
      </c>
      <c r="J121" s="24">
        <f>$E$112*INDEX($C$93:$AL$93,1,6)</f>
        <v/>
      </c>
      <c r="K121" s="24">
        <f>$E$112*INDEX($C$93:$AL$93,1,7)</f>
        <v/>
      </c>
      <c r="L121" s="24">
        <f>$E$112*INDEX($C$93:$AL$93,1,8)</f>
        <v/>
      </c>
      <c r="M121" s="24">
        <f>$E$112*INDEX($C$93:$AL$93,1,9)</f>
        <v/>
      </c>
      <c r="N121" s="24">
        <f>$E$112*INDEX($C$93:$AL$93,1,10)</f>
        <v/>
      </c>
      <c r="O121" s="24">
        <f>$E$112*INDEX($C$93:$AL$93,1,11)</f>
        <v/>
      </c>
      <c r="P121" s="24">
        <f>$E$112*INDEX($C$93:$AL$93,1,12)</f>
        <v/>
      </c>
      <c r="Q121" s="24">
        <f>$E$112*INDEX($C$93:$AL$93,1,13)</f>
        <v/>
      </c>
      <c r="R121" s="24">
        <f>$E$112*INDEX($C$93:$AL$93,1,14)</f>
        <v/>
      </c>
      <c r="S121" s="24">
        <f>$E$112*INDEX($C$93:$AL$93,1,15)</f>
        <v/>
      </c>
      <c r="T121" s="24">
        <f>$E$112*INDEX($C$93:$AL$93,1,16)</f>
        <v/>
      </c>
      <c r="U121" s="24">
        <f>$E$112*INDEX($C$93:$AL$93,1,17)</f>
        <v/>
      </c>
      <c r="V121" s="24">
        <f>$E$112*INDEX($C$93:$AL$93,1,18)</f>
        <v/>
      </c>
      <c r="W121" s="24">
        <f>$E$112*INDEX($C$93:$AL$93,1,19)</f>
        <v/>
      </c>
      <c r="X121" s="24">
        <f>$E$112*INDEX($C$93:$AL$93,1,20)</f>
        <v/>
      </c>
      <c r="Y121" s="24">
        <f>$E$112*INDEX($C$93:$AL$93,1,21)</f>
        <v/>
      </c>
      <c r="Z121" s="24">
        <f>$E$112*INDEX($C$93:$AL$93,1,22)</f>
        <v/>
      </c>
      <c r="AA121" s="24">
        <f>$E$112*INDEX($C$93:$AL$93,1,23)</f>
        <v/>
      </c>
      <c r="AB121" s="24">
        <f>$E$112*INDEX($C$93:$AL$93,1,24)</f>
        <v/>
      </c>
      <c r="AC121" s="24">
        <f>$E$112*INDEX($C$93:$AL$93,1,25)</f>
        <v/>
      </c>
      <c r="AD121" s="24">
        <f>$E$112*INDEX($C$93:$AL$93,1,26)</f>
        <v/>
      </c>
      <c r="AE121" s="24">
        <f>$E$112*INDEX($C$93:$AL$93,1,27)</f>
        <v/>
      </c>
      <c r="AF121" s="24">
        <f>$E$112*INDEX($C$93:$AL$93,1,28)</f>
        <v/>
      </c>
    </row>
    <row r="122">
      <c r="A122" s="4" t="inlineStr">
        <is>
          <t>Coorte del mese 4</t>
        </is>
      </c>
      <c r="C122" s="24" t="n">
        <v>0</v>
      </c>
      <c r="D122" s="24" t="n">
        <v>0</v>
      </c>
      <c r="E122" s="24" t="n">
        <v>0</v>
      </c>
      <c r="F122" s="24">
        <f>$F$112*INDEX($C$93:$AL$93,1,1)</f>
        <v/>
      </c>
      <c r="G122" s="24">
        <f>$F$112*INDEX($C$93:$AL$93,1,2)</f>
        <v/>
      </c>
      <c r="H122" s="24">
        <f>$F$112*INDEX($C$93:$AL$93,1,3)</f>
        <v/>
      </c>
      <c r="I122" s="24">
        <f>$F$112*INDEX($C$93:$AL$93,1,4)</f>
        <v/>
      </c>
      <c r="J122" s="24">
        <f>$F$112*INDEX($C$93:$AL$93,1,5)</f>
        <v/>
      </c>
      <c r="K122" s="24">
        <f>$F$112*INDEX($C$93:$AL$93,1,6)</f>
        <v/>
      </c>
      <c r="L122" s="24">
        <f>$F$112*INDEX($C$93:$AL$93,1,7)</f>
        <v/>
      </c>
      <c r="M122" s="24">
        <f>$F$112*INDEX($C$93:$AL$93,1,8)</f>
        <v/>
      </c>
      <c r="N122" s="24">
        <f>$F$112*INDEX($C$93:$AL$93,1,9)</f>
        <v/>
      </c>
      <c r="O122" s="24">
        <f>$F$112*INDEX($C$93:$AL$93,1,10)</f>
        <v/>
      </c>
      <c r="P122" s="24">
        <f>$F$112*INDEX($C$93:$AL$93,1,11)</f>
        <v/>
      </c>
      <c r="Q122" s="24">
        <f>$F$112*INDEX($C$93:$AL$93,1,12)</f>
        <v/>
      </c>
      <c r="R122" s="24">
        <f>$F$112*INDEX($C$93:$AL$93,1,13)</f>
        <v/>
      </c>
      <c r="S122" s="24">
        <f>$F$112*INDEX($C$93:$AL$93,1,14)</f>
        <v/>
      </c>
      <c r="T122" s="24">
        <f>$F$112*INDEX($C$93:$AL$93,1,15)</f>
        <v/>
      </c>
      <c r="U122" s="24">
        <f>$F$112*INDEX($C$93:$AL$93,1,16)</f>
        <v/>
      </c>
      <c r="V122" s="24">
        <f>$F$112*INDEX($C$93:$AL$93,1,17)</f>
        <v/>
      </c>
      <c r="W122" s="24">
        <f>$F$112*INDEX($C$93:$AL$93,1,18)</f>
        <v/>
      </c>
      <c r="X122" s="24">
        <f>$F$112*INDEX($C$93:$AL$93,1,19)</f>
        <v/>
      </c>
      <c r="Y122" s="24">
        <f>$F$112*INDEX($C$93:$AL$93,1,20)</f>
        <v/>
      </c>
      <c r="Z122" s="24">
        <f>$F$112*INDEX($C$93:$AL$93,1,21)</f>
        <v/>
      </c>
      <c r="AA122" s="24">
        <f>$F$112*INDEX($C$93:$AL$93,1,22)</f>
        <v/>
      </c>
      <c r="AB122" s="24">
        <f>$F$112*INDEX($C$93:$AL$93,1,23)</f>
        <v/>
      </c>
      <c r="AC122" s="24">
        <f>$F$112*INDEX($C$93:$AL$93,1,24)</f>
        <v/>
      </c>
      <c r="AD122" s="24">
        <f>$F$112*INDEX($C$93:$AL$93,1,25)</f>
        <v/>
      </c>
      <c r="AE122" s="24">
        <f>$F$112*INDEX($C$93:$AL$93,1,26)</f>
        <v/>
      </c>
      <c r="AF122" s="24">
        <f>$F$112*INDEX($C$93:$AL$93,1,27)</f>
        <v/>
      </c>
    </row>
    <row r="123">
      <c r="A123" s="4" t="inlineStr">
        <is>
          <t>Coorte del mese 5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>
        <f>$G$112*INDEX($C$93:$AL$93,1,1)</f>
        <v/>
      </c>
      <c r="H123" s="24">
        <f>$G$112*INDEX($C$93:$AL$93,1,2)</f>
        <v/>
      </c>
      <c r="I123" s="24">
        <f>$G$112*INDEX($C$93:$AL$93,1,3)</f>
        <v/>
      </c>
      <c r="J123" s="24">
        <f>$G$112*INDEX($C$93:$AL$93,1,4)</f>
        <v/>
      </c>
      <c r="K123" s="24">
        <f>$G$112*INDEX($C$93:$AL$93,1,5)</f>
        <v/>
      </c>
      <c r="L123" s="24">
        <f>$G$112*INDEX($C$93:$AL$93,1,6)</f>
        <v/>
      </c>
      <c r="M123" s="24">
        <f>$G$112*INDEX($C$93:$AL$93,1,7)</f>
        <v/>
      </c>
      <c r="N123" s="24">
        <f>$G$112*INDEX($C$93:$AL$93,1,8)</f>
        <v/>
      </c>
      <c r="O123" s="24">
        <f>$G$112*INDEX($C$93:$AL$93,1,9)</f>
        <v/>
      </c>
      <c r="P123" s="24">
        <f>$G$112*INDEX($C$93:$AL$93,1,10)</f>
        <v/>
      </c>
      <c r="Q123" s="24">
        <f>$G$112*INDEX($C$93:$AL$93,1,11)</f>
        <v/>
      </c>
      <c r="R123" s="24">
        <f>$G$112*INDEX($C$93:$AL$93,1,12)</f>
        <v/>
      </c>
      <c r="S123" s="24">
        <f>$G$112*INDEX($C$93:$AL$93,1,13)</f>
        <v/>
      </c>
      <c r="T123" s="24">
        <f>$G$112*INDEX($C$93:$AL$93,1,14)</f>
        <v/>
      </c>
      <c r="U123" s="24">
        <f>$G$112*INDEX($C$93:$AL$93,1,15)</f>
        <v/>
      </c>
      <c r="V123" s="24">
        <f>$G$112*INDEX($C$93:$AL$93,1,16)</f>
        <v/>
      </c>
      <c r="W123" s="24">
        <f>$G$112*INDEX($C$93:$AL$93,1,17)</f>
        <v/>
      </c>
      <c r="X123" s="24">
        <f>$G$112*INDEX($C$93:$AL$93,1,18)</f>
        <v/>
      </c>
      <c r="Y123" s="24">
        <f>$G$112*INDEX($C$93:$AL$93,1,19)</f>
        <v/>
      </c>
      <c r="Z123" s="24">
        <f>$G$112*INDEX($C$93:$AL$93,1,20)</f>
        <v/>
      </c>
      <c r="AA123" s="24">
        <f>$G$112*INDEX($C$93:$AL$93,1,21)</f>
        <v/>
      </c>
      <c r="AB123" s="24">
        <f>$G$112*INDEX($C$93:$AL$93,1,22)</f>
        <v/>
      </c>
      <c r="AC123" s="24">
        <f>$G$112*INDEX($C$93:$AL$93,1,23)</f>
        <v/>
      </c>
      <c r="AD123" s="24">
        <f>$G$112*INDEX($C$93:$AL$93,1,24)</f>
        <v/>
      </c>
      <c r="AE123" s="24">
        <f>$G$112*INDEX($C$93:$AL$93,1,25)</f>
        <v/>
      </c>
      <c r="AF123" s="24">
        <f>$G$112*INDEX($C$93:$AL$93,1,26)</f>
        <v/>
      </c>
    </row>
    <row r="124">
      <c r="A124" s="4" t="inlineStr">
        <is>
          <t>Coorte del mese 6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>
        <f>$H$112*INDEX($C$93:$AL$93,1,1)</f>
        <v/>
      </c>
      <c r="I124" s="24">
        <f>$H$112*INDEX($C$93:$AL$93,1,2)</f>
        <v/>
      </c>
      <c r="J124" s="24">
        <f>$H$112*INDEX($C$93:$AL$93,1,3)</f>
        <v/>
      </c>
      <c r="K124" s="24">
        <f>$H$112*INDEX($C$93:$AL$93,1,4)</f>
        <v/>
      </c>
      <c r="L124" s="24">
        <f>$H$112*INDEX($C$93:$AL$93,1,5)</f>
        <v/>
      </c>
      <c r="M124" s="24">
        <f>$H$112*INDEX($C$93:$AL$93,1,6)</f>
        <v/>
      </c>
      <c r="N124" s="24">
        <f>$H$112*INDEX($C$93:$AL$93,1,7)</f>
        <v/>
      </c>
      <c r="O124" s="24">
        <f>$H$112*INDEX($C$93:$AL$93,1,8)</f>
        <v/>
      </c>
      <c r="P124" s="24">
        <f>$H$112*INDEX($C$93:$AL$93,1,9)</f>
        <v/>
      </c>
      <c r="Q124" s="24">
        <f>$H$112*INDEX($C$93:$AL$93,1,10)</f>
        <v/>
      </c>
      <c r="R124" s="24">
        <f>$H$112*INDEX($C$93:$AL$93,1,11)</f>
        <v/>
      </c>
      <c r="S124" s="24">
        <f>$H$112*INDEX($C$93:$AL$93,1,12)</f>
        <v/>
      </c>
      <c r="T124" s="24">
        <f>$H$112*INDEX($C$93:$AL$93,1,13)</f>
        <v/>
      </c>
      <c r="U124" s="24">
        <f>$H$112*INDEX($C$93:$AL$93,1,14)</f>
        <v/>
      </c>
      <c r="V124" s="24">
        <f>$H$112*INDEX($C$93:$AL$93,1,15)</f>
        <v/>
      </c>
      <c r="W124" s="24">
        <f>$H$112*INDEX($C$93:$AL$93,1,16)</f>
        <v/>
      </c>
      <c r="X124" s="24">
        <f>$H$112*INDEX($C$93:$AL$93,1,17)</f>
        <v/>
      </c>
      <c r="Y124" s="24">
        <f>$H$112*INDEX($C$93:$AL$93,1,18)</f>
        <v/>
      </c>
      <c r="Z124" s="24">
        <f>$H$112*INDEX($C$93:$AL$93,1,19)</f>
        <v/>
      </c>
      <c r="AA124" s="24">
        <f>$H$112*INDEX($C$93:$AL$93,1,20)</f>
        <v/>
      </c>
      <c r="AB124" s="24">
        <f>$H$112*INDEX($C$93:$AL$93,1,21)</f>
        <v/>
      </c>
      <c r="AC124" s="24">
        <f>$H$112*INDEX($C$93:$AL$93,1,22)</f>
        <v/>
      </c>
      <c r="AD124" s="24">
        <f>$H$112*INDEX($C$93:$AL$93,1,23)</f>
        <v/>
      </c>
      <c r="AE124" s="24">
        <f>$H$112*INDEX($C$93:$AL$93,1,24)</f>
        <v/>
      </c>
      <c r="AF124" s="24">
        <f>$H$112*INDEX($C$93:$AL$93,1,25)</f>
        <v/>
      </c>
    </row>
    <row r="125">
      <c r="A125" s="4" t="inlineStr">
        <is>
          <t>Coorte del mese 7</t>
        </is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>
        <f>$I$112*INDEX($C$93:$AL$93,1,1)</f>
        <v/>
      </c>
      <c r="J125" s="24">
        <f>$I$112*INDEX($C$93:$AL$93,1,2)</f>
        <v/>
      </c>
      <c r="K125" s="24">
        <f>$I$112*INDEX($C$93:$AL$93,1,3)</f>
        <v/>
      </c>
      <c r="L125" s="24">
        <f>$I$112*INDEX($C$93:$AL$93,1,4)</f>
        <v/>
      </c>
      <c r="M125" s="24">
        <f>$I$112*INDEX($C$93:$AL$93,1,5)</f>
        <v/>
      </c>
      <c r="N125" s="24">
        <f>$I$112*INDEX($C$93:$AL$93,1,6)</f>
        <v/>
      </c>
      <c r="O125" s="24">
        <f>$I$112*INDEX($C$93:$AL$93,1,7)</f>
        <v/>
      </c>
      <c r="P125" s="24">
        <f>$I$112*INDEX($C$93:$AL$93,1,8)</f>
        <v/>
      </c>
      <c r="Q125" s="24">
        <f>$I$112*INDEX($C$93:$AL$93,1,9)</f>
        <v/>
      </c>
      <c r="R125" s="24">
        <f>$I$112*INDEX($C$93:$AL$93,1,10)</f>
        <v/>
      </c>
      <c r="S125" s="24">
        <f>$I$112*INDEX($C$93:$AL$93,1,11)</f>
        <v/>
      </c>
      <c r="T125" s="24">
        <f>$I$112*INDEX($C$93:$AL$93,1,12)</f>
        <v/>
      </c>
      <c r="U125" s="24">
        <f>$I$112*INDEX($C$93:$AL$93,1,13)</f>
        <v/>
      </c>
      <c r="V125" s="24">
        <f>$I$112*INDEX($C$93:$AL$93,1,14)</f>
        <v/>
      </c>
      <c r="W125" s="24">
        <f>$I$112*INDEX($C$93:$AL$93,1,15)</f>
        <v/>
      </c>
      <c r="X125" s="24">
        <f>$I$112*INDEX($C$93:$AL$93,1,16)</f>
        <v/>
      </c>
      <c r="Y125" s="24">
        <f>$I$112*INDEX($C$93:$AL$93,1,17)</f>
        <v/>
      </c>
      <c r="Z125" s="24">
        <f>$I$112*INDEX($C$93:$AL$93,1,18)</f>
        <v/>
      </c>
      <c r="AA125" s="24">
        <f>$I$112*INDEX($C$93:$AL$93,1,19)</f>
        <v/>
      </c>
      <c r="AB125" s="24">
        <f>$I$112*INDEX($C$93:$AL$93,1,20)</f>
        <v/>
      </c>
      <c r="AC125" s="24">
        <f>$I$112*INDEX($C$93:$AL$93,1,21)</f>
        <v/>
      </c>
      <c r="AD125" s="24">
        <f>$I$112*INDEX($C$93:$AL$93,1,22)</f>
        <v/>
      </c>
      <c r="AE125" s="24">
        <f>$I$112*INDEX($C$93:$AL$93,1,23)</f>
        <v/>
      </c>
      <c r="AF125" s="24">
        <f>$I$112*INDEX($C$93:$AL$93,1,24)</f>
        <v/>
      </c>
    </row>
    <row r="126">
      <c r="A126" s="4" t="inlineStr">
        <is>
          <t>Coorte del mese 8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>
        <f>$J$112*INDEX($C$93:$AL$93,1,1)</f>
        <v/>
      </c>
      <c r="K126" s="24">
        <f>$J$112*INDEX($C$93:$AL$93,1,2)</f>
        <v/>
      </c>
      <c r="L126" s="24">
        <f>$J$112*INDEX($C$93:$AL$93,1,3)</f>
        <v/>
      </c>
      <c r="M126" s="24">
        <f>$J$112*INDEX($C$93:$AL$93,1,4)</f>
        <v/>
      </c>
      <c r="N126" s="24">
        <f>$J$112*INDEX($C$93:$AL$93,1,5)</f>
        <v/>
      </c>
      <c r="O126" s="24">
        <f>$J$112*INDEX($C$93:$AL$93,1,6)</f>
        <v/>
      </c>
      <c r="P126" s="24">
        <f>$J$112*INDEX($C$93:$AL$93,1,7)</f>
        <v/>
      </c>
      <c r="Q126" s="24">
        <f>$J$112*INDEX($C$93:$AL$93,1,8)</f>
        <v/>
      </c>
      <c r="R126" s="24">
        <f>$J$112*INDEX($C$93:$AL$93,1,9)</f>
        <v/>
      </c>
      <c r="S126" s="24">
        <f>$J$112*INDEX($C$93:$AL$93,1,10)</f>
        <v/>
      </c>
      <c r="T126" s="24">
        <f>$J$112*INDEX($C$93:$AL$93,1,11)</f>
        <v/>
      </c>
      <c r="U126" s="24">
        <f>$J$112*INDEX($C$93:$AL$93,1,12)</f>
        <v/>
      </c>
      <c r="V126" s="24">
        <f>$J$112*INDEX($C$93:$AL$93,1,13)</f>
        <v/>
      </c>
      <c r="W126" s="24">
        <f>$J$112*INDEX($C$93:$AL$93,1,14)</f>
        <v/>
      </c>
      <c r="X126" s="24">
        <f>$J$112*INDEX($C$93:$AL$93,1,15)</f>
        <v/>
      </c>
      <c r="Y126" s="24">
        <f>$J$112*INDEX($C$93:$AL$93,1,16)</f>
        <v/>
      </c>
      <c r="Z126" s="24">
        <f>$J$112*INDEX($C$93:$AL$93,1,17)</f>
        <v/>
      </c>
      <c r="AA126" s="24">
        <f>$J$112*INDEX($C$93:$AL$93,1,18)</f>
        <v/>
      </c>
      <c r="AB126" s="24">
        <f>$J$112*INDEX($C$93:$AL$93,1,19)</f>
        <v/>
      </c>
      <c r="AC126" s="24">
        <f>$J$112*INDEX($C$93:$AL$93,1,20)</f>
        <v/>
      </c>
      <c r="AD126" s="24">
        <f>$J$112*INDEX($C$93:$AL$93,1,21)</f>
        <v/>
      </c>
      <c r="AE126" s="24">
        <f>$J$112*INDEX($C$93:$AL$93,1,22)</f>
        <v/>
      </c>
      <c r="AF126" s="24">
        <f>$J$112*INDEX($C$93:$AL$93,1,23)</f>
        <v/>
      </c>
    </row>
    <row r="127">
      <c r="A127" s="4" t="inlineStr">
        <is>
          <t>Coorte del mese 9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>
        <f>$K$112*INDEX($C$93:$AL$93,1,1)</f>
        <v/>
      </c>
      <c r="L127" s="24">
        <f>$K$112*INDEX($C$93:$AL$93,1,2)</f>
        <v/>
      </c>
      <c r="M127" s="24">
        <f>$K$112*INDEX($C$93:$AL$93,1,3)</f>
        <v/>
      </c>
      <c r="N127" s="24">
        <f>$K$112*INDEX($C$93:$AL$93,1,4)</f>
        <v/>
      </c>
      <c r="O127" s="24">
        <f>$K$112*INDEX($C$93:$AL$93,1,5)</f>
        <v/>
      </c>
      <c r="P127" s="24">
        <f>$K$112*INDEX($C$93:$AL$93,1,6)</f>
        <v/>
      </c>
      <c r="Q127" s="24">
        <f>$K$112*INDEX($C$93:$AL$93,1,7)</f>
        <v/>
      </c>
      <c r="R127" s="24">
        <f>$K$112*INDEX($C$93:$AL$93,1,8)</f>
        <v/>
      </c>
      <c r="S127" s="24">
        <f>$K$112*INDEX($C$93:$AL$93,1,9)</f>
        <v/>
      </c>
      <c r="T127" s="24">
        <f>$K$112*INDEX($C$93:$AL$93,1,10)</f>
        <v/>
      </c>
      <c r="U127" s="24">
        <f>$K$112*INDEX($C$93:$AL$93,1,11)</f>
        <v/>
      </c>
      <c r="V127" s="24">
        <f>$K$112*INDEX($C$93:$AL$93,1,12)</f>
        <v/>
      </c>
      <c r="W127" s="24">
        <f>$K$112*INDEX($C$93:$AL$93,1,13)</f>
        <v/>
      </c>
      <c r="X127" s="24">
        <f>$K$112*INDEX($C$93:$AL$93,1,14)</f>
        <v/>
      </c>
      <c r="Y127" s="24">
        <f>$K$112*INDEX($C$93:$AL$93,1,15)</f>
        <v/>
      </c>
      <c r="Z127" s="24">
        <f>$K$112*INDEX($C$93:$AL$93,1,16)</f>
        <v/>
      </c>
      <c r="AA127" s="24">
        <f>$K$112*INDEX($C$93:$AL$93,1,17)</f>
        <v/>
      </c>
      <c r="AB127" s="24">
        <f>$K$112*INDEX($C$93:$AL$93,1,18)</f>
        <v/>
      </c>
      <c r="AC127" s="24">
        <f>$K$112*INDEX($C$93:$AL$93,1,19)</f>
        <v/>
      </c>
      <c r="AD127" s="24">
        <f>$K$112*INDEX($C$93:$AL$93,1,20)</f>
        <v/>
      </c>
      <c r="AE127" s="24">
        <f>$K$112*INDEX($C$93:$AL$93,1,21)</f>
        <v/>
      </c>
      <c r="AF127" s="24">
        <f>$K$112*INDEX($C$93:$AL$93,1,22)</f>
        <v/>
      </c>
    </row>
    <row r="128">
      <c r="A128" s="4" t="inlineStr">
        <is>
          <t>Coorte del mese 10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>
        <f>$L$112*INDEX($C$93:$AL$93,1,1)</f>
        <v/>
      </c>
      <c r="M128" s="24">
        <f>$L$112*INDEX($C$93:$AL$93,1,2)</f>
        <v/>
      </c>
      <c r="N128" s="24">
        <f>$L$112*INDEX($C$93:$AL$93,1,3)</f>
        <v/>
      </c>
      <c r="O128" s="24">
        <f>$L$112*INDEX($C$93:$AL$93,1,4)</f>
        <v/>
      </c>
      <c r="P128" s="24">
        <f>$L$112*INDEX($C$93:$AL$93,1,5)</f>
        <v/>
      </c>
      <c r="Q128" s="24">
        <f>$L$112*INDEX($C$93:$AL$93,1,6)</f>
        <v/>
      </c>
      <c r="R128" s="24">
        <f>$L$112*INDEX($C$93:$AL$93,1,7)</f>
        <v/>
      </c>
      <c r="S128" s="24">
        <f>$L$112*INDEX($C$93:$AL$93,1,8)</f>
        <v/>
      </c>
      <c r="T128" s="24">
        <f>$L$112*INDEX($C$93:$AL$93,1,9)</f>
        <v/>
      </c>
      <c r="U128" s="24">
        <f>$L$112*INDEX($C$93:$AL$93,1,10)</f>
        <v/>
      </c>
      <c r="V128" s="24">
        <f>$L$112*INDEX($C$93:$AL$93,1,11)</f>
        <v/>
      </c>
      <c r="W128" s="24">
        <f>$L$112*INDEX($C$93:$AL$93,1,12)</f>
        <v/>
      </c>
      <c r="X128" s="24">
        <f>$L$112*INDEX($C$93:$AL$93,1,13)</f>
        <v/>
      </c>
      <c r="Y128" s="24">
        <f>$L$112*INDEX($C$93:$AL$93,1,14)</f>
        <v/>
      </c>
      <c r="Z128" s="24">
        <f>$L$112*INDEX($C$93:$AL$93,1,15)</f>
        <v/>
      </c>
      <c r="AA128" s="24">
        <f>$L$112*INDEX($C$93:$AL$93,1,16)</f>
        <v/>
      </c>
      <c r="AB128" s="24">
        <f>$L$112*INDEX($C$93:$AL$93,1,17)</f>
        <v/>
      </c>
      <c r="AC128" s="24">
        <f>$L$112*INDEX($C$93:$AL$93,1,18)</f>
        <v/>
      </c>
      <c r="AD128" s="24">
        <f>$L$112*INDEX($C$93:$AL$93,1,19)</f>
        <v/>
      </c>
      <c r="AE128" s="24">
        <f>$L$112*INDEX($C$93:$AL$93,1,20)</f>
        <v/>
      </c>
      <c r="AF128" s="24">
        <f>$L$112*INDEX($C$93:$AL$93,1,21)</f>
        <v/>
      </c>
    </row>
    <row r="129">
      <c r="A129" s="4" t="inlineStr">
        <is>
          <t>Coorte del mese 11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>
        <f>$M$112*INDEX($C$93:$AL$93,1,1)</f>
        <v/>
      </c>
      <c r="N129" s="24">
        <f>$M$112*INDEX($C$93:$AL$93,1,2)</f>
        <v/>
      </c>
      <c r="O129" s="24">
        <f>$M$112*INDEX($C$93:$AL$93,1,3)</f>
        <v/>
      </c>
      <c r="P129" s="24">
        <f>$M$112*INDEX($C$93:$AL$93,1,4)</f>
        <v/>
      </c>
      <c r="Q129" s="24">
        <f>$M$112*INDEX($C$93:$AL$93,1,5)</f>
        <v/>
      </c>
      <c r="R129" s="24">
        <f>$M$112*INDEX($C$93:$AL$93,1,6)</f>
        <v/>
      </c>
      <c r="S129" s="24">
        <f>$M$112*INDEX($C$93:$AL$93,1,7)</f>
        <v/>
      </c>
      <c r="T129" s="24">
        <f>$M$112*INDEX($C$93:$AL$93,1,8)</f>
        <v/>
      </c>
      <c r="U129" s="24">
        <f>$M$112*INDEX($C$93:$AL$93,1,9)</f>
        <v/>
      </c>
      <c r="V129" s="24">
        <f>$M$112*INDEX($C$93:$AL$93,1,10)</f>
        <v/>
      </c>
      <c r="W129" s="24">
        <f>$M$112*INDEX($C$93:$AL$93,1,11)</f>
        <v/>
      </c>
      <c r="X129" s="24">
        <f>$M$112*INDEX($C$93:$AL$93,1,12)</f>
        <v/>
      </c>
      <c r="Y129" s="24">
        <f>$M$112*INDEX($C$93:$AL$93,1,13)</f>
        <v/>
      </c>
      <c r="Z129" s="24">
        <f>$M$112*INDEX($C$93:$AL$93,1,14)</f>
        <v/>
      </c>
      <c r="AA129" s="24">
        <f>$M$112*INDEX($C$93:$AL$93,1,15)</f>
        <v/>
      </c>
      <c r="AB129" s="24">
        <f>$M$112*INDEX($C$93:$AL$93,1,16)</f>
        <v/>
      </c>
      <c r="AC129" s="24">
        <f>$M$112*INDEX($C$93:$AL$93,1,17)</f>
        <v/>
      </c>
      <c r="AD129" s="24">
        <f>$M$112*INDEX($C$93:$AL$93,1,18)</f>
        <v/>
      </c>
      <c r="AE129" s="24">
        <f>$M$112*INDEX($C$93:$AL$93,1,19)</f>
        <v/>
      </c>
      <c r="AF129" s="24">
        <f>$M$112*INDEX($C$93:$AL$93,1,20)</f>
        <v/>
      </c>
    </row>
    <row r="130">
      <c r="A130" s="4" t="inlineStr">
        <is>
          <t>Coorte del mese 12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>
        <f>$N$112*INDEX($C$93:$AL$93,1,1)</f>
        <v/>
      </c>
      <c r="O130" s="24">
        <f>$N$112*INDEX($C$93:$AL$93,1,2)</f>
        <v/>
      </c>
      <c r="P130" s="24">
        <f>$N$112*INDEX($C$93:$AL$93,1,3)</f>
        <v/>
      </c>
      <c r="Q130" s="24">
        <f>$N$112*INDEX($C$93:$AL$93,1,4)</f>
        <v/>
      </c>
      <c r="R130" s="24">
        <f>$N$112*INDEX($C$93:$AL$93,1,5)</f>
        <v/>
      </c>
      <c r="S130" s="24">
        <f>$N$112*INDEX($C$93:$AL$93,1,6)</f>
        <v/>
      </c>
      <c r="T130" s="24">
        <f>$N$112*INDEX($C$93:$AL$93,1,7)</f>
        <v/>
      </c>
      <c r="U130" s="24">
        <f>$N$112*INDEX($C$93:$AL$93,1,8)</f>
        <v/>
      </c>
      <c r="V130" s="24">
        <f>$N$112*INDEX($C$93:$AL$93,1,9)</f>
        <v/>
      </c>
      <c r="W130" s="24">
        <f>$N$112*INDEX($C$93:$AL$93,1,10)</f>
        <v/>
      </c>
      <c r="X130" s="24">
        <f>$N$112*INDEX($C$93:$AL$93,1,11)</f>
        <v/>
      </c>
      <c r="Y130" s="24">
        <f>$N$112*INDEX($C$93:$AL$93,1,12)</f>
        <v/>
      </c>
      <c r="Z130" s="24">
        <f>$N$112*INDEX($C$93:$AL$93,1,13)</f>
        <v/>
      </c>
      <c r="AA130" s="24">
        <f>$N$112*INDEX($C$93:$AL$93,1,14)</f>
        <v/>
      </c>
      <c r="AB130" s="24">
        <f>$N$112*INDEX($C$93:$AL$93,1,15)</f>
        <v/>
      </c>
      <c r="AC130" s="24">
        <f>$N$112*INDEX($C$93:$AL$93,1,16)</f>
        <v/>
      </c>
      <c r="AD130" s="24">
        <f>$N$112*INDEX($C$93:$AL$93,1,17)</f>
        <v/>
      </c>
      <c r="AE130" s="24">
        <f>$N$112*INDEX($C$93:$AL$93,1,18)</f>
        <v/>
      </c>
      <c r="AF130" s="24">
        <f>$N$112*INDEX($C$93:$AL$93,1,19)</f>
        <v/>
      </c>
    </row>
    <row r="131">
      <c r="A131" s="4" t="inlineStr">
        <is>
          <t>Coorte del mese 13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>
        <f>$O$112*INDEX($C$93:$AL$93,1,1)</f>
        <v/>
      </c>
      <c r="P131" s="24">
        <f>$O$112*INDEX($C$93:$AL$93,1,2)</f>
        <v/>
      </c>
      <c r="Q131" s="24">
        <f>$O$112*INDEX($C$93:$AL$93,1,3)</f>
        <v/>
      </c>
      <c r="R131" s="24">
        <f>$O$112*INDEX($C$93:$AL$93,1,4)</f>
        <v/>
      </c>
      <c r="S131" s="24">
        <f>$O$112*INDEX($C$93:$AL$93,1,5)</f>
        <v/>
      </c>
      <c r="T131" s="24">
        <f>$O$112*INDEX($C$93:$AL$93,1,6)</f>
        <v/>
      </c>
      <c r="U131" s="24">
        <f>$O$112*INDEX($C$93:$AL$93,1,7)</f>
        <v/>
      </c>
      <c r="V131" s="24">
        <f>$O$112*INDEX($C$93:$AL$93,1,8)</f>
        <v/>
      </c>
      <c r="W131" s="24">
        <f>$O$112*INDEX($C$93:$AL$93,1,9)</f>
        <v/>
      </c>
      <c r="X131" s="24">
        <f>$O$112*INDEX($C$93:$AL$93,1,10)</f>
        <v/>
      </c>
      <c r="Y131" s="24">
        <f>$O$112*INDEX($C$93:$AL$93,1,11)</f>
        <v/>
      </c>
      <c r="Z131" s="24">
        <f>$O$112*INDEX($C$93:$AL$93,1,12)</f>
        <v/>
      </c>
      <c r="AA131" s="24">
        <f>$O$112*INDEX($C$93:$AL$93,1,13)</f>
        <v/>
      </c>
      <c r="AB131" s="24">
        <f>$O$112*INDEX($C$93:$AL$93,1,14)</f>
        <v/>
      </c>
      <c r="AC131" s="24">
        <f>$O$112*INDEX($C$93:$AL$93,1,15)</f>
        <v/>
      </c>
      <c r="AD131" s="24">
        <f>$O$112*INDEX($C$93:$AL$93,1,16)</f>
        <v/>
      </c>
      <c r="AE131" s="24">
        <f>$O$112*INDEX($C$93:$AL$93,1,17)</f>
        <v/>
      </c>
      <c r="AF131" s="24">
        <f>$O$112*INDEX($C$93:$AL$93,1,18)</f>
        <v/>
      </c>
    </row>
    <row r="132">
      <c r="A132" s="4" t="inlineStr">
        <is>
          <t>Coorte del mese 14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>
        <f>$P$112*INDEX($C$93:$AL$93,1,1)</f>
        <v/>
      </c>
      <c r="Q132" s="24">
        <f>$P$112*INDEX($C$93:$AL$93,1,2)</f>
        <v/>
      </c>
      <c r="R132" s="24">
        <f>$P$112*INDEX($C$93:$AL$93,1,3)</f>
        <v/>
      </c>
      <c r="S132" s="24">
        <f>$P$112*INDEX($C$93:$AL$93,1,4)</f>
        <v/>
      </c>
      <c r="T132" s="24">
        <f>$P$112*INDEX($C$93:$AL$93,1,5)</f>
        <v/>
      </c>
      <c r="U132" s="24">
        <f>$P$112*INDEX($C$93:$AL$93,1,6)</f>
        <v/>
      </c>
      <c r="V132" s="24">
        <f>$P$112*INDEX($C$93:$AL$93,1,7)</f>
        <v/>
      </c>
      <c r="W132" s="24">
        <f>$P$112*INDEX($C$93:$AL$93,1,8)</f>
        <v/>
      </c>
      <c r="X132" s="24">
        <f>$P$112*INDEX($C$93:$AL$93,1,9)</f>
        <v/>
      </c>
      <c r="Y132" s="24">
        <f>$P$112*INDEX($C$93:$AL$93,1,10)</f>
        <v/>
      </c>
      <c r="Z132" s="24">
        <f>$P$112*INDEX($C$93:$AL$93,1,11)</f>
        <v/>
      </c>
      <c r="AA132" s="24">
        <f>$P$112*INDEX($C$93:$AL$93,1,12)</f>
        <v/>
      </c>
      <c r="AB132" s="24">
        <f>$P$112*INDEX($C$93:$AL$93,1,13)</f>
        <v/>
      </c>
      <c r="AC132" s="24">
        <f>$P$112*INDEX($C$93:$AL$93,1,14)</f>
        <v/>
      </c>
      <c r="AD132" s="24">
        <f>$P$112*INDEX($C$93:$AL$93,1,15)</f>
        <v/>
      </c>
      <c r="AE132" s="24">
        <f>$P$112*INDEX($C$93:$AL$93,1,16)</f>
        <v/>
      </c>
      <c r="AF132" s="24">
        <f>$P$112*INDEX($C$93:$AL$93,1,17)</f>
        <v/>
      </c>
    </row>
    <row r="133">
      <c r="A133" s="4" t="inlineStr">
        <is>
          <t>Coorte del mese 15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>
        <f>$Q$112*INDEX($C$93:$AL$93,1,1)</f>
        <v/>
      </c>
      <c r="R133" s="24">
        <f>$Q$112*INDEX($C$93:$AL$93,1,2)</f>
        <v/>
      </c>
      <c r="S133" s="24">
        <f>$Q$112*INDEX($C$93:$AL$93,1,3)</f>
        <v/>
      </c>
      <c r="T133" s="24">
        <f>$Q$112*INDEX($C$93:$AL$93,1,4)</f>
        <v/>
      </c>
      <c r="U133" s="24">
        <f>$Q$112*INDEX($C$93:$AL$93,1,5)</f>
        <v/>
      </c>
      <c r="V133" s="24">
        <f>$Q$112*INDEX($C$93:$AL$93,1,6)</f>
        <v/>
      </c>
      <c r="W133" s="24">
        <f>$Q$112*INDEX($C$93:$AL$93,1,7)</f>
        <v/>
      </c>
      <c r="X133" s="24">
        <f>$Q$112*INDEX($C$93:$AL$93,1,8)</f>
        <v/>
      </c>
      <c r="Y133" s="24">
        <f>$Q$112*INDEX($C$93:$AL$93,1,9)</f>
        <v/>
      </c>
      <c r="Z133" s="24">
        <f>$Q$112*INDEX($C$93:$AL$93,1,10)</f>
        <v/>
      </c>
      <c r="AA133" s="24">
        <f>$Q$112*INDEX($C$93:$AL$93,1,11)</f>
        <v/>
      </c>
      <c r="AB133" s="24">
        <f>$Q$112*INDEX($C$93:$AL$93,1,12)</f>
        <v/>
      </c>
      <c r="AC133" s="24">
        <f>$Q$112*INDEX($C$93:$AL$93,1,13)</f>
        <v/>
      </c>
      <c r="AD133" s="24">
        <f>$Q$112*INDEX($C$93:$AL$93,1,14)</f>
        <v/>
      </c>
      <c r="AE133" s="24">
        <f>$Q$112*INDEX($C$93:$AL$93,1,15)</f>
        <v/>
      </c>
      <c r="AF133" s="24">
        <f>$Q$112*INDEX($C$93:$AL$93,1,16)</f>
        <v/>
      </c>
    </row>
    <row r="134">
      <c r="A134" s="4" t="inlineStr">
        <is>
          <t>Coorte del mese 16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>
        <f>$R$112*INDEX($C$93:$AL$93,1,1)</f>
        <v/>
      </c>
      <c r="S134" s="24">
        <f>$R$112*INDEX($C$93:$AL$93,1,2)</f>
        <v/>
      </c>
      <c r="T134" s="24">
        <f>$R$112*INDEX($C$93:$AL$93,1,3)</f>
        <v/>
      </c>
      <c r="U134" s="24">
        <f>$R$112*INDEX($C$93:$AL$93,1,4)</f>
        <v/>
      </c>
      <c r="V134" s="24">
        <f>$R$112*INDEX($C$93:$AL$93,1,5)</f>
        <v/>
      </c>
      <c r="W134" s="24">
        <f>$R$112*INDEX($C$93:$AL$93,1,6)</f>
        <v/>
      </c>
      <c r="X134" s="24">
        <f>$R$112*INDEX($C$93:$AL$93,1,7)</f>
        <v/>
      </c>
      <c r="Y134" s="24">
        <f>$R$112*INDEX($C$93:$AL$93,1,8)</f>
        <v/>
      </c>
      <c r="Z134" s="24">
        <f>$R$112*INDEX($C$93:$AL$93,1,9)</f>
        <v/>
      </c>
      <c r="AA134" s="24">
        <f>$R$112*INDEX($C$93:$AL$93,1,10)</f>
        <v/>
      </c>
      <c r="AB134" s="24">
        <f>$R$112*INDEX($C$93:$AL$93,1,11)</f>
        <v/>
      </c>
      <c r="AC134" s="24">
        <f>$R$112*INDEX($C$93:$AL$93,1,12)</f>
        <v/>
      </c>
      <c r="AD134" s="24">
        <f>$R$112*INDEX($C$93:$AL$93,1,13)</f>
        <v/>
      </c>
      <c r="AE134" s="24">
        <f>$R$112*INDEX($C$93:$AL$93,1,14)</f>
        <v/>
      </c>
      <c r="AF134" s="24">
        <f>$R$112*INDEX($C$93:$AL$93,1,15)</f>
        <v/>
      </c>
    </row>
    <row r="135">
      <c r="A135" s="4" t="inlineStr">
        <is>
          <t>Coorte del mese 17</t>
        </is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>
        <f>$S$112*INDEX($C$93:$AL$93,1,1)</f>
        <v/>
      </c>
      <c r="T135" s="24">
        <f>$S$112*INDEX($C$93:$AL$93,1,2)</f>
        <v/>
      </c>
      <c r="U135" s="24">
        <f>$S$112*INDEX($C$93:$AL$93,1,3)</f>
        <v/>
      </c>
      <c r="V135" s="24">
        <f>$S$112*INDEX($C$93:$AL$93,1,4)</f>
        <v/>
      </c>
      <c r="W135" s="24">
        <f>$S$112*INDEX($C$93:$AL$93,1,5)</f>
        <v/>
      </c>
      <c r="X135" s="24">
        <f>$S$112*INDEX($C$93:$AL$93,1,6)</f>
        <v/>
      </c>
      <c r="Y135" s="24">
        <f>$S$112*INDEX($C$93:$AL$93,1,7)</f>
        <v/>
      </c>
      <c r="Z135" s="24">
        <f>$S$112*INDEX($C$93:$AL$93,1,8)</f>
        <v/>
      </c>
      <c r="AA135" s="24">
        <f>$S$112*INDEX($C$93:$AL$93,1,9)</f>
        <v/>
      </c>
      <c r="AB135" s="24">
        <f>$S$112*INDEX($C$93:$AL$93,1,10)</f>
        <v/>
      </c>
      <c r="AC135" s="24">
        <f>$S$112*INDEX($C$93:$AL$93,1,11)</f>
        <v/>
      </c>
      <c r="AD135" s="24">
        <f>$S$112*INDEX($C$93:$AL$93,1,12)</f>
        <v/>
      </c>
      <c r="AE135" s="24">
        <f>$S$112*INDEX($C$93:$AL$93,1,13)</f>
        <v/>
      </c>
      <c r="AF135" s="24">
        <f>$S$112*INDEX($C$93:$AL$93,1,14)</f>
        <v/>
      </c>
    </row>
    <row r="136">
      <c r="A136" s="4" t="inlineStr">
        <is>
          <t>Coorte del mese 18</t>
        </is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>
        <f>$T$112*INDEX($C$93:$AL$93,1,1)</f>
        <v/>
      </c>
      <c r="U136" s="24">
        <f>$T$112*INDEX($C$93:$AL$93,1,2)</f>
        <v/>
      </c>
      <c r="V136" s="24">
        <f>$T$112*INDEX($C$93:$AL$93,1,3)</f>
        <v/>
      </c>
      <c r="W136" s="24">
        <f>$T$112*INDEX($C$93:$AL$93,1,4)</f>
        <v/>
      </c>
      <c r="X136" s="24">
        <f>$T$112*INDEX($C$93:$AL$93,1,5)</f>
        <v/>
      </c>
      <c r="Y136" s="24">
        <f>$T$112*INDEX($C$93:$AL$93,1,6)</f>
        <v/>
      </c>
      <c r="Z136" s="24">
        <f>$T$112*INDEX($C$93:$AL$93,1,7)</f>
        <v/>
      </c>
      <c r="AA136" s="24">
        <f>$T$112*INDEX($C$93:$AL$93,1,8)</f>
        <v/>
      </c>
      <c r="AB136" s="24">
        <f>$T$112*INDEX($C$93:$AL$93,1,9)</f>
        <v/>
      </c>
      <c r="AC136" s="24">
        <f>$T$112*INDEX($C$93:$AL$93,1,10)</f>
        <v/>
      </c>
      <c r="AD136" s="24">
        <f>$T$112*INDEX($C$93:$AL$93,1,11)</f>
        <v/>
      </c>
      <c r="AE136" s="24">
        <f>$T$112*INDEX($C$93:$AL$93,1,12)</f>
        <v/>
      </c>
      <c r="AF136" s="24">
        <f>$T$112*INDEX($C$93:$AL$93,1,13)</f>
        <v/>
      </c>
    </row>
    <row r="137">
      <c r="A137" s="4" t="inlineStr">
        <is>
          <t>Coorte del mese 19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>
        <f>$U$112*INDEX($C$93:$AL$93,1,1)</f>
        <v/>
      </c>
      <c r="V137" s="24">
        <f>$U$112*INDEX($C$93:$AL$93,1,2)</f>
        <v/>
      </c>
      <c r="W137" s="24">
        <f>$U$112*INDEX($C$93:$AL$93,1,3)</f>
        <v/>
      </c>
      <c r="X137" s="24">
        <f>$U$112*INDEX($C$93:$AL$93,1,4)</f>
        <v/>
      </c>
      <c r="Y137" s="24">
        <f>$U$112*INDEX($C$93:$AL$93,1,5)</f>
        <v/>
      </c>
      <c r="Z137" s="24">
        <f>$U$112*INDEX($C$93:$AL$93,1,6)</f>
        <v/>
      </c>
      <c r="AA137" s="24">
        <f>$U$112*INDEX($C$93:$AL$93,1,7)</f>
        <v/>
      </c>
      <c r="AB137" s="24">
        <f>$U$112*INDEX($C$93:$AL$93,1,8)</f>
        <v/>
      </c>
      <c r="AC137" s="24">
        <f>$U$112*INDEX($C$93:$AL$93,1,9)</f>
        <v/>
      </c>
      <c r="AD137" s="24">
        <f>$U$112*INDEX($C$93:$AL$93,1,10)</f>
        <v/>
      </c>
      <c r="AE137" s="24">
        <f>$U$112*INDEX($C$93:$AL$93,1,11)</f>
        <v/>
      </c>
      <c r="AF137" s="24">
        <f>$U$112*INDEX($C$93:$AL$93,1,12)</f>
        <v/>
      </c>
    </row>
    <row r="138">
      <c r="A138" s="4" t="inlineStr">
        <is>
          <t>Coorte del mese 20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>
        <f>$V$112*INDEX($C$93:$AL$93,1,1)</f>
        <v/>
      </c>
      <c r="W138" s="24">
        <f>$V$112*INDEX($C$93:$AL$93,1,2)</f>
        <v/>
      </c>
      <c r="X138" s="24">
        <f>$V$112*INDEX($C$93:$AL$93,1,3)</f>
        <v/>
      </c>
      <c r="Y138" s="24">
        <f>$V$112*INDEX($C$93:$AL$93,1,4)</f>
        <v/>
      </c>
      <c r="Z138" s="24">
        <f>$V$112*INDEX($C$93:$AL$93,1,5)</f>
        <v/>
      </c>
      <c r="AA138" s="24">
        <f>$V$112*INDEX($C$93:$AL$93,1,6)</f>
        <v/>
      </c>
      <c r="AB138" s="24">
        <f>$V$112*INDEX($C$93:$AL$93,1,7)</f>
        <v/>
      </c>
      <c r="AC138" s="24">
        <f>$V$112*INDEX($C$93:$AL$93,1,8)</f>
        <v/>
      </c>
      <c r="AD138" s="24">
        <f>$V$112*INDEX($C$93:$AL$93,1,9)</f>
        <v/>
      </c>
      <c r="AE138" s="24">
        <f>$V$112*INDEX($C$93:$AL$93,1,10)</f>
        <v/>
      </c>
      <c r="AF138" s="24">
        <f>$V$112*INDEX($C$93:$AL$93,1,11)</f>
        <v/>
      </c>
    </row>
    <row r="139">
      <c r="A139" s="4" t="inlineStr">
        <is>
          <t>Coorte del mese 21</t>
        </is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>
        <f>$W$112*INDEX($C$93:$AL$93,1,1)</f>
        <v/>
      </c>
      <c r="X139" s="24">
        <f>$W$112*INDEX($C$93:$AL$93,1,2)</f>
        <v/>
      </c>
      <c r="Y139" s="24">
        <f>$W$112*INDEX($C$93:$AL$93,1,3)</f>
        <v/>
      </c>
      <c r="Z139" s="24">
        <f>$W$112*INDEX($C$93:$AL$93,1,4)</f>
        <v/>
      </c>
      <c r="AA139" s="24">
        <f>$W$112*INDEX($C$93:$AL$93,1,5)</f>
        <v/>
      </c>
      <c r="AB139" s="24">
        <f>$W$112*INDEX($C$93:$AL$93,1,6)</f>
        <v/>
      </c>
      <c r="AC139" s="24">
        <f>$W$112*INDEX($C$93:$AL$93,1,7)</f>
        <v/>
      </c>
      <c r="AD139" s="24">
        <f>$W$112*INDEX($C$93:$AL$93,1,8)</f>
        <v/>
      </c>
      <c r="AE139" s="24">
        <f>$W$112*INDEX($C$93:$AL$93,1,9)</f>
        <v/>
      </c>
      <c r="AF139" s="24">
        <f>$W$112*INDEX($C$93:$AL$93,1,10)</f>
        <v/>
      </c>
    </row>
    <row r="140">
      <c r="A140" s="4" t="inlineStr">
        <is>
          <t>Coorte del mese 22</t>
        </is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>
        <f>$X$112*INDEX($C$93:$AL$93,1,1)</f>
        <v/>
      </c>
      <c r="Y140" s="24">
        <f>$X$112*INDEX($C$93:$AL$93,1,2)</f>
        <v/>
      </c>
      <c r="Z140" s="24">
        <f>$X$112*INDEX($C$93:$AL$93,1,3)</f>
        <v/>
      </c>
      <c r="AA140" s="24">
        <f>$X$112*INDEX($C$93:$AL$93,1,4)</f>
        <v/>
      </c>
      <c r="AB140" s="24">
        <f>$X$112*INDEX($C$93:$AL$93,1,5)</f>
        <v/>
      </c>
      <c r="AC140" s="24">
        <f>$X$112*INDEX($C$93:$AL$93,1,6)</f>
        <v/>
      </c>
      <c r="AD140" s="24">
        <f>$X$112*INDEX($C$93:$AL$93,1,7)</f>
        <v/>
      </c>
      <c r="AE140" s="24">
        <f>$X$112*INDEX($C$93:$AL$93,1,8)</f>
        <v/>
      </c>
      <c r="AF140" s="24">
        <f>$X$112*INDEX($C$93:$AL$93,1,9)</f>
        <v/>
      </c>
    </row>
    <row r="141">
      <c r="A141" s="4" t="inlineStr">
        <is>
          <t>Coorte del mese 23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4">
        <f>$Y$112*INDEX($C$93:$AL$93,1,1)</f>
        <v/>
      </c>
      <c r="Z141" s="24">
        <f>$Y$112*INDEX($C$93:$AL$93,1,2)</f>
        <v/>
      </c>
      <c r="AA141" s="24">
        <f>$Y$112*INDEX($C$93:$AL$93,1,3)</f>
        <v/>
      </c>
      <c r="AB141" s="24">
        <f>$Y$112*INDEX($C$93:$AL$93,1,4)</f>
        <v/>
      </c>
      <c r="AC141" s="24">
        <f>$Y$112*INDEX($C$93:$AL$93,1,5)</f>
        <v/>
      </c>
      <c r="AD141" s="24">
        <f>$Y$112*INDEX($C$93:$AL$93,1,6)</f>
        <v/>
      </c>
      <c r="AE141" s="24">
        <f>$Y$112*INDEX($C$93:$AL$93,1,7)</f>
        <v/>
      </c>
      <c r="AF141" s="24">
        <f>$Y$112*INDEX($C$93:$AL$93,1,8)</f>
        <v/>
      </c>
    </row>
    <row r="142">
      <c r="A142" s="4" t="inlineStr">
        <is>
          <t>Coorte del mese 24</t>
        </is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>
        <f>$Z$112*INDEX($C$93:$AL$93,1,1)</f>
        <v/>
      </c>
      <c r="AA142" s="24">
        <f>$Z$112*INDEX($C$93:$AL$93,1,2)</f>
        <v/>
      </c>
      <c r="AB142" s="24">
        <f>$Z$112*INDEX($C$93:$AL$93,1,3)</f>
        <v/>
      </c>
      <c r="AC142" s="24">
        <f>$Z$112*INDEX($C$93:$AL$93,1,4)</f>
        <v/>
      </c>
      <c r="AD142" s="24">
        <f>$Z$112*INDEX($C$93:$AL$93,1,5)</f>
        <v/>
      </c>
      <c r="AE142" s="24">
        <f>$Z$112*INDEX($C$93:$AL$93,1,6)</f>
        <v/>
      </c>
      <c r="AF142" s="24">
        <f>$Z$112*INDEX($C$93:$AL$93,1,7)</f>
        <v/>
      </c>
    </row>
    <row r="143">
      <c r="A143" s="4" t="inlineStr">
        <is>
          <t>Coorte del mese 25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>
        <f>$AA$112*INDEX($C$93:$AL$93,1,1)</f>
        <v/>
      </c>
      <c r="AB143" s="24">
        <f>$AA$112*INDEX($C$93:$AL$93,1,2)</f>
        <v/>
      </c>
      <c r="AC143" s="24">
        <f>$AA$112*INDEX($C$93:$AL$93,1,3)</f>
        <v/>
      </c>
      <c r="AD143" s="24">
        <f>$AA$112*INDEX($C$93:$AL$93,1,4)</f>
        <v/>
      </c>
      <c r="AE143" s="24">
        <f>$AA$112*INDEX($C$93:$AL$93,1,5)</f>
        <v/>
      </c>
      <c r="AF143" s="24">
        <f>$AA$112*INDEX($C$93:$AL$93,1,6)</f>
        <v/>
      </c>
    </row>
    <row r="144">
      <c r="A144" s="4" t="inlineStr">
        <is>
          <t>Coorte del mese 26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>
        <f>$AB$112*INDEX($C$93:$AL$93,1,1)</f>
        <v/>
      </c>
      <c r="AC144" s="24">
        <f>$AB$112*INDEX($C$93:$AL$93,1,2)</f>
        <v/>
      </c>
      <c r="AD144" s="24">
        <f>$AB$112*INDEX($C$93:$AL$93,1,3)</f>
        <v/>
      </c>
      <c r="AE144" s="24">
        <f>$AB$112*INDEX($C$93:$AL$93,1,4)</f>
        <v/>
      </c>
      <c r="AF144" s="24">
        <f>$AB$112*INDEX($C$93:$AL$93,1,5)</f>
        <v/>
      </c>
    </row>
    <row r="145">
      <c r="A145" s="4" t="inlineStr">
        <is>
          <t>Coorte del mese 27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4" t="n">
        <v>0</v>
      </c>
      <c r="Z145" s="24" t="n">
        <v>0</v>
      </c>
      <c r="AA145" s="24" t="n">
        <v>0</v>
      </c>
      <c r="AB145" s="24" t="n">
        <v>0</v>
      </c>
      <c r="AC145" s="24">
        <f>$AC$112*INDEX($C$93:$AL$93,1,1)</f>
        <v/>
      </c>
      <c r="AD145" s="24">
        <f>$AC$112*INDEX($C$93:$AL$93,1,2)</f>
        <v/>
      </c>
      <c r="AE145" s="24">
        <f>$AC$112*INDEX($C$93:$AL$93,1,3)</f>
        <v/>
      </c>
      <c r="AF145" s="24">
        <f>$AC$112*INDEX($C$93:$AL$93,1,4)</f>
        <v/>
      </c>
    </row>
    <row r="146">
      <c r="A146" s="4" t="inlineStr">
        <is>
          <t>Coorte del mese 28</t>
        </is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>
        <f>$AD$112*INDEX($C$93:$AL$93,1,1)</f>
        <v/>
      </c>
      <c r="AE146" s="24">
        <f>$AD$112*INDEX($C$93:$AL$93,1,2)</f>
        <v/>
      </c>
      <c r="AF146" s="24">
        <f>$AD$112*INDEX($C$93:$AL$93,1,3)</f>
        <v/>
      </c>
    </row>
    <row r="147">
      <c r="A147" s="4" t="inlineStr">
        <is>
          <t>Coorte del mese 29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>
        <f>$AE$112*INDEX($C$93:$AL$93,1,1)</f>
        <v/>
      </c>
      <c r="AF147" s="24">
        <f>$AE$112*INDEX($C$93:$AL$93,1,2)</f>
        <v/>
      </c>
    </row>
    <row r="148">
      <c r="A148" s="4" t="inlineStr">
        <is>
          <t>Coorte del mese 30</t>
        </is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>
        <f>$AF$112*INDEX($C$93:$AL$93,1,1)</f>
        <v/>
      </c>
    </row>
    <row r="149">
      <c r="A149" s="3" t="inlineStr">
        <is>
          <t>Totale percorso 6: ordini</t>
        </is>
      </c>
      <c r="C149" s="25">
        <f>SUM(C119:C148)</f>
        <v/>
      </c>
      <c r="D149" s="25">
        <f>SUM(D119:D148)</f>
        <v/>
      </c>
      <c r="E149" s="25">
        <f>SUM(E119:E148)</f>
        <v/>
      </c>
      <c r="F149" s="25">
        <f>SUM(F119:F148)</f>
        <v/>
      </c>
      <c r="G149" s="25">
        <f>SUM(G119:G148)</f>
        <v/>
      </c>
      <c r="H149" s="25">
        <f>SUM(H119:H148)</f>
        <v/>
      </c>
      <c r="I149" s="25">
        <f>SUM(I119:I148)</f>
        <v/>
      </c>
      <c r="J149" s="25">
        <f>SUM(J119:J148)</f>
        <v/>
      </c>
      <c r="K149" s="25">
        <f>SUM(K119:K148)</f>
        <v/>
      </c>
      <c r="L149" s="25">
        <f>SUM(L119:L148)</f>
        <v/>
      </c>
      <c r="M149" s="25">
        <f>SUM(M119:M148)</f>
        <v/>
      </c>
      <c r="N149" s="25">
        <f>SUM(N119:N148)</f>
        <v/>
      </c>
      <c r="O149" s="25">
        <f>SUM(O119:O148)</f>
        <v/>
      </c>
      <c r="P149" s="25">
        <f>SUM(P119:P148)</f>
        <v/>
      </c>
      <c r="Q149" s="25">
        <f>SUM(Q119:Q148)</f>
        <v/>
      </c>
      <c r="R149" s="25">
        <f>SUM(R119:R148)</f>
        <v/>
      </c>
      <c r="S149" s="25">
        <f>SUM(S119:S148)</f>
        <v/>
      </c>
      <c r="T149" s="25">
        <f>SUM(T119:T148)</f>
        <v/>
      </c>
      <c r="U149" s="25">
        <f>SUM(U119:U148)</f>
        <v/>
      </c>
      <c r="V149" s="25">
        <f>SUM(V119:V148)</f>
        <v/>
      </c>
      <c r="W149" s="25">
        <f>SUM(W119:W148)</f>
        <v/>
      </c>
      <c r="X149" s="25">
        <f>SUM(X119:X148)</f>
        <v/>
      </c>
      <c r="Y149" s="25">
        <f>SUM(Y119:Y148)</f>
        <v/>
      </c>
      <c r="Z149" s="25">
        <f>SUM(Z119:Z148)</f>
        <v/>
      </c>
      <c r="AA149" s="25">
        <f>SUM(AA119:AA148)</f>
        <v/>
      </c>
      <c r="AB149" s="25">
        <f>SUM(AB119:AB148)</f>
        <v/>
      </c>
      <c r="AC149" s="25">
        <f>SUM(AC119:AC148)</f>
        <v/>
      </c>
      <c r="AD149" s="25">
        <f>SUM(AD119:AD148)</f>
        <v/>
      </c>
      <c r="AE149" s="25">
        <f>SUM(AE119:AE148)</f>
        <v/>
      </c>
      <c r="AF149" s="25">
        <f>SUM(AF119:AF148)</f>
        <v/>
      </c>
    </row>
    <row r="151">
      <c r="A151" s="10" t="inlineStr">
        <is>
          <t>Percorso 6: rimborsi per coorte (righe = mese di acquisizione, colonne = mese di calendario)</t>
        </is>
      </c>
    </row>
    <row r="152">
      <c r="A152" s="4" t="inlineStr">
        <is>
          <t>Coorte del mese 1</t>
        </is>
      </c>
      <c r="C152" s="24">
        <f>$C$112*INDEX($C$94:$AL$94,1,1)</f>
        <v/>
      </c>
      <c r="D152" s="24">
        <f>$C$112*INDEX($C$94:$AL$94,1,2)</f>
        <v/>
      </c>
      <c r="E152" s="24">
        <f>$C$112*INDEX($C$94:$AL$94,1,3)</f>
        <v/>
      </c>
      <c r="F152" s="24">
        <f>$C$112*INDEX($C$94:$AL$94,1,4)</f>
        <v/>
      </c>
      <c r="G152" s="24">
        <f>$C$112*INDEX($C$94:$AL$94,1,5)</f>
        <v/>
      </c>
      <c r="H152" s="24">
        <f>$C$112*INDEX($C$94:$AL$94,1,6)</f>
        <v/>
      </c>
      <c r="I152" s="24">
        <f>$C$112*INDEX($C$94:$AL$94,1,7)</f>
        <v/>
      </c>
      <c r="J152" s="24">
        <f>$C$112*INDEX($C$94:$AL$94,1,8)</f>
        <v/>
      </c>
      <c r="K152" s="24">
        <f>$C$112*INDEX($C$94:$AL$94,1,9)</f>
        <v/>
      </c>
      <c r="L152" s="24">
        <f>$C$112*INDEX($C$94:$AL$94,1,10)</f>
        <v/>
      </c>
      <c r="M152" s="24">
        <f>$C$112*INDEX($C$94:$AL$94,1,11)</f>
        <v/>
      </c>
      <c r="N152" s="24">
        <f>$C$112*INDEX($C$94:$AL$94,1,12)</f>
        <v/>
      </c>
      <c r="O152" s="24">
        <f>$C$112*INDEX($C$94:$AL$94,1,13)</f>
        <v/>
      </c>
      <c r="P152" s="24">
        <f>$C$112*INDEX($C$94:$AL$94,1,14)</f>
        <v/>
      </c>
      <c r="Q152" s="24">
        <f>$C$112*INDEX($C$94:$AL$94,1,15)</f>
        <v/>
      </c>
      <c r="R152" s="24">
        <f>$C$112*INDEX($C$94:$AL$94,1,16)</f>
        <v/>
      </c>
      <c r="S152" s="24">
        <f>$C$112*INDEX($C$94:$AL$94,1,17)</f>
        <v/>
      </c>
      <c r="T152" s="24">
        <f>$C$112*INDEX($C$94:$AL$94,1,18)</f>
        <v/>
      </c>
      <c r="U152" s="24">
        <f>$C$112*INDEX($C$94:$AL$94,1,19)</f>
        <v/>
      </c>
      <c r="V152" s="24">
        <f>$C$112*INDEX($C$94:$AL$94,1,20)</f>
        <v/>
      </c>
      <c r="W152" s="24">
        <f>$C$112*INDEX($C$94:$AL$94,1,21)</f>
        <v/>
      </c>
      <c r="X152" s="24">
        <f>$C$112*INDEX($C$94:$AL$94,1,22)</f>
        <v/>
      </c>
      <c r="Y152" s="24">
        <f>$C$112*INDEX($C$94:$AL$94,1,23)</f>
        <v/>
      </c>
      <c r="Z152" s="24">
        <f>$C$112*INDEX($C$94:$AL$94,1,24)</f>
        <v/>
      </c>
      <c r="AA152" s="24">
        <f>$C$112*INDEX($C$94:$AL$94,1,25)</f>
        <v/>
      </c>
      <c r="AB152" s="24">
        <f>$C$112*INDEX($C$94:$AL$94,1,26)</f>
        <v/>
      </c>
      <c r="AC152" s="24">
        <f>$C$112*INDEX($C$94:$AL$94,1,27)</f>
        <v/>
      </c>
      <c r="AD152" s="24">
        <f>$C$112*INDEX($C$94:$AL$94,1,28)</f>
        <v/>
      </c>
      <c r="AE152" s="24">
        <f>$C$112*INDEX($C$94:$AL$94,1,29)</f>
        <v/>
      </c>
      <c r="AF152" s="24">
        <f>$C$112*INDEX($C$94:$AL$94,1,30)</f>
        <v/>
      </c>
    </row>
    <row r="153">
      <c r="A153" s="4" t="inlineStr">
        <is>
          <t>Coorte del mese 2</t>
        </is>
      </c>
      <c r="C153" s="24" t="n">
        <v>0</v>
      </c>
      <c r="D153" s="24">
        <f>$D$112*INDEX($C$94:$AL$94,1,1)</f>
        <v/>
      </c>
      <c r="E153" s="24">
        <f>$D$112*INDEX($C$94:$AL$94,1,2)</f>
        <v/>
      </c>
      <c r="F153" s="24">
        <f>$D$112*INDEX($C$94:$AL$94,1,3)</f>
        <v/>
      </c>
      <c r="G153" s="24">
        <f>$D$112*INDEX($C$94:$AL$94,1,4)</f>
        <v/>
      </c>
      <c r="H153" s="24">
        <f>$D$112*INDEX($C$94:$AL$94,1,5)</f>
        <v/>
      </c>
      <c r="I153" s="24">
        <f>$D$112*INDEX($C$94:$AL$94,1,6)</f>
        <v/>
      </c>
      <c r="J153" s="24">
        <f>$D$112*INDEX($C$94:$AL$94,1,7)</f>
        <v/>
      </c>
      <c r="K153" s="24">
        <f>$D$112*INDEX($C$94:$AL$94,1,8)</f>
        <v/>
      </c>
      <c r="L153" s="24">
        <f>$D$112*INDEX($C$94:$AL$94,1,9)</f>
        <v/>
      </c>
      <c r="M153" s="24">
        <f>$D$112*INDEX($C$94:$AL$94,1,10)</f>
        <v/>
      </c>
      <c r="N153" s="24">
        <f>$D$112*INDEX($C$94:$AL$94,1,11)</f>
        <v/>
      </c>
      <c r="O153" s="24">
        <f>$D$112*INDEX($C$94:$AL$94,1,12)</f>
        <v/>
      </c>
      <c r="P153" s="24">
        <f>$D$112*INDEX($C$94:$AL$94,1,13)</f>
        <v/>
      </c>
      <c r="Q153" s="24">
        <f>$D$112*INDEX($C$94:$AL$94,1,14)</f>
        <v/>
      </c>
      <c r="R153" s="24">
        <f>$D$112*INDEX($C$94:$AL$94,1,15)</f>
        <v/>
      </c>
      <c r="S153" s="24">
        <f>$D$112*INDEX($C$94:$AL$94,1,16)</f>
        <v/>
      </c>
      <c r="T153" s="24">
        <f>$D$112*INDEX($C$94:$AL$94,1,17)</f>
        <v/>
      </c>
      <c r="U153" s="24">
        <f>$D$112*INDEX($C$94:$AL$94,1,18)</f>
        <v/>
      </c>
      <c r="V153" s="24">
        <f>$D$112*INDEX($C$94:$AL$94,1,19)</f>
        <v/>
      </c>
      <c r="W153" s="24">
        <f>$D$112*INDEX($C$94:$AL$94,1,20)</f>
        <v/>
      </c>
      <c r="X153" s="24">
        <f>$D$112*INDEX($C$94:$AL$94,1,21)</f>
        <v/>
      </c>
      <c r="Y153" s="24">
        <f>$D$112*INDEX($C$94:$AL$94,1,22)</f>
        <v/>
      </c>
      <c r="Z153" s="24">
        <f>$D$112*INDEX($C$94:$AL$94,1,23)</f>
        <v/>
      </c>
      <c r="AA153" s="24">
        <f>$D$112*INDEX($C$94:$AL$94,1,24)</f>
        <v/>
      </c>
      <c r="AB153" s="24">
        <f>$D$112*INDEX($C$94:$AL$94,1,25)</f>
        <v/>
      </c>
      <c r="AC153" s="24">
        <f>$D$112*INDEX($C$94:$AL$94,1,26)</f>
        <v/>
      </c>
      <c r="AD153" s="24">
        <f>$D$112*INDEX($C$94:$AL$94,1,27)</f>
        <v/>
      </c>
      <c r="AE153" s="24">
        <f>$D$112*INDEX($C$94:$AL$94,1,28)</f>
        <v/>
      </c>
      <c r="AF153" s="24">
        <f>$D$112*INDEX($C$94:$AL$94,1,29)</f>
        <v/>
      </c>
    </row>
    <row r="154">
      <c r="A154" s="4" t="inlineStr">
        <is>
          <t>Coorte del mese 3</t>
        </is>
      </c>
      <c r="C154" s="24" t="n">
        <v>0</v>
      </c>
      <c r="D154" s="24" t="n">
        <v>0</v>
      </c>
      <c r="E154" s="24">
        <f>$E$112*INDEX($C$94:$AL$94,1,1)</f>
        <v/>
      </c>
      <c r="F154" s="24">
        <f>$E$112*INDEX($C$94:$AL$94,1,2)</f>
        <v/>
      </c>
      <c r="G154" s="24">
        <f>$E$112*INDEX($C$94:$AL$94,1,3)</f>
        <v/>
      </c>
      <c r="H154" s="24">
        <f>$E$112*INDEX($C$94:$AL$94,1,4)</f>
        <v/>
      </c>
      <c r="I154" s="24">
        <f>$E$112*INDEX($C$94:$AL$94,1,5)</f>
        <v/>
      </c>
      <c r="J154" s="24">
        <f>$E$112*INDEX($C$94:$AL$94,1,6)</f>
        <v/>
      </c>
      <c r="K154" s="24">
        <f>$E$112*INDEX($C$94:$AL$94,1,7)</f>
        <v/>
      </c>
      <c r="L154" s="24">
        <f>$E$112*INDEX($C$94:$AL$94,1,8)</f>
        <v/>
      </c>
      <c r="M154" s="24">
        <f>$E$112*INDEX($C$94:$AL$94,1,9)</f>
        <v/>
      </c>
      <c r="N154" s="24">
        <f>$E$112*INDEX($C$94:$AL$94,1,10)</f>
        <v/>
      </c>
      <c r="O154" s="24">
        <f>$E$112*INDEX($C$94:$AL$94,1,11)</f>
        <v/>
      </c>
      <c r="P154" s="24">
        <f>$E$112*INDEX($C$94:$AL$94,1,12)</f>
        <v/>
      </c>
      <c r="Q154" s="24">
        <f>$E$112*INDEX($C$94:$AL$94,1,13)</f>
        <v/>
      </c>
      <c r="R154" s="24">
        <f>$E$112*INDEX($C$94:$AL$94,1,14)</f>
        <v/>
      </c>
      <c r="S154" s="24">
        <f>$E$112*INDEX($C$94:$AL$94,1,15)</f>
        <v/>
      </c>
      <c r="T154" s="24">
        <f>$E$112*INDEX($C$94:$AL$94,1,16)</f>
        <v/>
      </c>
      <c r="U154" s="24">
        <f>$E$112*INDEX($C$94:$AL$94,1,17)</f>
        <v/>
      </c>
      <c r="V154" s="24">
        <f>$E$112*INDEX($C$94:$AL$94,1,18)</f>
        <v/>
      </c>
      <c r="W154" s="24">
        <f>$E$112*INDEX($C$94:$AL$94,1,19)</f>
        <v/>
      </c>
      <c r="X154" s="24">
        <f>$E$112*INDEX($C$94:$AL$94,1,20)</f>
        <v/>
      </c>
      <c r="Y154" s="24">
        <f>$E$112*INDEX($C$94:$AL$94,1,21)</f>
        <v/>
      </c>
      <c r="Z154" s="24">
        <f>$E$112*INDEX($C$94:$AL$94,1,22)</f>
        <v/>
      </c>
      <c r="AA154" s="24">
        <f>$E$112*INDEX($C$94:$AL$94,1,23)</f>
        <v/>
      </c>
      <c r="AB154" s="24">
        <f>$E$112*INDEX($C$94:$AL$94,1,24)</f>
        <v/>
      </c>
      <c r="AC154" s="24">
        <f>$E$112*INDEX($C$94:$AL$94,1,25)</f>
        <v/>
      </c>
      <c r="AD154" s="24">
        <f>$E$112*INDEX($C$94:$AL$94,1,26)</f>
        <v/>
      </c>
      <c r="AE154" s="24">
        <f>$E$112*INDEX($C$94:$AL$94,1,27)</f>
        <v/>
      </c>
      <c r="AF154" s="24">
        <f>$E$112*INDEX($C$94:$AL$94,1,28)</f>
        <v/>
      </c>
    </row>
    <row r="155">
      <c r="A155" s="4" t="inlineStr">
        <is>
          <t>Coorte del mese 4</t>
        </is>
      </c>
      <c r="C155" s="24" t="n">
        <v>0</v>
      </c>
      <c r="D155" s="24" t="n">
        <v>0</v>
      </c>
      <c r="E155" s="24" t="n">
        <v>0</v>
      </c>
      <c r="F155" s="24">
        <f>$F$112*INDEX($C$94:$AL$94,1,1)</f>
        <v/>
      </c>
      <c r="G155" s="24">
        <f>$F$112*INDEX($C$94:$AL$94,1,2)</f>
        <v/>
      </c>
      <c r="H155" s="24">
        <f>$F$112*INDEX($C$94:$AL$94,1,3)</f>
        <v/>
      </c>
      <c r="I155" s="24">
        <f>$F$112*INDEX($C$94:$AL$94,1,4)</f>
        <v/>
      </c>
      <c r="J155" s="24">
        <f>$F$112*INDEX($C$94:$AL$94,1,5)</f>
        <v/>
      </c>
      <c r="K155" s="24">
        <f>$F$112*INDEX($C$94:$AL$94,1,6)</f>
        <v/>
      </c>
      <c r="L155" s="24">
        <f>$F$112*INDEX($C$94:$AL$94,1,7)</f>
        <v/>
      </c>
      <c r="M155" s="24">
        <f>$F$112*INDEX($C$94:$AL$94,1,8)</f>
        <v/>
      </c>
      <c r="N155" s="24">
        <f>$F$112*INDEX($C$94:$AL$94,1,9)</f>
        <v/>
      </c>
      <c r="O155" s="24">
        <f>$F$112*INDEX($C$94:$AL$94,1,10)</f>
        <v/>
      </c>
      <c r="P155" s="24">
        <f>$F$112*INDEX($C$94:$AL$94,1,11)</f>
        <v/>
      </c>
      <c r="Q155" s="24">
        <f>$F$112*INDEX($C$94:$AL$94,1,12)</f>
        <v/>
      </c>
      <c r="R155" s="24">
        <f>$F$112*INDEX($C$94:$AL$94,1,13)</f>
        <v/>
      </c>
      <c r="S155" s="24">
        <f>$F$112*INDEX($C$94:$AL$94,1,14)</f>
        <v/>
      </c>
      <c r="T155" s="24">
        <f>$F$112*INDEX($C$94:$AL$94,1,15)</f>
        <v/>
      </c>
      <c r="U155" s="24">
        <f>$F$112*INDEX($C$94:$AL$94,1,16)</f>
        <v/>
      </c>
      <c r="V155" s="24">
        <f>$F$112*INDEX($C$94:$AL$94,1,17)</f>
        <v/>
      </c>
      <c r="W155" s="24">
        <f>$F$112*INDEX($C$94:$AL$94,1,18)</f>
        <v/>
      </c>
      <c r="X155" s="24">
        <f>$F$112*INDEX($C$94:$AL$94,1,19)</f>
        <v/>
      </c>
      <c r="Y155" s="24">
        <f>$F$112*INDEX($C$94:$AL$94,1,20)</f>
        <v/>
      </c>
      <c r="Z155" s="24">
        <f>$F$112*INDEX($C$94:$AL$94,1,21)</f>
        <v/>
      </c>
      <c r="AA155" s="24">
        <f>$F$112*INDEX($C$94:$AL$94,1,22)</f>
        <v/>
      </c>
      <c r="AB155" s="24">
        <f>$F$112*INDEX($C$94:$AL$94,1,23)</f>
        <v/>
      </c>
      <c r="AC155" s="24">
        <f>$F$112*INDEX($C$94:$AL$94,1,24)</f>
        <v/>
      </c>
      <c r="AD155" s="24">
        <f>$F$112*INDEX($C$94:$AL$94,1,25)</f>
        <v/>
      </c>
      <c r="AE155" s="24">
        <f>$F$112*INDEX($C$94:$AL$94,1,26)</f>
        <v/>
      </c>
      <c r="AF155" s="24">
        <f>$F$112*INDEX($C$94:$AL$94,1,27)</f>
        <v/>
      </c>
    </row>
    <row r="156">
      <c r="A156" s="4" t="inlineStr">
        <is>
          <t>Coorte del mese 5</t>
        </is>
      </c>
      <c r="C156" s="24" t="n">
        <v>0</v>
      </c>
      <c r="D156" s="24" t="n">
        <v>0</v>
      </c>
      <c r="E156" s="24" t="n">
        <v>0</v>
      </c>
      <c r="F156" s="24" t="n">
        <v>0</v>
      </c>
      <c r="G156" s="24">
        <f>$G$112*INDEX($C$94:$AL$94,1,1)</f>
        <v/>
      </c>
      <c r="H156" s="24">
        <f>$G$112*INDEX($C$94:$AL$94,1,2)</f>
        <v/>
      </c>
      <c r="I156" s="24">
        <f>$G$112*INDEX($C$94:$AL$94,1,3)</f>
        <v/>
      </c>
      <c r="J156" s="24">
        <f>$G$112*INDEX($C$94:$AL$94,1,4)</f>
        <v/>
      </c>
      <c r="K156" s="24">
        <f>$G$112*INDEX($C$94:$AL$94,1,5)</f>
        <v/>
      </c>
      <c r="L156" s="24">
        <f>$G$112*INDEX($C$94:$AL$94,1,6)</f>
        <v/>
      </c>
      <c r="M156" s="24">
        <f>$G$112*INDEX($C$94:$AL$94,1,7)</f>
        <v/>
      </c>
      <c r="N156" s="24">
        <f>$G$112*INDEX($C$94:$AL$94,1,8)</f>
        <v/>
      </c>
      <c r="O156" s="24">
        <f>$G$112*INDEX($C$94:$AL$94,1,9)</f>
        <v/>
      </c>
      <c r="P156" s="24">
        <f>$G$112*INDEX($C$94:$AL$94,1,10)</f>
        <v/>
      </c>
      <c r="Q156" s="24">
        <f>$G$112*INDEX($C$94:$AL$94,1,11)</f>
        <v/>
      </c>
      <c r="R156" s="24">
        <f>$G$112*INDEX($C$94:$AL$94,1,12)</f>
        <v/>
      </c>
      <c r="S156" s="24">
        <f>$G$112*INDEX($C$94:$AL$94,1,13)</f>
        <v/>
      </c>
      <c r="T156" s="24">
        <f>$G$112*INDEX($C$94:$AL$94,1,14)</f>
        <v/>
      </c>
      <c r="U156" s="24">
        <f>$G$112*INDEX($C$94:$AL$94,1,15)</f>
        <v/>
      </c>
      <c r="V156" s="24">
        <f>$G$112*INDEX($C$94:$AL$94,1,16)</f>
        <v/>
      </c>
      <c r="W156" s="24">
        <f>$G$112*INDEX($C$94:$AL$94,1,17)</f>
        <v/>
      </c>
      <c r="X156" s="24">
        <f>$G$112*INDEX($C$94:$AL$94,1,18)</f>
        <v/>
      </c>
      <c r="Y156" s="24">
        <f>$G$112*INDEX($C$94:$AL$94,1,19)</f>
        <v/>
      </c>
      <c r="Z156" s="24">
        <f>$G$112*INDEX($C$94:$AL$94,1,20)</f>
        <v/>
      </c>
      <c r="AA156" s="24">
        <f>$G$112*INDEX($C$94:$AL$94,1,21)</f>
        <v/>
      </c>
      <c r="AB156" s="24">
        <f>$G$112*INDEX($C$94:$AL$94,1,22)</f>
        <v/>
      </c>
      <c r="AC156" s="24">
        <f>$G$112*INDEX($C$94:$AL$94,1,23)</f>
        <v/>
      </c>
      <c r="AD156" s="24">
        <f>$G$112*INDEX($C$94:$AL$94,1,24)</f>
        <v/>
      </c>
      <c r="AE156" s="24">
        <f>$G$112*INDEX($C$94:$AL$94,1,25)</f>
        <v/>
      </c>
      <c r="AF156" s="24">
        <f>$G$112*INDEX($C$94:$AL$94,1,26)</f>
        <v/>
      </c>
    </row>
    <row r="157">
      <c r="A157" s="4" t="inlineStr">
        <is>
          <t>Coorte del mese 6</t>
        </is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>
        <f>$H$112*INDEX($C$94:$AL$94,1,1)</f>
        <v/>
      </c>
      <c r="I157" s="24">
        <f>$H$112*INDEX($C$94:$AL$94,1,2)</f>
        <v/>
      </c>
      <c r="J157" s="24">
        <f>$H$112*INDEX($C$94:$AL$94,1,3)</f>
        <v/>
      </c>
      <c r="K157" s="24">
        <f>$H$112*INDEX($C$94:$AL$94,1,4)</f>
        <v/>
      </c>
      <c r="L157" s="24">
        <f>$H$112*INDEX($C$94:$AL$94,1,5)</f>
        <v/>
      </c>
      <c r="M157" s="24">
        <f>$H$112*INDEX($C$94:$AL$94,1,6)</f>
        <v/>
      </c>
      <c r="N157" s="24">
        <f>$H$112*INDEX($C$94:$AL$94,1,7)</f>
        <v/>
      </c>
      <c r="O157" s="24">
        <f>$H$112*INDEX($C$94:$AL$94,1,8)</f>
        <v/>
      </c>
      <c r="P157" s="24">
        <f>$H$112*INDEX($C$94:$AL$94,1,9)</f>
        <v/>
      </c>
      <c r="Q157" s="24">
        <f>$H$112*INDEX($C$94:$AL$94,1,10)</f>
        <v/>
      </c>
      <c r="R157" s="24">
        <f>$H$112*INDEX($C$94:$AL$94,1,11)</f>
        <v/>
      </c>
      <c r="S157" s="24">
        <f>$H$112*INDEX($C$94:$AL$94,1,12)</f>
        <v/>
      </c>
      <c r="T157" s="24">
        <f>$H$112*INDEX($C$94:$AL$94,1,13)</f>
        <v/>
      </c>
      <c r="U157" s="24">
        <f>$H$112*INDEX($C$94:$AL$94,1,14)</f>
        <v/>
      </c>
      <c r="V157" s="24">
        <f>$H$112*INDEX($C$94:$AL$94,1,15)</f>
        <v/>
      </c>
      <c r="W157" s="24">
        <f>$H$112*INDEX($C$94:$AL$94,1,16)</f>
        <v/>
      </c>
      <c r="X157" s="24">
        <f>$H$112*INDEX($C$94:$AL$94,1,17)</f>
        <v/>
      </c>
      <c r="Y157" s="24">
        <f>$H$112*INDEX($C$94:$AL$94,1,18)</f>
        <v/>
      </c>
      <c r="Z157" s="24">
        <f>$H$112*INDEX($C$94:$AL$94,1,19)</f>
        <v/>
      </c>
      <c r="AA157" s="24">
        <f>$H$112*INDEX($C$94:$AL$94,1,20)</f>
        <v/>
      </c>
      <c r="AB157" s="24">
        <f>$H$112*INDEX($C$94:$AL$94,1,21)</f>
        <v/>
      </c>
      <c r="AC157" s="24">
        <f>$H$112*INDEX($C$94:$AL$94,1,22)</f>
        <v/>
      </c>
      <c r="AD157" s="24">
        <f>$H$112*INDEX($C$94:$AL$94,1,23)</f>
        <v/>
      </c>
      <c r="AE157" s="24">
        <f>$H$112*INDEX($C$94:$AL$94,1,24)</f>
        <v/>
      </c>
      <c r="AF157" s="24">
        <f>$H$112*INDEX($C$94:$AL$94,1,25)</f>
        <v/>
      </c>
    </row>
    <row r="158">
      <c r="A158" s="4" t="inlineStr">
        <is>
          <t>Coorte del mese 7</t>
        </is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>
        <f>$I$112*INDEX($C$94:$AL$94,1,1)</f>
        <v/>
      </c>
      <c r="J158" s="24">
        <f>$I$112*INDEX($C$94:$AL$94,1,2)</f>
        <v/>
      </c>
      <c r="K158" s="24">
        <f>$I$112*INDEX($C$94:$AL$94,1,3)</f>
        <v/>
      </c>
      <c r="L158" s="24">
        <f>$I$112*INDEX($C$94:$AL$94,1,4)</f>
        <v/>
      </c>
      <c r="M158" s="24">
        <f>$I$112*INDEX($C$94:$AL$94,1,5)</f>
        <v/>
      </c>
      <c r="N158" s="24">
        <f>$I$112*INDEX($C$94:$AL$94,1,6)</f>
        <v/>
      </c>
      <c r="O158" s="24">
        <f>$I$112*INDEX($C$94:$AL$94,1,7)</f>
        <v/>
      </c>
      <c r="P158" s="24">
        <f>$I$112*INDEX($C$94:$AL$94,1,8)</f>
        <v/>
      </c>
      <c r="Q158" s="24">
        <f>$I$112*INDEX($C$94:$AL$94,1,9)</f>
        <v/>
      </c>
      <c r="R158" s="24">
        <f>$I$112*INDEX($C$94:$AL$94,1,10)</f>
        <v/>
      </c>
      <c r="S158" s="24">
        <f>$I$112*INDEX($C$94:$AL$94,1,11)</f>
        <v/>
      </c>
      <c r="T158" s="24">
        <f>$I$112*INDEX($C$94:$AL$94,1,12)</f>
        <v/>
      </c>
      <c r="U158" s="24">
        <f>$I$112*INDEX($C$94:$AL$94,1,13)</f>
        <v/>
      </c>
      <c r="V158" s="24">
        <f>$I$112*INDEX($C$94:$AL$94,1,14)</f>
        <v/>
      </c>
      <c r="W158" s="24">
        <f>$I$112*INDEX($C$94:$AL$94,1,15)</f>
        <v/>
      </c>
      <c r="X158" s="24">
        <f>$I$112*INDEX($C$94:$AL$94,1,16)</f>
        <v/>
      </c>
      <c r="Y158" s="24">
        <f>$I$112*INDEX($C$94:$AL$94,1,17)</f>
        <v/>
      </c>
      <c r="Z158" s="24">
        <f>$I$112*INDEX($C$94:$AL$94,1,18)</f>
        <v/>
      </c>
      <c r="AA158" s="24">
        <f>$I$112*INDEX($C$94:$AL$94,1,19)</f>
        <v/>
      </c>
      <c r="AB158" s="24">
        <f>$I$112*INDEX($C$94:$AL$94,1,20)</f>
        <v/>
      </c>
      <c r="AC158" s="24">
        <f>$I$112*INDEX($C$94:$AL$94,1,21)</f>
        <v/>
      </c>
      <c r="AD158" s="24">
        <f>$I$112*INDEX($C$94:$AL$94,1,22)</f>
        <v/>
      </c>
      <c r="AE158" s="24">
        <f>$I$112*INDEX($C$94:$AL$94,1,23)</f>
        <v/>
      </c>
      <c r="AF158" s="24">
        <f>$I$112*INDEX($C$94:$AL$94,1,24)</f>
        <v/>
      </c>
    </row>
    <row r="159">
      <c r="A159" s="4" t="inlineStr">
        <is>
          <t>Coorte del mese 8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>
        <f>$J$112*INDEX($C$94:$AL$94,1,1)</f>
        <v/>
      </c>
      <c r="K159" s="24">
        <f>$J$112*INDEX($C$94:$AL$94,1,2)</f>
        <v/>
      </c>
      <c r="L159" s="24">
        <f>$J$112*INDEX($C$94:$AL$94,1,3)</f>
        <v/>
      </c>
      <c r="M159" s="24">
        <f>$J$112*INDEX($C$94:$AL$94,1,4)</f>
        <v/>
      </c>
      <c r="N159" s="24">
        <f>$J$112*INDEX($C$94:$AL$94,1,5)</f>
        <v/>
      </c>
      <c r="O159" s="24">
        <f>$J$112*INDEX($C$94:$AL$94,1,6)</f>
        <v/>
      </c>
      <c r="P159" s="24">
        <f>$J$112*INDEX($C$94:$AL$94,1,7)</f>
        <v/>
      </c>
      <c r="Q159" s="24">
        <f>$J$112*INDEX($C$94:$AL$94,1,8)</f>
        <v/>
      </c>
      <c r="R159" s="24">
        <f>$J$112*INDEX($C$94:$AL$94,1,9)</f>
        <v/>
      </c>
      <c r="S159" s="24">
        <f>$J$112*INDEX($C$94:$AL$94,1,10)</f>
        <v/>
      </c>
      <c r="T159" s="24">
        <f>$J$112*INDEX($C$94:$AL$94,1,11)</f>
        <v/>
      </c>
      <c r="U159" s="24">
        <f>$J$112*INDEX($C$94:$AL$94,1,12)</f>
        <v/>
      </c>
      <c r="V159" s="24">
        <f>$J$112*INDEX($C$94:$AL$94,1,13)</f>
        <v/>
      </c>
      <c r="W159" s="24">
        <f>$J$112*INDEX($C$94:$AL$94,1,14)</f>
        <v/>
      </c>
      <c r="X159" s="24">
        <f>$J$112*INDEX($C$94:$AL$94,1,15)</f>
        <v/>
      </c>
      <c r="Y159" s="24">
        <f>$J$112*INDEX($C$94:$AL$94,1,16)</f>
        <v/>
      </c>
      <c r="Z159" s="24">
        <f>$J$112*INDEX($C$94:$AL$94,1,17)</f>
        <v/>
      </c>
      <c r="AA159" s="24">
        <f>$J$112*INDEX($C$94:$AL$94,1,18)</f>
        <v/>
      </c>
      <c r="AB159" s="24">
        <f>$J$112*INDEX($C$94:$AL$94,1,19)</f>
        <v/>
      </c>
      <c r="AC159" s="24">
        <f>$J$112*INDEX($C$94:$AL$94,1,20)</f>
        <v/>
      </c>
      <c r="AD159" s="24">
        <f>$J$112*INDEX($C$94:$AL$94,1,21)</f>
        <v/>
      </c>
      <c r="AE159" s="24">
        <f>$J$112*INDEX($C$94:$AL$94,1,22)</f>
        <v/>
      </c>
      <c r="AF159" s="24">
        <f>$J$112*INDEX($C$94:$AL$94,1,23)</f>
        <v/>
      </c>
    </row>
    <row r="160">
      <c r="A160" s="4" t="inlineStr">
        <is>
          <t>Coorte del mese 9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>
        <f>$K$112*INDEX($C$94:$AL$94,1,1)</f>
        <v/>
      </c>
      <c r="L160" s="24">
        <f>$K$112*INDEX($C$94:$AL$94,1,2)</f>
        <v/>
      </c>
      <c r="M160" s="24">
        <f>$K$112*INDEX($C$94:$AL$94,1,3)</f>
        <v/>
      </c>
      <c r="N160" s="24">
        <f>$K$112*INDEX($C$94:$AL$94,1,4)</f>
        <v/>
      </c>
      <c r="O160" s="24">
        <f>$K$112*INDEX($C$94:$AL$94,1,5)</f>
        <v/>
      </c>
      <c r="P160" s="24">
        <f>$K$112*INDEX($C$94:$AL$94,1,6)</f>
        <v/>
      </c>
      <c r="Q160" s="24">
        <f>$K$112*INDEX($C$94:$AL$94,1,7)</f>
        <v/>
      </c>
      <c r="R160" s="24">
        <f>$K$112*INDEX($C$94:$AL$94,1,8)</f>
        <v/>
      </c>
      <c r="S160" s="24">
        <f>$K$112*INDEX($C$94:$AL$94,1,9)</f>
        <v/>
      </c>
      <c r="T160" s="24">
        <f>$K$112*INDEX($C$94:$AL$94,1,10)</f>
        <v/>
      </c>
      <c r="U160" s="24">
        <f>$K$112*INDEX($C$94:$AL$94,1,11)</f>
        <v/>
      </c>
      <c r="V160" s="24">
        <f>$K$112*INDEX($C$94:$AL$94,1,12)</f>
        <v/>
      </c>
      <c r="W160" s="24">
        <f>$K$112*INDEX($C$94:$AL$94,1,13)</f>
        <v/>
      </c>
      <c r="X160" s="24">
        <f>$K$112*INDEX($C$94:$AL$94,1,14)</f>
        <v/>
      </c>
      <c r="Y160" s="24">
        <f>$K$112*INDEX($C$94:$AL$94,1,15)</f>
        <v/>
      </c>
      <c r="Z160" s="24">
        <f>$K$112*INDEX($C$94:$AL$94,1,16)</f>
        <v/>
      </c>
      <c r="AA160" s="24">
        <f>$K$112*INDEX($C$94:$AL$94,1,17)</f>
        <v/>
      </c>
      <c r="AB160" s="24">
        <f>$K$112*INDEX($C$94:$AL$94,1,18)</f>
        <v/>
      </c>
      <c r="AC160" s="24">
        <f>$K$112*INDEX($C$94:$AL$94,1,19)</f>
        <v/>
      </c>
      <c r="AD160" s="24">
        <f>$K$112*INDEX($C$94:$AL$94,1,20)</f>
        <v/>
      </c>
      <c r="AE160" s="24">
        <f>$K$112*INDEX($C$94:$AL$94,1,21)</f>
        <v/>
      </c>
      <c r="AF160" s="24">
        <f>$K$112*INDEX($C$94:$AL$94,1,22)</f>
        <v/>
      </c>
    </row>
    <row r="161">
      <c r="A161" s="4" t="inlineStr">
        <is>
          <t>Coorte del mese 10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>
        <f>$L$112*INDEX($C$94:$AL$94,1,1)</f>
        <v/>
      </c>
      <c r="M161" s="24">
        <f>$L$112*INDEX($C$94:$AL$94,1,2)</f>
        <v/>
      </c>
      <c r="N161" s="24">
        <f>$L$112*INDEX($C$94:$AL$94,1,3)</f>
        <v/>
      </c>
      <c r="O161" s="24">
        <f>$L$112*INDEX($C$94:$AL$94,1,4)</f>
        <v/>
      </c>
      <c r="P161" s="24">
        <f>$L$112*INDEX($C$94:$AL$94,1,5)</f>
        <v/>
      </c>
      <c r="Q161" s="24">
        <f>$L$112*INDEX($C$94:$AL$94,1,6)</f>
        <v/>
      </c>
      <c r="R161" s="24">
        <f>$L$112*INDEX($C$94:$AL$94,1,7)</f>
        <v/>
      </c>
      <c r="S161" s="24">
        <f>$L$112*INDEX($C$94:$AL$94,1,8)</f>
        <v/>
      </c>
      <c r="T161" s="24">
        <f>$L$112*INDEX($C$94:$AL$94,1,9)</f>
        <v/>
      </c>
      <c r="U161" s="24">
        <f>$L$112*INDEX($C$94:$AL$94,1,10)</f>
        <v/>
      </c>
      <c r="V161" s="24">
        <f>$L$112*INDEX($C$94:$AL$94,1,11)</f>
        <v/>
      </c>
      <c r="W161" s="24">
        <f>$L$112*INDEX($C$94:$AL$94,1,12)</f>
        <v/>
      </c>
      <c r="X161" s="24">
        <f>$L$112*INDEX($C$94:$AL$94,1,13)</f>
        <v/>
      </c>
      <c r="Y161" s="24">
        <f>$L$112*INDEX($C$94:$AL$94,1,14)</f>
        <v/>
      </c>
      <c r="Z161" s="24">
        <f>$L$112*INDEX($C$94:$AL$94,1,15)</f>
        <v/>
      </c>
      <c r="AA161" s="24">
        <f>$L$112*INDEX($C$94:$AL$94,1,16)</f>
        <v/>
      </c>
      <c r="AB161" s="24">
        <f>$L$112*INDEX($C$94:$AL$94,1,17)</f>
        <v/>
      </c>
      <c r="AC161" s="24">
        <f>$L$112*INDEX($C$94:$AL$94,1,18)</f>
        <v/>
      </c>
      <c r="AD161" s="24">
        <f>$L$112*INDEX($C$94:$AL$94,1,19)</f>
        <v/>
      </c>
      <c r="AE161" s="24">
        <f>$L$112*INDEX($C$94:$AL$94,1,20)</f>
        <v/>
      </c>
      <c r="AF161" s="24">
        <f>$L$112*INDEX($C$94:$AL$94,1,21)</f>
        <v/>
      </c>
    </row>
    <row r="162">
      <c r="A162" s="4" t="inlineStr">
        <is>
          <t>Coorte del mese 11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>
        <f>$M$112*INDEX($C$94:$AL$94,1,1)</f>
        <v/>
      </c>
      <c r="N162" s="24">
        <f>$M$112*INDEX($C$94:$AL$94,1,2)</f>
        <v/>
      </c>
      <c r="O162" s="24">
        <f>$M$112*INDEX($C$94:$AL$94,1,3)</f>
        <v/>
      </c>
      <c r="P162" s="24">
        <f>$M$112*INDEX($C$94:$AL$94,1,4)</f>
        <v/>
      </c>
      <c r="Q162" s="24">
        <f>$M$112*INDEX($C$94:$AL$94,1,5)</f>
        <v/>
      </c>
      <c r="R162" s="24">
        <f>$M$112*INDEX($C$94:$AL$94,1,6)</f>
        <v/>
      </c>
      <c r="S162" s="24">
        <f>$M$112*INDEX($C$94:$AL$94,1,7)</f>
        <v/>
      </c>
      <c r="T162" s="24">
        <f>$M$112*INDEX($C$94:$AL$94,1,8)</f>
        <v/>
      </c>
      <c r="U162" s="24">
        <f>$M$112*INDEX($C$94:$AL$94,1,9)</f>
        <v/>
      </c>
      <c r="V162" s="24">
        <f>$M$112*INDEX($C$94:$AL$94,1,10)</f>
        <v/>
      </c>
      <c r="W162" s="24">
        <f>$M$112*INDEX($C$94:$AL$94,1,11)</f>
        <v/>
      </c>
      <c r="X162" s="24">
        <f>$M$112*INDEX($C$94:$AL$94,1,12)</f>
        <v/>
      </c>
      <c r="Y162" s="24">
        <f>$M$112*INDEX($C$94:$AL$94,1,13)</f>
        <v/>
      </c>
      <c r="Z162" s="24">
        <f>$M$112*INDEX($C$94:$AL$94,1,14)</f>
        <v/>
      </c>
      <c r="AA162" s="24">
        <f>$M$112*INDEX($C$94:$AL$94,1,15)</f>
        <v/>
      </c>
      <c r="AB162" s="24">
        <f>$M$112*INDEX($C$94:$AL$94,1,16)</f>
        <v/>
      </c>
      <c r="AC162" s="24">
        <f>$M$112*INDEX($C$94:$AL$94,1,17)</f>
        <v/>
      </c>
      <c r="AD162" s="24">
        <f>$M$112*INDEX($C$94:$AL$94,1,18)</f>
        <v/>
      </c>
      <c r="AE162" s="24">
        <f>$M$112*INDEX($C$94:$AL$94,1,19)</f>
        <v/>
      </c>
      <c r="AF162" s="24">
        <f>$M$112*INDEX($C$94:$AL$94,1,20)</f>
        <v/>
      </c>
    </row>
    <row r="163">
      <c r="A163" s="4" t="inlineStr">
        <is>
          <t>Coorte del mese 12</t>
        </is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>
        <f>$N$112*INDEX($C$94:$AL$94,1,1)</f>
        <v/>
      </c>
      <c r="O163" s="24">
        <f>$N$112*INDEX($C$94:$AL$94,1,2)</f>
        <v/>
      </c>
      <c r="P163" s="24">
        <f>$N$112*INDEX($C$94:$AL$94,1,3)</f>
        <v/>
      </c>
      <c r="Q163" s="24">
        <f>$N$112*INDEX($C$94:$AL$94,1,4)</f>
        <v/>
      </c>
      <c r="R163" s="24">
        <f>$N$112*INDEX($C$94:$AL$94,1,5)</f>
        <v/>
      </c>
      <c r="S163" s="24">
        <f>$N$112*INDEX($C$94:$AL$94,1,6)</f>
        <v/>
      </c>
      <c r="T163" s="24">
        <f>$N$112*INDEX($C$94:$AL$94,1,7)</f>
        <v/>
      </c>
      <c r="U163" s="24">
        <f>$N$112*INDEX($C$94:$AL$94,1,8)</f>
        <v/>
      </c>
      <c r="V163" s="24">
        <f>$N$112*INDEX($C$94:$AL$94,1,9)</f>
        <v/>
      </c>
      <c r="W163" s="24">
        <f>$N$112*INDEX($C$94:$AL$94,1,10)</f>
        <v/>
      </c>
      <c r="X163" s="24">
        <f>$N$112*INDEX($C$94:$AL$94,1,11)</f>
        <v/>
      </c>
      <c r="Y163" s="24">
        <f>$N$112*INDEX($C$94:$AL$94,1,12)</f>
        <v/>
      </c>
      <c r="Z163" s="24">
        <f>$N$112*INDEX($C$94:$AL$94,1,13)</f>
        <v/>
      </c>
      <c r="AA163" s="24">
        <f>$N$112*INDEX($C$94:$AL$94,1,14)</f>
        <v/>
      </c>
      <c r="AB163" s="24">
        <f>$N$112*INDEX($C$94:$AL$94,1,15)</f>
        <v/>
      </c>
      <c r="AC163" s="24">
        <f>$N$112*INDEX($C$94:$AL$94,1,16)</f>
        <v/>
      </c>
      <c r="AD163" s="24">
        <f>$N$112*INDEX($C$94:$AL$94,1,17)</f>
        <v/>
      </c>
      <c r="AE163" s="24">
        <f>$N$112*INDEX($C$94:$AL$94,1,18)</f>
        <v/>
      </c>
      <c r="AF163" s="24">
        <f>$N$112*INDEX($C$94:$AL$94,1,19)</f>
        <v/>
      </c>
    </row>
    <row r="164">
      <c r="A164" s="4" t="inlineStr">
        <is>
          <t>Coorte del mese 13</t>
        </is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>
        <f>$O$112*INDEX($C$94:$AL$94,1,1)</f>
        <v/>
      </c>
      <c r="P164" s="24">
        <f>$O$112*INDEX($C$94:$AL$94,1,2)</f>
        <v/>
      </c>
      <c r="Q164" s="24">
        <f>$O$112*INDEX($C$94:$AL$94,1,3)</f>
        <v/>
      </c>
      <c r="R164" s="24">
        <f>$O$112*INDEX($C$94:$AL$94,1,4)</f>
        <v/>
      </c>
      <c r="S164" s="24">
        <f>$O$112*INDEX($C$94:$AL$94,1,5)</f>
        <v/>
      </c>
      <c r="T164" s="24">
        <f>$O$112*INDEX($C$94:$AL$94,1,6)</f>
        <v/>
      </c>
      <c r="U164" s="24">
        <f>$O$112*INDEX($C$94:$AL$94,1,7)</f>
        <v/>
      </c>
      <c r="V164" s="24">
        <f>$O$112*INDEX($C$94:$AL$94,1,8)</f>
        <v/>
      </c>
      <c r="W164" s="24">
        <f>$O$112*INDEX($C$94:$AL$94,1,9)</f>
        <v/>
      </c>
      <c r="X164" s="24">
        <f>$O$112*INDEX($C$94:$AL$94,1,10)</f>
        <v/>
      </c>
      <c r="Y164" s="24">
        <f>$O$112*INDEX($C$94:$AL$94,1,11)</f>
        <v/>
      </c>
      <c r="Z164" s="24">
        <f>$O$112*INDEX($C$94:$AL$94,1,12)</f>
        <v/>
      </c>
      <c r="AA164" s="24">
        <f>$O$112*INDEX($C$94:$AL$94,1,13)</f>
        <v/>
      </c>
      <c r="AB164" s="24">
        <f>$O$112*INDEX($C$94:$AL$94,1,14)</f>
        <v/>
      </c>
      <c r="AC164" s="24">
        <f>$O$112*INDEX($C$94:$AL$94,1,15)</f>
        <v/>
      </c>
      <c r="AD164" s="24">
        <f>$O$112*INDEX($C$94:$AL$94,1,16)</f>
        <v/>
      </c>
      <c r="AE164" s="24">
        <f>$O$112*INDEX($C$94:$AL$94,1,17)</f>
        <v/>
      </c>
      <c r="AF164" s="24">
        <f>$O$112*INDEX($C$94:$AL$94,1,18)</f>
        <v/>
      </c>
    </row>
    <row r="165">
      <c r="A165" s="4" t="inlineStr">
        <is>
          <t>Coorte del mese 14</t>
        </is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>
        <f>$P$112*INDEX($C$94:$AL$94,1,1)</f>
        <v/>
      </c>
      <c r="Q165" s="24">
        <f>$P$112*INDEX($C$94:$AL$94,1,2)</f>
        <v/>
      </c>
      <c r="R165" s="24">
        <f>$P$112*INDEX($C$94:$AL$94,1,3)</f>
        <v/>
      </c>
      <c r="S165" s="24">
        <f>$P$112*INDEX($C$94:$AL$94,1,4)</f>
        <v/>
      </c>
      <c r="T165" s="24">
        <f>$P$112*INDEX($C$94:$AL$94,1,5)</f>
        <v/>
      </c>
      <c r="U165" s="24">
        <f>$P$112*INDEX($C$94:$AL$94,1,6)</f>
        <v/>
      </c>
      <c r="V165" s="24">
        <f>$P$112*INDEX($C$94:$AL$94,1,7)</f>
        <v/>
      </c>
      <c r="W165" s="24">
        <f>$P$112*INDEX($C$94:$AL$94,1,8)</f>
        <v/>
      </c>
      <c r="X165" s="24">
        <f>$P$112*INDEX($C$94:$AL$94,1,9)</f>
        <v/>
      </c>
      <c r="Y165" s="24">
        <f>$P$112*INDEX($C$94:$AL$94,1,10)</f>
        <v/>
      </c>
      <c r="Z165" s="24">
        <f>$P$112*INDEX($C$94:$AL$94,1,11)</f>
        <v/>
      </c>
      <c r="AA165" s="24">
        <f>$P$112*INDEX($C$94:$AL$94,1,12)</f>
        <v/>
      </c>
      <c r="AB165" s="24">
        <f>$P$112*INDEX($C$94:$AL$94,1,13)</f>
        <v/>
      </c>
      <c r="AC165" s="24">
        <f>$P$112*INDEX($C$94:$AL$94,1,14)</f>
        <v/>
      </c>
      <c r="AD165" s="24">
        <f>$P$112*INDEX($C$94:$AL$94,1,15)</f>
        <v/>
      </c>
      <c r="AE165" s="24">
        <f>$P$112*INDEX($C$94:$AL$94,1,16)</f>
        <v/>
      </c>
      <c r="AF165" s="24">
        <f>$P$112*INDEX($C$94:$AL$94,1,17)</f>
        <v/>
      </c>
    </row>
    <row r="166">
      <c r="A166" s="4" t="inlineStr">
        <is>
          <t>Coorte del mese 15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>
        <f>$Q$112*INDEX($C$94:$AL$94,1,1)</f>
        <v/>
      </c>
      <c r="R166" s="24">
        <f>$Q$112*INDEX($C$94:$AL$94,1,2)</f>
        <v/>
      </c>
      <c r="S166" s="24">
        <f>$Q$112*INDEX($C$94:$AL$94,1,3)</f>
        <v/>
      </c>
      <c r="T166" s="24">
        <f>$Q$112*INDEX($C$94:$AL$94,1,4)</f>
        <v/>
      </c>
      <c r="U166" s="24">
        <f>$Q$112*INDEX($C$94:$AL$94,1,5)</f>
        <v/>
      </c>
      <c r="V166" s="24">
        <f>$Q$112*INDEX($C$94:$AL$94,1,6)</f>
        <v/>
      </c>
      <c r="W166" s="24">
        <f>$Q$112*INDEX($C$94:$AL$94,1,7)</f>
        <v/>
      </c>
      <c r="X166" s="24">
        <f>$Q$112*INDEX($C$94:$AL$94,1,8)</f>
        <v/>
      </c>
      <c r="Y166" s="24">
        <f>$Q$112*INDEX($C$94:$AL$94,1,9)</f>
        <v/>
      </c>
      <c r="Z166" s="24">
        <f>$Q$112*INDEX($C$94:$AL$94,1,10)</f>
        <v/>
      </c>
      <c r="AA166" s="24">
        <f>$Q$112*INDEX($C$94:$AL$94,1,11)</f>
        <v/>
      </c>
      <c r="AB166" s="24">
        <f>$Q$112*INDEX($C$94:$AL$94,1,12)</f>
        <v/>
      </c>
      <c r="AC166" s="24">
        <f>$Q$112*INDEX($C$94:$AL$94,1,13)</f>
        <v/>
      </c>
      <c r="AD166" s="24">
        <f>$Q$112*INDEX($C$94:$AL$94,1,14)</f>
        <v/>
      </c>
      <c r="AE166" s="24">
        <f>$Q$112*INDEX($C$94:$AL$94,1,15)</f>
        <v/>
      </c>
      <c r="AF166" s="24">
        <f>$Q$112*INDEX($C$94:$AL$94,1,16)</f>
        <v/>
      </c>
    </row>
    <row r="167">
      <c r="A167" s="4" t="inlineStr">
        <is>
          <t>Coorte del mese 16</t>
        </is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>
        <f>$R$112*INDEX($C$94:$AL$94,1,1)</f>
        <v/>
      </c>
      <c r="S167" s="24">
        <f>$R$112*INDEX($C$94:$AL$94,1,2)</f>
        <v/>
      </c>
      <c r="T167" s="24">
        <f>$R$112*INDEX($C$94:$AL$94,1,3)</f>
        <v/>
      </c>
      <c r="U167" s="24">
        <f>$R$112*INDEX($C$94:$AL$94,1,4)</f>
        <v/>
      </c>
      <c r="V167" s="24">
        <f>$R$112*INDEX($C$94:$AL$94,1,5)</f>
        <v/>
      </c>
      <c r="W167" s="24">
        <f>$R$112*INDEX($C$94:$AL$94,1,6)</f>
        <v/>
      </c>
      <c r="X167" s="24">
        <f>$R$112*INDEX($C$94:$AL$94,1,7)</f>
        <v/>
      </c>
      <c r="Y167" s="24">
        <f>$R$112*INDEX($C$94:$AL$94,1,8)</f>
        <v/>
      </c>
      <c r="Z167" s="24">
        <f>$R$112*INDEX($C$94:$AL$94,1,9)</f>
        <v/>
      </c>
      <c r="AA167" s="24">
        <f>$R$112*INDEX($C$94:$AL$94,1,10)</f>
        <v/>
      </c>
      <c r="AB167" s="24">
        <f>$R$112*INDEX($C$94:$AL$94,1,11)</f>
        <v/>
      </c>
      <c r="AC167" s="24">
        <f>$R$112*INDEX($C$94:$AL$94,1,12)</f>
        <v/>
      </c>
      <c r="AD167" s="24">
        <f>$R$112*INDEX($C$94:$AL$94,1,13)</f>
        <v/>
      </c>
      <c r="AE167" s="24">
        <f>$R$112*INDEX($C$94:$AL$94,1,14)</f>
        <v/>
      </c>
      <c r="AF167" s="24">
        <f>$R$112*INDEX($C$94:$AL$94,1,15)</f>
        <v/>
      </c>
    </row>
    <row r="168">
      <c r="A168" s="4" t="inlineStr">
        <is>
          <t>Coorte del mese 17</t>
        </is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>
        <f>$S$112*INDEX($C$94:$AL$94,1,1)</f>
        <v/>
      </c>
      <c r="T168" s="24">
        <f>$S$112*INDEX($C$94:$AL$94,1,2)</f>
        <v/>
      </c>
      <c r="U168" s="24">
        <f>$S$112*INDEX($C$94:$AL$94,1,3)</f>
        <v/>
      </c>
      <c r="V168" s="24">
        <f>$S$112*INDEX($C$94:$AL$94,1,4)</f>
        <v/>
      </c>
      <c r="W168" s="24">
        <f>$S$112*INDEX($C$94:$AL$94,1,5)</f>
        <v/>
      </c>
      <c r="X168" s="24">
        <f>$S$112*INDEX($C$94:$AL$94,1,6)</f>
        <v/>
      </c>
      <c r="Y168" s="24">
        <f>$S$112*INDEX($C$94:$AL$94,1,7)</f>
        <v/>
      </c>
      <c r="Z168" s="24">
        <f>$S$112*INDEX($C$94:$AL$94,1,8)</f>
        <v/>
      </c>
      <c r="AA168" s="24">
        <f>$S$112*INDEX($C$94:$AL$94,1,9)</f>
        <v/>
      </c>
      <c r="AB168" s="24">
        <f>$S$112*INDEX($C$94:$AL$94,1,10)</f>
        <v/>
      </c>
      <c r="AC168" s="24">
        <f>$S$112*INDEX($C$94:$AL$94,1,11)</f>
        <v/>
      </c>
      <c r="AD168" s="24">
        <f>$S$112*INDEX($C$94:$AL$94,1,12)</f>
        <v/>
      </c>
      <c r="AE168" s="24">
        <f>$S$112*INDEX($C$94:$AL$94,1,13)</f>
        <v/>
      </c>
      <c r="AF168" s="24">
        <f>$S$112*INDEX($C$94:$AL$94,1,14)</f>
        <v/>
      </c>
    </row>
    <row r="169">
      <c r="A169" s="4" t="inlineStr">
        <is>
          <t>Coorte del mese 18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>
        <f>$T$112*INDEX($C$94:$AL$94,1,1)</f>
        <v/>
      </c>
      <c r="U169" s="24">
        <f>$T$112*INDEX($C$94:$AL$94,1,2)</f>
        <v/>
      </c>
      <c r="V169" s="24">
        <f>$T$112*INDEX($C$94:$AL$94,1,3)</f>
        <v/>
      </c>
      <c r="W169" s="24">
        <f>$T$112*INDEX($C$94:$AL$94,1,4)</f>
        <v/>
      </c>
      <c r="X169" s="24">
        <f>$T$112*INDEX($C$94:$AL$94,1,5)</f>
        <v/>
      </c>
      <c r="Y169" s="24">
        <f>$T$112*INDEX($C$94:$AL$94,1,6)</f>
        <v/>
      </c>
      <c r="Z169" s="24">
        <f>$T$112*INDEX($C$94:$AL$94,1,7)</f>
        <v/>
      </c>
      <c r="AA169" s="24">
        <f>$T$112*INDEX($C$94:$AL$94,1,8)</f>
        <v/>
      </c>
      <c r="AB169" s="24">
        <f>$T$112*INDEX($C$94:$AL$94,1,9)</f>
        <v/>
      </c>
      <c r="AC169" s="24">
        <f>$T$112*INDEX($C$94:$AL$94,1,10)</f>
        <v/>
      </c>
      <c r="AD169" s="24">
        <f>$T$112*INDEX($C$94:$AL$94,1,11)</f>
        <v/>
      </c>
      <c r="AE169" s="24">
        <f>$T$112*INDEX($C$94:$AL$94,1,12)</f>
        <v/>
      </c>
      <c r="AF169" s="24">
        <f>$T$112*INDEX($C$94:$AL$94,1,13)</f>
        <v/>
      </c>
    </row>
    <row r="170">
      <c r="A170" s="4" t="inlineStr">
        <is>
          <t>Coorte del mese 19</t>
        </is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>
        <f>$U$112*INDEX($C$94:$AL$94,1,1)</f>
        <v/>
      </c>
      <c r="V170" s="24">
        <f>$U$112*INDEX($C$94:$AL$94,1,2)</f>
        <v/>
      </c>
      <c r="W170" s="24">
        <f>$U$112*INDEX($C$94:$AL$94,1,3)</f>
        <v/>
      </c>
      <c r="X170" s="24">
        <f>$U$112*INDEX($C$94:$AL$94,1,4)</f>
        <v/>
      </c>
      <c r="Y170" s="24">
        <f>$U$112*INDEX($C$94:$AL$94,1,5)</f>
        <v/>
      </c>
      <c r="Z170" s="24">
        <f>$U$112*INDEX($C$94:$AL$94,1,6)</f>
        <v/>
      </c>
      <c r="AA170" s="24">
        <f>$U$112*INDEX($C$94:$AL$94,1,7)</f>
        <v/>
      </c>
      <c r="AB170" s="24">
        <f>$U$112*INDEX($C$94:$AL$94,1,8)</f>
        <v/>
      </c>
      <c r="AC170" s="24">
        <f>$U$112*INDEX($C$94:$AL$94,1,9)</f>
        <v/>
      </c>
      <c r="AD170" s="24">
        <f>$U$112*INDEX($C$94:$AL$94,1,10)</f>
        <v/>
      </c>
      <c r="AE170" s="24">
        <f>$U$112*INDEX($C$94:$AL$94,1,11)</f>
        <v/>
      </c>
      <c r="AF170" s="24">
        <f>$U$112*INDEX($C$94:$AL$94,1,12)</f>
        <v/>
      </c>
    </row>
    <row r="171">
      <c r="A171" s="4" t="inlineStr">
        <is>
          <t>Coorte del mese 20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>
        <f>$V$112*INDEX($C$94:$AL$94,1,1)</f>
        <v/>
      </c>
      <c r="W171" s="24">
        <f>$V$112*INDEX($C$94:$AL$94,1,2)</f>
        <v/>
      </c>
      <c r="X171" s="24">
        <f>$V$112*INDEX($C$94:$AL$94,1,3)</f>
        <v/>
      </c>
      <c r="Y171" s="24">
        <f>$V$112*INDEX($C$94:$AL$94,1,4)</f>
        <v/>
      </c>
      <c r="Z171" s="24">
        <f>$V$112*INDEX($C$94:$AL$94,1,5)</f>
        <v/>
      </c>
      <c r="AA171" s="24">
        <f>$V$112*INDEX($C$94:$AL$94,1,6)</f>
        <v/>
      </c>
      <c r="AB171" s="24">
        <f>$V$112*INDEX($C$94:$AL$94,1,7)</f>
        <v/>
      </c>
      <c r="AC171" s="24">
        <f>$V$112*INDEX($C$94:$AL$94,1,8)</f>
        <v/>
      </c>
      <c r="AD171" s="24">
        <f>$V$112*INDEX($C$94:$AL$94,1,9)</f>
        <v/>
      </c>
      <c r="AE171" s="24">
        <f>$V$112*INDEX($C$94:$AL$94,1,10)</f>
        <v/>
      </c>
      <c r="AF171" s="24">
        <f>$V$112*INDEX($C$94:$AL$94,1,11)</f>
        <v/>
      </c>
    </row>
    <row r="172">
      <c r="A172" s="4" t="inlineStr">
        <is>
          <t>Coorte del mese 21</t>
        </is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>
        <f>$W$112*INDEX($C$94:$AL$94,1,1)</f>
        <v/>
      </c>
      <c r="X172" s="24">
        <f>$W$112*INDEX($C$94:$AL$94,1,2)</f>
        <v/>
      </c>
      <c r="Y172" s="24">
        <f>$W$112*INDEX($C$94:$AL$94,1,3)</f>
        <v/>
      </c>
      <c r="Z172" s="24">
        <f>$W$112*INDEX($C$94:$AL$94,1,4)</f>
        <v/>
      </c>
      <c r="AA172" s="24">
        <f>$W$112*INDEX($C$94:$AL$94,1,5)</f>
        <v/>
      </c>
      <c r="AB172" s="24">
        <f>$W$112*INDEX($C$94:$AL$94,1,6)</f>
        <v/>
      </c>
      <c r="AC172" s="24">
        <f>$W$112*INDEX($C$94:$AL$94,1,7)</f>
        <v/>
      </c>
      <c r="AD172" s="24">
        <f>$W$112*INDEX($C$94:$AL$94,1,8)</f>
        <v/>
      </c>
      <c r="AE172" s="24">
        <f>$W$112*INDEX($C$94:$AL$94,1,9)</f>
        <v/>
      </c>
      <c r="AF172" s="24">
        <f>$W$112*INDEX($C$94:$AL$94,1,10)</f>
        <v/>
      </c>
    </row>
    <row r="173">
      <c r="A173" s="4" t="inlineStr">
        <is>
          <t>Coorte del mese 22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>
        <f>$X$112*INDEX($C$94:$AL$94,1,1)</f>
        <v/>
      </c>
      <c r="Y173" s="24">
        <f>$X$112*INDEX($C$94:$AL$94,1,2)</f>
        <v/>
      </c>
      <c r="Z173" s="24">
        <f>$X$112*INDEX($C$94:$AL$94,1,3)</f>
        <v/>
      </c>
      <c r="AA173" s="24">
        <f>$X$112*INDEX($C$94:$AL$94,1,4)</f>
        <v/>
      </c>
      <c r="AB173" s="24">
        <f>$X$112*INDEX($C$94:$AL$94,1,5)</f>
        <v/>
      </c>
      <c r="AC173" s="24">
        <f>$X$112*INDEX($C$94:$AL$94,1,6)</f>
        <v/>
      </c>
      <c r="AD173" s="24">
        <f>$X$112*INDEX($C$94:$AL$94,1,7)</f>
        <v/>
      </c>
      <c r="AE173" s="24">
        <f>$X$112*INDEX($C$94:$AL$94,1,8)</f>
        <v/>
      </c>
      <c r="AF173" s="24">
        <f>$X$112*INDEX($C$94:$AL$94,1,9)</f>
        <v/>
      </c>
    </row>
    <row r="174">
      <c r="A174" s="4" t="inlineStr">
        <is>
          <t>Coorte del mese 23</t>
        </is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>
        <f>$Y$112*INDEX($C$94:$AL$94,1,1)</f>
        <v/>
      </c>
      <c r="Z174" s="24">
        <f>$Y$112*INDEX($C$94:$AL$94,1,2)</f>
        <v/>
      </c>
      <c r="AA174" s="24">
        <f>$Y$112*INDEX($C$94:$AL$94,1,3)</f>
        <v/>
      </c>
      <c r="AB174" s="24">
        <f>$Y$112*INDEX($C$94:$AL$94,1,4)</f>
        <v/>
      </c>
      <c r="AC174" s="24">
        <f>$Y$112*INDEX($C$94:$AL$94,1,5)</f>
        <v/>
      </c>
      <c r="AD174" s="24">
        <f>$Y$112*INDEX($C$94:$AL$94,1,6)</f>
        <v/>
      </c>
      <c r="AE174" s="24">
        <f>$Y$112*INDEX($C$94:$AL$94,1,7)</f>
        <v/>
      </c>
      <c r="AF174" s="24">
        <f>$Y$112*INDEX($C$94:$AL$94,1,8)</f>
        <v/>
      </c>
    </row>
    <row r="175">
      <c r="A175" s="4" t="inlineStr">
        <is>
          <t>Coorte del mese 24</t>
        </is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>
        <f>$Z$112*INDEX($C$94:$AL$94,1,1)</f>
        <v/>
      </c>
      <c r="AA175" s="24">
        <f>$Z$112*INDEX($C$94:$AL$94,1,2)</f>
        <v/>
      </c>
      <c r="AB175" s="24">
        <f>$Z$112*INDEX($C$94:$AL$94,1,3)</f>
        <v/>
      </c>
      <c r="AC175" s="24">
        <f>$Z$112*INDEX($C$94:$AL$94,1,4)</f>
        <v/>
      </c>
      <c r="AD175" s="24">
        <f>$Z$112*INDEX($C$94:$AL$94,1,5)</f>
        <v/>
      </c>
      <c r="AE175" s="24">
        <f>$Z$112*INDEX($C$94:$AL$94,1,6)</f>
        <v/>
      </c>
      <c r="AF175" s="24">
        <f>$Z$112*INDEX($C$94:$AL$94,1,7)</f>
        <v/>
      </c>
    </row>
    <row r="176">
      <c r="A176" s="4" t="inlineStr">
        <is>
          <t>Coorte del mese 25</t>
        </is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24">
        <f>$AA$112*INDEX($C$94:$AL$94,1,1)</f>
        <v/>
      </c>
      <c r="AB176" s="24">
        <f>$AA$112*INDEX($C$94:$AL$94,1,2)</f>
        <v/>
      </c>
      <c r="AC176" s="24">
        <f>$AA$112*INDEX($C$94:$AL$94,1,3)</f>
        <v/>
      </c>
      <c r="AD176" s="24">
        <f>$AA$112*INDEX($C$94:$AL$94,1,4)</f>
        <v/>
      </c>
      <c r="AE176" s="24">
        <f>$AA$112*INDEX($C$94:$AL$94,1,5)</f>
        <v/>
      </c>
      <c r="AF176" s="24">
        <f>$AA$112*INDEX($C$94:$AL$94,1,6)</f>
        <v/>
      </c>
    </row>
    <row r="177">
      <c r="A177" s="4" t="inlineStr">
        <is>
          <t>Coorte del mese 26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>
        <f>$AB$112*INDEX($C$94:$AL$94,1,1)</f>
        <v/>
      </c>
      <c r="AC177" s="24">
        <f>$AB$112*INDEX($C$94:$AL$94,1,2)</f>
        <v/>
      </c>
      <c r="AD177" s="24">
        <f>$AB$112*INDEX($C$94:$AL$94,1,3)</f>
        <v/>
      </c>
      <c r="AE177" s="24">
        <f>$AB$112*INDEX($C$94:$AL$94,1,4)</f>
        <v/>
      </c>
      <c r="AF177" s="24">
        <f>$AB$112*INDEX($C$94:$AL$94,1,5)</f>
        <v/>
      </c>
    </row>
    <row r="178">
      <c r="A178" s="4" t="inlineStr">
        <is>
          <t>Coorte del mese 27</t>
        </is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>
        <f>$AC$112*INDEX($C$94:$AL$94,1,1)</f>
        <v/>
      </c>
      <c r="AD178" s="24">
        <f>$AC$112*INDEX($C$94:$AL$94,1,2)</f>
        <v/>
      </c>
      <c r="AE178" s="24">
        <f>$AC$112*INDEX($C$94:$AL$94,1,3)</f>
        <v/>
      </c>
      <c r="AF178" s="24">
        <f>$AC$112*INDEX($C$94:$AL$94,1,4)</f>
        <v/>
      </c>
    </row>
    <row r="179">
      <c r="A179" s="4" t="inlineStr">
        <is>
          <t>Coorte del mese 28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>
        <f>$AD$112*INDEX($C$94:$AL$94,1,1)</f>
        <v/>
      </c>
      <c r="AE179" s="24">
        <f>$AD$112*INDEX($C$94:$AL$94,1,2)</f>
        <v/>
      </c>
      <c r="AF179" s="24">
        <f>$AD$112*INDEX($C$94:$AL$94,1,3)</f>
        <v/>
      </c>
    </row>
    <row r="180">
      <c r="A180" s="4" t="inlineStr">
        <is>
          <t>Coorte del mese 29</t>
        </is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24" t="n">
        <v>0</v>
      </c>
      <c r="AB180" s="24" t="n">
        <v>0</v>
      </c>
      <c r="AC180" s="24" t="n">
        <v>0</v>
      </c>
      <c r="AD180" s="24" t="n">
        <v>0</v>
      </c>
      <c r="AE180" s="24">
        <f>$AE$112*INDEX($C$94:$AL$94,1,1)</f>
        <v/>
      </c>
      <c r="AF180" s="24">
        <f>$AE$112*INDEX($C$94:$AL$94,1,2)</f>
        <v/>
      </c>
    </row>
    <row r="181">
      <c r="A181" s="4" t="inlineStr">
        <is>
          <t>Coorte del mese 30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4" t="n">
        <v>0</v>
      </c>
      <c r="AD181" s="24" t="n">
        <v>0</v>
      </c>
      <c r="AE181" s="24" t="n">
        <v>0</v>
      </c>
      <c r="AF181" s="24">
        <f>$AF$112*INDEX($C$94:$AL$94,1,1)</f>
        <v/>
      </c>
    </row>
    <row r="182">
      <c r="A182" s="3" t="inlineStr">
        <is>
          <t>Totale percorso 6: rimborsi</t>
        </is>
      </c>
      <c r="C182" s="25">
        <f>SUM(C152:C181)</f>
        <v/>
      </c>
      <c r="D182" s="25">
        <f>SUM(D152:D181)</f>
        <v/>
      </c>
      <c r="E182" s="25">
        <f>SUM(E152:E181)</f>
        <v/>
      </c>
      <c r="F182" s="25">
        <f>SUM(F152:F181)</f>
        <v/>
      </c>
      <c r="G182" s="25">
        <f>SUM(G152:G181)</f>
        <v/>
      </c>
      <c r="H182" s="25">
        <f>SUM(H152:H181)</f>
        <v/>
      </c>
      <c r="I182" s="25">
        <f>SUM(I152:I181)</f>
        <v/>
      </c>
      <c r="J182" s="25">
        <f>SUM(J152:J181)</f>
        <v/>
      </c>
      <c r="K182" s="25">
        <f>SUM(K152:K181)</f>
        <v/>
      </c>
      <c r="L182" s="25">
        <f>SUM(L152:L181)</f>
        <v/>
      </c>
      <c r="M182" s="25">
        <f>SUM(M152:M181)</f>
        <v/>
      </c>
      <c r="N182" s="25">
        <f>SUM(N152:N181)</f>
        <v/>
      </c>
      <c r="O182" s="25">
        <f>SUM(O152:O181)</f>
        <v/>
      </c>
      <c r="P182" s="25">
        <f>SUM(P152:P181)</f>
        <v/>
      </c>
      <c r="Q182" s="25">
        <f>SUM(Q152:Q181)</f>
        <v/>
      </c>
      <c r="R182" s="25">
        <f>SUM(R152:R181)</f>
        <v/>
      </c>
      <c r="S182" s="25">
        <f>SUM(S152:S181)</f>
        <v/>
      </c>
      <c r="T182" s="25">
        <f>SUM(T152:T181)</f>
        <v/>
      </c>
      <c r="U182" s="25">
        <f>SUM(U152:U181)</f>
        <v/>
      </c>
      <c r="V182" s="25">
        <f>SUM(V152:V181)</f>
        <v/>
      </c>
      <c r="W182" s="25">
        <f>SUM(W152:W181)</f>
        <v/>
      </c>
      <c r="X182" s="25">
        <f>SUM(X152:X181)</f>
        <v/>
      </c>
      <c r="Y182" s="25">
        <f>SUM(Y152:Y181)</f>
        <v/>
      </c>
      <c r="Z182" s="25">
        <f>SUM(Z152:Z181)</f>
        <v/>
      </c>
      <c r="AA182" s="25">
        <f>SUM(AA152:AA181)</f>
        <v/>
      </c>
      <c r="AB182" s="25">
        <f>SUM(AB152:AB181)</f>
        <v/>
      </c>
      <c r="AC182" s="25">
        <f>SUM(AC152:AC181)</f>
        <v/>
      </c>
      <c r="AD182" s="25">
        <f>SUM(AD152:AD181)</f>
        <v/>
      </c>
      <c r="AE182" s="25">
        <f>SUM(AE152:AE181)</f>
        <v/>
      </c>
      <c r="AF182" s="25">
        <f>SUM(AF152:AF181)</f>
        <v/>
      </c>
    </row>
    <row r="184">
      <c r="A184" s="10" t="inlineStr">
        <is>
          <t>Percorso 3: ordini per coorte (righe = mese di acquisizione, colonne = mese di calendario)</t>
        </is>
      </c>
    </row>
    <row r="185">
      <c r="A185" s="4" t="inlineStr">
        <is>
          <t>Coorte del mese 1</t>
        </is>
      </c>
      <c r="C185" s="24">
        <f>$C$113*INDEX($C$95:$AL$95,1,1)</f>
        <v/>
      </c>
      <c r="D185" s="24">
        <f>$C$113*INDEX($C$95:$AL$95,1,2)</f>
        <v/>
      </c>
      <c r="E185" s="24">
        <f>$C$113*INDEX($C$95:$AL$95,1,3)</f>
        <v/>
      </c>
      <c r="F185" s="24">
        <f>$C$113*INDEX($C$95:$AL$95,1,4)</f>
        <v/>
      </c>
      <c r="G185" s="24">
        <f>$C$113*INDEX($C$95:$AL$95,1,5)</f>
        <v/>
      </c>
      <c r="H185" s="24">
        <f>$C$113*INDEX($C$95:$AL$95,1,6)</f>
        <v/>
      </c>
      <c r="I185" s="24">
        <f>$C$113*INDEX($C$95:$AL$95,1,7)</f>
        <v/>
      </c>
      <c r="J185" s="24">
        <f>$C$113*INDEX($C$95:$AL$95,1,8)</f>
        <v/>
      </c>
      <c r="K185" s="24">
        <f>$C$113*INDEX($C$95:$AL$95,1,9)</f>
        <v/>
      </c>
      <c r="L185" s="24">
        <f>$C$113*INDEX($C$95:$AL$95,1,10)</f>
        <v/>
      </c>
      <c r="M185" s="24">
        <f>$C$113*INDEX($C$95:$AL$95,1,11)</f>
        <v/>
      </c>
      <c r="N185" s="24">
        <f>$C$113*INDEX($C$95:$AL$95,1,12)</f>
        <v/>
      </c>
      <c r="O185" s="24">
        <f>$C$113*INDEX($C$95:$AL$95,1,13)</f>
        <v/>
      </c>
      <c r="P185" s="24">
        <f>$C$113*INDEX($C$95:$AL$95,1,14)</f>
        <v/>
      </c>
      <c r="Q185" s="24">
        <f>$C$113*INDEX($C$95:$AL$95,1,15)</f>
        <v/>
      </c>
      <c r="R185" s="24">
        <f>$C$113*INDEX($C$95:$AL$95,1,16)</f>
        <v/>
      </c>
      <c r="S185" s="24">
        <f>$C$113*INDEX($C$95:$AL$95,1,17)</f>
        <v/>
      </c>
      <c r="T185" s="24">
        <f>$C$113*INDEX($C$95:$AL$95,1,18)</f>
        <v/>
      </c>
      <c r="U185" s="24">
        <f>$C$113*INDEX($C$95:$AL$95,1,19)</f>
        <v/>
      </c>
      <c r="V185" s="24">
        <f>$C$113*INDEX($C$95:$AL$95,1,20)</f>
        <v/>
      </c>
      <c r="W185" s="24">
        <f>$C$113*INDEX($C$95:$AL$95,1,21)</f>
        <v/>
      </c>
      <c r="X185" s="24">
        <f>$C$113*INDEX($C$95:$AL$95,1,22)</f>
        <v/>
      </c>
      <c r="Y185" s="24">
        <f>$C$113*INDEX($C$95:$AL$95,1,23)</f>
        <v/>
      </c>
      <c r="Z185" s="24">
        <f>$C$113*INDEX($C$95:$AL$95,1,24)</f>
        <v/>
      </c>
      <c r="AA185" s="24">
        <f>$C$113*INDEX($C$95:$AL$95,1,25)</f>
        <v/>
      </c>
      <c r="AB185" s="24">
        <f>$C$113*INDEX($C$95:$AL$95,1,26)</f>
        <v/>
      </c>
      <c r="AC185" s="24">
        <f>$C$113*INDEX($C$95:$AL$95,1,27)</f>
        <v/>
      </c>
      <c r="AD185" s="24">
        <f>$C$113*INDEX($C$95:$AL$95,1,28)</f>
        <v/>
      </c>
      <c r="AE185" s="24">
        <f>$C$113*INDEX($C$95:$AL$95,1,29)</f>
        <v/>
      </c>
      <c r="AF185" s="24">
        <f>$C$113*INDEX($C$95:$AL$95,1,30)</f>
        <v/>
      </c>
    </row>
    <row r="186">
      <c r="A186" s="4" t="inlineStr">
        <is>
          <t>Coorte del mese 2</t>
        </is>
      </c>
      <c r="C186" s="24" t="n">
        <v>0</v>
      </c>
      <c r="D186" s="24">
        <f>$D$113*INDEX($C$95:$AL$95,1,1)</f>
        <v/>
      </c>
      <c r="E186" s="24">
        <f>$D$113*INDEX($C$95:$AL$95,1,2)</f>
        <v/>
      </c>
      <c r="F186" s="24">
        <f>$D$113*INDEX($C$95:$AL$95,1,3)</f>
        <v/>
      </c>
      <c r="G186" s="24">
        <f>$D$113*INDEX($C$95:$AL$95,1,4)</f>
        <v/>
      </c>
      <c r="H186" s="24">
        <f>$D$113*INDEX($C$95:$AL$95,1,5)</f>
        <v/>
      </c>
      <c r="I186" s="24">
        <f>$D$113*INDEX($C$95:$AL$95,1,6)</f>
        <v/>
      </c>
      <c r="J186" s="24">
        <f>$D$113*INDEX($C$95:$AL$95,1,7)</f>
        <v/>
      </c>
      <c r="K186" s="24">
        <f>$D$113*INDEX($C$95:$AL$95,1,8)</f>
        <v/>
      </c>
      <c r="L186" s="24">
        <f>$D$113*INDEX($C$95:$AL$95,1,9)</f>
        <v/>
      </c>
      <c r="M186" s="24">
        <f>$D$113*INDEX($C$95:$AL$95,1,10)</f>
        <v/>
      </c>
      <c r="N186" s="24">
        <f>$D$113*INDEX($C$95:$AL$95,1,11)</f>
        <v/>
      </c>
      <c r="O186" s="24">
        <f>$D$113*INDEX($C$95:$AL$95,1,12)</f>
        <v/>
      </c>
      <c r="P186" s="24">
        <f>$D$113*INDEX($C$95:$AL$95,1,13)</f>
        <v/>
      </c>
      <c r="Q186" s="24">
        <f>$D$113*INDEX($C$95:$AL$95,1,14)</f>
        <v/>
      </c>
      <c r="R186" s="24">
        <f>$D$113*INDEX($C$95:$AL$95,1,15)</f>
        <v/>
      </c>
      <c r="S186" s="24">
        <f>$D$113*INDEX($C$95:$AL$95,1,16)</f>
        <v/>
      </c>
      <c r="T186" s="24">
        <f>$D$113*INDEX($C$95:$AL$95,1,17)</f>
        <v/>
      </c>
      <c r="U186" s="24">
        <f>$D$113*INDEX($C$95:$AL$95,1,18)</f>
        <v/>
      </c>
      <c r="V186" s="24">
        <f>$D$113*INDEX($C$95:$AL$95,1,19)</f>
        <v/>
      </c>
      <c r="W186" s="24">
        <f>$D$113*INDEX($C$95:$AL$95,1,20)</f>
        <v/>
      </c>
      <c r="X186" s="24">
        <f>$D$113*INDEX($C$95:$AL$95,1,21)</f>
        <v/>
      </c>
      <c r="Y186" s="24">
        <f>$D$113*INDEX($C$95:$AL$95,1,22)</f>
        <v/>
      </c>
      <c r="Z186" s="24">
        <f>$D$113*INDEX($C$95:$AL$95,1,23)</f>
        <v/>
      </c>
      <c r="AA186" s="24">
        <f>$D$113*INDEX($C$95:$AL$95,1,24)</f>
        <v/>
      </c>
      <c r="AB186" s="24">
        <f>$D$113*INDEX($C$95:$AL$95,1,25)</f>
        <v/>
      </c>
      <c r="AC186" s="24">
        <f>$D$113*INDEX($C$95:$AL$95,1,26)</f>
        <v/>
      </c>
      <c r="AD186" s="24">
        <f>$D$113*INDEX($C$95:$AL$95,1,27)</f>
        <v/>
      </c>
      <c r="AE186" s="24">
        <f>$D$113*INDEX($C$95:$AL$95,1,28)</f>
        <v/>
      </c>
      <c r="AF186" s="24">
        <f>$D$113*INDEX($C$95:$AL$95,1,29)</f>
        <v/>
      </c>
    </row>
    <row r="187">
      <c r="A187" s="4" t="inlineStr">
        <is>
          <t>Coorte del mese 3</t>
        </is>
      </c>
      <c r="C187" s="24" t="n">
        <v>0</v>
      </c>
      <c r="D187" s="24" t="n">
        <v>0</v>
      </c>
      <c r="E187" s="24">
        <f>$E$113*INDEX($C$95:$AL$95,1,1)</f>
        <v/>
      </c>
      <c r="F187" s="24">
        <f>$E$113*INDEX($C$95:$AL$95,1,2)</f>
        <v/>
      </c>
      <c r="G187" s="24">
        <f>$E$113*INDEX($C$95:$AL$95,1,3)</f>
        <v/>
      </c>
      <c r="H187" s="24">
        <f>$E$113*INDEX($C$95:$AL$95,1,4)</f>
        <v/>
      </c>
      <c r="I187" s="24">
        <f>$E$113*INDEX($C$95:$AL$95,1,5)</f>
        <v/>
      </c>
      <c r="J187" s="24">
        <f>$E$113*INDEX($C$95:$AL$95,1,6)</f>
        <v/>
      </c>
      <c r="K187" s="24">
        <f>$E$113*INDEX($C$95:$AL$95,1,7)</f>
        <v/>
      </c>
      <c r="L187" s="24">
        <f>$E$113*INDEX($C$95:$AL$95,1,8)</f>
        <v/>
      </c>
      <c r="M187" s="24">
        <f>$E$113*INDEX($C$95:$AL$95,1,9)</f>
        <v/>
      </c>
      <c r="N187" s="24">
        <f>$E$113*INDEX($C$95:$AL$95,1,10)</f>
        <v/>
      </c>
      <c r="O187" s="24">
        <f>$E$113*INDEX($C$95:$AL$95,1,11)</f>
        <v/>
      </c>
      <c r="P187" s="24">
        <f>$E$113*INDEX($C$95:$AL$95,1,12)</f>
        <v/>
      </c>
      <c r="Q187" s="24">
        <f>$E$113*INDEX($C$95:$AL$95,1,13)</f>
        <v/>
      </c>
      <c r="R187" s="24">
        <f>$E$113*INDEX($C$95:$AL$95,1,14)</f>
        <v/>
      </c>
      <c r="S187" s="24">
        <f>$E$113*INDEX($C$95:$AL$95,1,15)</f>
        <v/>
      </c>
      <c r="T187" s="24">
        <f>$E$113*INDEX($C$95:$AL$95,1,16)</f>
        <v/>
      </c>
      <c r="U187" s="24">
        <f>$E$113*INDEX($C$95:$AL$95,1,17)</f>
        <v/>
      </c>
      <c r="V187" s="24">
        <f>$E$113*INDEX($C$95:$AL$95,1,18)</f>
        <v/>
      </c>
      <c r="W187" s="24">
        <f>$E$113*INDEX($C$95:$AL$95,1,19)</f>
        <v/>
      </c>
      <c r="X187" s="24">
        <f>$E$113*INDEX($C$95:$AL$95,1,20)</f>
        <v/>
      </c>
      <c r="Y187" s="24">
        <f>$E$113*INDEX($C$95:$AL$95,1,21)</f>
        <v/>
      </c>
      <c r="Z187" s="24">
        <f>$E$113*INDEX($C$95:$AL$95,1,22)</f>
        <v/>
      </c>
      <c r="AA187" s="24">
        <f>$E$113*INDEX($C$95:$AL$95,1,23)</f>
        <v/>
      </c>
      <c r="AB187" s="24">
        <f>$E$113*INDEX($C$95:$AL$95,1,24)</f>
        <v/>
      </c>
      <c r="AC187" s="24">
        <f>$E$113*INDEX($C$95:$AL$95,1,25)</f>
        <v/>
      </c>
      <c r="AD187" s="24">
        <f>$E$113*INDEX($C$95:$AL$95,1,26)</f>
        <v/>
      </c>
      <c r="AE187" s="24">
        <f>$E$113*INDEX($C$95:$AL$95,1,27)</f>
        <v/>
      </c>
      <c r="AF187" s="24">
        <f>$E$113*INDEX($C$95:$AL$95,1,28)</f>
        <v/>
      </c>
    </row>
    <row r="188">
      <c r="A188" s="4" t="inlineStr">
        <is>
          <t>Coorte del mese 4</t>
        </is>
      </c>
      <c r="C188" s="24" t="n">
        <v>0</v>
      </c>
      <c r="D188" s="24" t="n">
        <v>0</v>
      </c>
      <c r="E188" s="24" t="n">
        <v>0</v>
      </c>
      <c r="F188" s="24">
        <f>$F$113*INDEX($C$95:$AL$95,1,1)</f>
        <v/>
      </c>
      <c r="G188" s="24">
        <f>$F$113*INDEX($C$95:$AL$95,1,2)</f>
        <v/>
      </c>
      <c r="H188" s="24">
        <f>$F$113*INDEX($C$95:$AL$95,1,3)</f>
        <v/>
      </c>
      <c r="I188" s="24">
        <f>$F$113*INDEX($C$95:$AL$95,1,4)</f>
        <v/>
      </c>
      <c r="J188" s="24">
        <f>$F$113*INDEX($C$95:$AL$95,1,5)</f>
        <v/>
      </c>
      <c r="K188" s="24">
        <f>$F$113*INDEX($C$95:$AL$95,1,6)</f>
        <v/>
      </c>
      <c r="L188" s="24">
        <f>$F$113*INDEX($C$95:$AL$95,1,7)</f>
        <v/>
      </c>
      <c r="M188" s="24">
        <f>$F$113*INDEX($C$95:$AL$95,1,8)</f>
        <v/>
      </c>
      <c r="N188" s="24">
        <f>$F$113*INDEX($C$95:$AL$95,1,9)</f>
        <v/>
      </c>
      <c r="O188" s="24">
        <f>$F$113*INDEX($C$95:$AL$95,1,10)</f>
        <v/>
      </c>
      <c r="P188" s="24">
        <f>$F$113*INDEX($C$95:$AL$95,1,11)</f>
        <v/>
      </c>
      <c r="Q188" s="24">
        <f>$F$113*INDEX($C$95:$AL$95,1,12)</f>
        <v/>
      </c>
      <c r="R188" s="24">
        <f>$F$113*INDEX($C$95:$AL$95,1,13)</f>
        <v/>
      </c>
      <c r="S188" s="24">
        <f>$F$113*INDEX($C$95:$AL$95,1,14)</f>
        <v/>
      </c>
      <c r="T188" s="24">
        <f>$F$113*INDEX($C$95:$AL$95,1,15)</f>
        <v/>
      </c>
      <c r="U188" s="24">
        <f>$F$113*INDEX($C$95:$AL$95,1,16)</f>
        <v/>
      </c>
      <c r="V188" s="24">
        <f>$F$113*INDEX($C$95:$AL$95,1,17)</f>
        <v/>
      </c>
      <c r="W188" s="24">
        <f>$F$113*INDEX($C$95:$AL$95,1,18)</f>
        <v/>
      </c>
      <c r="X188" s="24">
        <f>$F$113*INDEX($C$95:$AL$95,1,19)</f>
        <v/>
      </c>
      <c r="Y188" s="24">
        <f>$F$113*INDEX($C$95:$AL$95,1,20)</f>
        <v/>
      </c>
      <c r="Z188" s="24">
        <f>$F$113*INDEX($C$95:$AL$95,1,21)</f>
        <v/>
      </c>
      <c r="AA188" s="24">
        <f>$F$113*INDEX($C$95:$AL$95,1,22)</f>
        <v/>
      </c>
      <c r="AB188" s="24">
        <f>$F$113*INDEX($C$95:$AL$95,1,23)</f>
        <v/>
      </c>
      <c r="AC188" s="24">
        <f>$F$113*INDEX($C$95:$AL$95,1,24)</f>
        <v/>
      </c>
      <c r="AD188" s="24">
        <f>$F$113*INDEX($C$95:$AL$95,1,25)</f>
        <v/>
      </c>
      <c r="AE188" s="24">
        <f>$F$113*INDEX($C$95:$AL$95,1,26)</f>
        <v/>
      </c>
      <c r="AF188" s="24">
        <f>$F$113*INDEX($C$95:$AL$95,1,27)</f>
        <v/>
      </c>
    </row>
    <row r="189">
      <c r="A189" s="4" t="inlineStr">
        <is>
          <t>Coorte del mese 5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>
        <f>$G$113*INDEX($C$95:$AL$95,1,1)</f>
        <v/>
      </c>
      <c r="H189" s="24">
        <f>$G$113*INDEX($C$95:$AL$95,1,2)</f>
        <v/>
      </c>
      <c r="I189" s="24">
        <f>$G$113*INDEX($C$95:$AL$95,1,3)</f>
        <v/>
      </c>
      <c r="J189" s="24">
        <f>$G$113*INDEX($C$95:$AL$95,1,4)</f>
        <v/>
      </c>
      <c r="K189" s="24">
        <f>$G$113*INDEX($C$95:$AL$95,1,5)</f>
        <v/>
      </c>
      <c r="L189" s="24">
        <f>$G$113*INDEX($C$95:$AL$95,1,6)</f>
        <v/>
      </c>
      <c r="M189" s="24">
        <f>$G$113*INDEX($C$95:$AL$95,1,7)</f>
        <v/>
      </c>
      <c r="N189" s="24">
        <f>$G$113*INDEX($C$95:$AL$95,1,8)</f>
        <v/>
      </c>
      <c r="O189" s="24">
        <f>$G$113*INDEX($C$95:$AL$95,1,9)</f>
        <v/>
      </c>
      <c r="P189" s="24">
        <f>$G$113*INDEX($C$95:$AL$95,1,10)</f>
        <v/>
      </c>
      <c r="Q189" s="24">
        <f>$G$113*INDEX($C$95:$AL$95,1,11)</f>
        <v/>
      </c>
      <c r="R189" s="24">
        <f>$G$113*INDEX($C$95:$AL$95,1,12)</f>
        <v/>
      </c>
      <c r="S189" s="24">
        <f>$G$113*INDEX($C$95:$AL$95,1,13)</f>
        <v/>
      </c>
      <c r="T189" s="24">
        <f>$G$113*INDEX($C$95:$AL$95,1,14)</f>
        <v/>
      </c>
      <c r="U189" s="24">
        <f>$G$113*INDEX($C$95:$AL$95,1,15)</f>
        <v/>
      </c>
      <c r="V189" s="24">
        <f>$G$113*INDEX($C$95:$AL$95,1,16)</f>
        <v/>
      </c>
      <c r="W189" s="24">
        <f>$G$113*INDEX($C$95:$AL$95,1,17)</f>
        <v/>
      </c>
      <c r="X189" s="24">
        <f>$G$113*INDEX($C$95:$AL$95,1,18)</f>
        <v/>
      </c>
      <c r="Y189" s="24">
        <f>$G$113*INDEX($C$95:$AL$95,1,19)</f>
        <v/>
      </c>
      <c r="Z189" s="24">
        <f>$G$113*INDEX($C$95:$AL$95,1,20)</f>
        <v/>
      </c>
      <c r="AA189" s="24">
        <f>$G$113*INDEX($C$95:$AL$95,1,21)</f>
        <v/>
      </c>
      <c r="AB189" s="24">
        <f>$G$113*INDEX($C$95:$AL$95,1,22)</f>
        <v/>
      </c>
      <c r="AC189" s="24">
        <f>$G$113*INDEX($C$95:$AL$95,1,23)</f>
        <v/>
      </c>
      <c r="AD189" s="24">
        <f>$G$113*INDEX($C$95:$AL$95,1,24)</f>
        <v/>
      </c>
      <c r="AE189" s="24">
        <f>$G$113*INDEX($C$95:$AL$95,1,25)</f>
        <v/>
      </c>
      <c r="AF189" s="24">
        <f>$G$113*INDEX($C$95:$AL$95,1,26)</f>
        <v/>
      </c>
    </row>
    <row r="190">
      <c r="A190" s="4" t="inlineStr">
        <is>
          <t>Coorte del mese 6</t>
        </is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>
        <f>$H$113*INDEX($C$95:$AL$95,1,1)</f>
        <v/>
      </c>
      <c r="I190" s="24">
        <f>$H$113*INDEX($C$95:$AL$95,1,2)</f>
        <v/>
      </c>
      <c r="J190" s="24">
        <f>$H$113*INDEX($C$95:$AL$95,1,3)</f>
        <v/>
      </c>
      <c r="K190" s="24">
        <f>$H$113*INDEX($C$95:$AL$95,1,4)</f>
        <v/>
      </c>
      <c r="L190" s="24">
        <f>$H$113*INDEX($C$95:$AL$95,1,5)</f>
        <v/>
      </c>
      <c r="M190" s="24">
        <f>$H$113*INDEX($C$95:$AL$95,1,6)</f>
        <v/>
      </c>
      <c r="N190" s="24">
        <f>$H$113*INDEX($C$95:$AL$95,1,7)</f>
        <v/>
      </c>
      <c r="O190" s="24">
        <f>$H$113*INDEX($C$95:$AL$95,1,8)</f>
        <v/>
      </c>
      <c r="P190" s="24">
        <f>$H$113*INDEX($C$95:$AL$95,1,9)</f>
        <v/>
      </c>
      <c r="Q190" s="24">
        <f>$H$113*INDEX($C$95:$AL$95,1,10)</f>
        <v/>
      </c>
      <c r="R190" s="24">
        <f>$H$113*INDEX($C$95:$AL$95,1,11)</f>
        <v/>
      </c>
      <c r="S190" s="24">
        <f>$H$113*INDEX($C$95:$AL$95,1,12)</f>
        <v/>
      </c>
      <c r="T190" s="24">
        <f>$H$113*INDEX($C$95:$AL$95,1,13)</f>
        <v/>
      </c>
      <c r="U190" s="24">
        <f>$H$113*INDEX($C$95:$AL$95,1,14)</f>
        <v/>
      </c>
      <c r="V190" s="24">
        <f>$H$113*INDEX($C$95:$AL$95,1,15)</f>
        <v/>
      </c>
      <c r="W190" s="24">
        <f>$H$113*INDEX($C$95:$AL$95,1,16)</f>
        <v/>
      </c>
      <c r="X190" s="24">
        <f>$H$113*INDEX($C$95:$AL$95,1,17)</f>
        <v/>
      </c>
      <c r="Y190" s="24">
        <f>$H$113*INDEX($C$95:$AL$95,1,18)</f>
        <v/>
      </c>
      <c r="Z190" s="24">
        <f>$H$113*INDEX($C$95:$AL$95,1,19)</f>
        <v/>
      </c>
      <c r="AA190" s="24">
        <f>$H$113*INDEX($C$95:$AL$95,1,20)</f>
        <v/>
      </c>
      <c r="AB190" s="24">
        <f>$H$113*INDEX($C$95:$AL$95,1,21)</f>
        <v/>
      </c>
      <c r="AC190" s="24">
        <f>$H$113*INDEX($C$95:$AL$95,1,22)</f>
        <v/>
      </c>
      <c r="AD190" s="24">
        <f>$H$113*INDEX($C$95:$AL$95,1,23)</f>
        <v/>
      </c>
      <c r="AE190" s="24">
        <f>$H$113*INDEX($C$95:$AL$95,1,24)</f>
        <v/>
      </c>
      <c r="AF190" s="24">
        <f>$H$113*INDEX($C$95:$AL$95,1,25)</f>
        <v/>
      </c>
    </row>
    <row r="191">
      <c r="A191" s="4" t="inlineStr">
        <is>
          <t>Coorte del mese 7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>
        <f>$I$113*INDEX($C$95:$AL$95,1,1)</f>
        <v/>
      </c>
      <c r="J191" s="24">
        <f>$I$113*INDEX($C$95:$AL$95,1,2)</f>
        <v/>
      </c>
      <c r="K191" s="24">
        <f>$I$113*INDEX($C$95:$AL$95,1,3)</f>
        <v/>
      </c>
      <c r="L191" s="24">
        <f>$I$113*INDEX($C$95:$AL$95,1,4)</f>
        <v/>
      </c>
      <c r="M191" s="24">
        <f>$I$113*INDEX($C$95:$AL$95,1,5)</f>
        <v/>
      </c>
      <c r="N191" s="24">
        <f>$I$113*INDEX($C$95:$AL$95,1,6)</f>
        <v/>
      </c>
      <c r="O191" s="24">
        <f>$I$113*INDEX($C$95:$AL$95,1,7)</f>
        <v/>
      </c>
      <c r="P191" s="24">
        <f>$I$113*INDEX($C$95:$AL$95,1,8)</f>
        <v/>
      </c>
      <c r="Q191" s="24">
        <f>$I$113*INDEX($C$95:$AL$95,1,9)</f>
        <v/>
      </c>
      <c r="R191" s="24">
        <f>$I$113*INDEX($C$95:$AL$95,1,10)</f>
        <v/>
      </c>
      <c r="S191" s="24">
        <f>$I$113*INDEX($C$95:$AL$95,1,11)</f>
        <v/>
      </c>
      <c r="T191" s="24">
        <f>$I$113*INDEX($C$95:$AL$95,1,12)</f>
        <v/>
      </c>
      <c r="U191" s="24">
        <f>$I$113*INDEX($C$95:$AL$95,1,13)</f>
        <v/>
      </c>
      <c r="V191" s="24">
        <f>$I$113*INDEX($C$95:$AL$95,1,14)</f>
        <v/>
      </c>
      <c r="W191" s="24">
        <f>$I$113*INDEX($C$95:$AL$95,1,15)</f>
        <v/>
      </c>
      <c r="X191" s="24">
        <f>$I$113*INDEX($C$95:$AL$95,1,16)</f>
        <v/>
      </c>
      <c r="Y191" s="24">
        <f>$I$113*INDEX($C$95:$AL$95,1,17)</f>
        <v/>
      </c>
      <c r="Z191" s="24">
        <f>$I$113*INDEX($C$95:$AL$95,1,18)</f>
        <v/>
      </c>
      <c r="AA191" s="24">
        <f>$I$113*INDEX($C$95:$AL$95,1,19)</f>
        <v/>
      </c>
      <c r="AB191" s="24">
        <f>$I$113*INDEX($C$95:$AL$95,1,20)</f>
        <v/>
      </c>
      <c r="AC191" s="24">
        <f>$I$113*INDEX($C$95:$AL$95,1,21)</f>
        <v/>
      </c>
      <c r="AD191" s="24">
        <f>$I$113*INDEX($C$95:$AL$95,1,22)</f>
        <v/>
      </c>
      <c r="AE191" s="24">
        <f>$I$113*INDEX($C$95:$AL$95,1,23)</f>
        <v/>
      </c>
      <c r="AF191" s="24">
        <f>$I$113*INDEX($C$95:$AL$95,1,24)</f>
        <v/>
      </c>
    </row>
    <row r="192">
      <c r="A192" s="4" t="inlineStr">
        <is>
          <t>Coorte del mese 8</t>
        </is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>
        <f>$J$113*INDEX($C$95:$AL$95,1,1)</f>
        <v/>
      </c>
      <c r="K192" s="24">
        <f>$J$113*INDEX($C$95:$AL$95,1,2)</f>
        <v/>
      </c>
      <c r="L192" s="24">
        <f>$J$113*INDEX($C$95:$AL$95,1,3)</f>
        <v/>
      </c>
      <c r="M192" s="24">
        <f>$J$113*INDEX($C$95:$AL$95,1,4)</f>
        <v/>
      </c>
      <c r="N192" s="24">
        <f>$J$113*INDEX($C$95:$AL$95,1,5)</f>
        <v/>
      </c>
      <c r="O192" s="24">
        <f>$J$113*INDEX($C$95:$AL$95,1,6)</f>
        <v/>
      </c>
      <c r="P192" s="24">
        <f>$J$113*INDEX($C$95:$AL$95,1,7)</f>
        <v/>
      </c>
      <c r="Q192" s="24">
        <f>$J$113*INDEX($C$95:$AL$95,1,8)</f>
        <v/>
      </c>
      <c r="R192" s="24">
        <f>$J$113*INDEX($C$95:$AL$95,1,9)</f>
        <v/>
      </c>
      <c r="S192" s="24">
        <f>$J$113*INDEX($C$95:$AL$95,1,10)</f>
        <v/>
      </c>
      <c r="T192" s="24">
        <f>$J$113*INDEX($C$95:$AL$95,1,11)</f>
        <v/>
      </c>
      <c r="U192" s="24">
        <f>$J$113*INDEX($C$95:$AL$95,1,12)</f>
        <v/>
      </c>
      <c r="V192" s="24">
        <f>$J$113*INDEX($C$95:$AL$95,1,13)</f>
        <v/>
      </c>
      <c r="W192" s="24">
        <f>$J$113*INDEX($C$95:$AL$95,1,14)</f>
        <v/>
      </c>
      <c r="X192" s="24">
        <f>$J$113*INDEX($C$95:$AL$95,1,15)</f>
        <v/>
      </c>
      <c r="Y192" s="24">
        <f>$J$113*INDEX($C$95:$AL$95,1,16)</f>
        <v/>
      </c>
      <c r="Z192" s="24">
        <f>$J$113*INDEX($C$95:$AL$95,1,17)</f>
        <v/>
      </c>
      <c r="AA192" s="24">
        <f>$J$113*INDEX($C$95:$AL$95,1,18)</f>
        <v/>
      </c>
      <c r="AB192" s="24">
        <f>$J$113*INDEX($C$95:$AL$95,1,19)</f>
        <v/>
      </c>
      <c r="AC192" s="24">
        <f>$J$113*INDEX($C$95:$AL$95,1,20)</f>
        <v/>
      </c>
      <c r="AD192" s="24">
        <f>$J$113*INDEX($C$95:$AL$95,1,21)</f>
        <v/>
      </c>
      <c r="AE192" s="24">
        <f>$J$113*INDEX($C$95:$AL$95,1,22)</f>
        <v/>
      </c>
      <c r="AF192" s="24">
        <f>$J$113*INDEX($C$95:$AL$95,1,23)</f>
        <v/>
      </c>
    </row>
    <row r="193">
      <c r="A193" s="4" t="inlineStr">
        <is>
          <t>Coorte del mese 9</t>
        </is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>
        <f>$K$113*INDEX($C$95:$AL$95,1,1)</f>
        <v/>
      </c>
      <c r="L193" s="24">
        <f>$K$113*INDEX($C$95:$AL$95,1,2)</f>
        <v/>
      </c>
      <c r="M193" s="24">
        <f>$K$113*INDEX($C$95:$AL$95,1,3)</f>
        <v/>
      </c>
      <c r="N193" s="24">
        <f>$K$113*INDEX($C$95:$AL$95,1,4)</f>
        <v/>
      </c>
      <c r="O193" s="24">
        <f>$K$113*INDEX($C$95:$AL$95,1,5)</f>
        <v/>
      </c>
      <c r="P193" s="24">
        <f>$K$113*INDEX($C$95:$AL$95,1,6)</f>
        <v/>
      </c>
      <c r="Q193" s="24">
        <f>$K$113*INDEX($C$95:$AL$95,1,7)</f>
        <v/>
      </c>
      <c r="R193" s="24">
        <f>$K$113*INDEX($C$95:$AL$95,1,8)</f>
        <v/>
      </c>
      <c r="S193" s="24">
        <f>$K$113*INDEX($C$95:$AL$95,1,9)</f>
        <v/>
      </c>
      <c r="T193" s="24">
        <f>$K$113*INDEX($C$95:$AL$95,1,10)</f>
        <v/>
      </c>
      <c r="U193" s="24">
        <f>$K$113*INDEX($C$95:$AL$95,1,11)</f>
        <v/>
      </c>
      <c r="V193" s="24">
        <f>$K$113*INDEX($C$95:$AL$95,1,12)</f>
        <v/>
      </c>
      <c r="W193" s="24">
        <f>$K$113*INDEX($C$95:$AL$95,1,13)</f>
        <v/>
      </c>
      <c r="X193" s="24">
        <f>$K$113*INDEX($C$95:$AL$95,1,14)</f>
        <v/>
      </c>
      <c r="Y193" s="24">
        <f>$K$113*INDEX($C$95:$AL$95,1,15)</f>
        <v/>
      </c>
      <c r="Z193" s="24">
        <f>$K$113*INDEX($C$95:$AL$95,1,16)</f>
        <v/>
      </c>
      <c r="AA193" s="24">
        <f>$K$113*INDEX($C$95:$AL$95,1,17)</f>
        <v/>
      </c>
      <c r="AB193" s="24">
        <f>$K$113*INDEX($C$95:$AL$95,1,18)</f>
        <v/>
      </c>
      <c r="AC193" s="24">
        <f>$K$113*INDEX($C$95:$AL$95,1,19)</f>
        <v/>
      </c>
      <c r="AD193" s="24">
        <f>$K$113*INDEX($C$95:$AL$95,1,20)</f>
        <v/>
      </c>
      <c r="AE193" s="24">
        <f>$K$113*INDEX($C$95:$AL$95,1,21)</f>
        <v/>
      </c>
      <c r="AF193" s="24">
        <f>$K$113*INDEX($C$95:$AL$95,1,22)</f>
        <v/>
      </c>
    </row>
    <row r="194">
      <c r="A194" s="4" t="inlineStr">
        <is>
          <t>Coorte del mese 10</t>
        </is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>
        <f>$L$113*INDEX($C$95:$AL$95,1,1)</f>
        <v/>
      </c>
      <c r="M194" s="24">
        <f>$L$113*INDEX($C$95:$AL$95,1,2)</f>
        <v/>
      </c>
      <c r="N194" s="24">
        <f>$L$113*INDEX($C$95:$AL$95,1,3)</f>
        <v/>
      </c>
      <c r="O194" s="24">
        <f>$L$113*INDEX($C$95:$AL$95,1,4)</f>
        <v/>
      </c>
      <c r="P194" s="24">
        <f>$L$113*INDEX($C$95:$AL$95,1,5)</f>
        <v/>
      </c>
      <c r="Q194" s="24">
        <f>$L$113*INDEX($C$95:$AL$95,1,6)</f>
        <v/>
      </c>
      <c r="R194" s="24">
        <f>$L$113*INDEX($C$95:$AL$95,1,7)</f>
        <v/>
      </c>
      <c r="S194" s="24">
        <f>$L$113*INDEX($C$95:$AL$95,1,8)</f>
        <v/>
      </c>
      <c r="T194" s="24">
        <f>$L$113*INDEX($C$95:$AL$95,1,9)</f>
        <v/>
      </c>
      <c r="U194" s="24">
        <f>$L$113*INDEX($C$95:$AL$95,1,10)</f>
        <v/>
      </c>
      <c r="V194" s="24">
        <f>$L$113*INDEX($C$95:$AL$95,1,11)</f>
        <v/>
      </c>
      <c r="W194" s="24">
        <f>$L$113*INDEX($C$95:$AL$95,1,12)</f>
        <v/>
      </c>
      <c r="X194" s="24">
        <f>$L$113*INDEX($C$95:$AL$95,1,13)</f>
        <v/>
      </c>
      <c r="Y194" s="24">
        <f>$L$113*INDEX($C$95:$AL$95,1,14)</f>
        <v/>
      </c>
      <c r="Z194" s="24">
        <f>$L$113*INDEX($C$95:$AL$95,1,15)</f>
        <v/>
      </c>
      <c r="AA194" s="24">
        <f>$L$113*INDEX($C$95:$AL$95,1,16)</f>
        <v/>
      </c>
      <c r="AB194" s="24">
        <f>$L$113*INDEX($C$95:$AL$95,1,17)</f>
        <v/>
      </c>
      <c r="AC194" s="24">
        <f>$L$113*INDEX($C$95:$AL$95,1,18)</f>
        <v/>
      </c>
      <c r="AD194" s="24">
        <f>$L$113*INDEX($C$95:$AL$95,1,19)</f>
        <v/>
      </c>
      <c r="AE194" s="24">
        <f>$L$113*INDEX($C$95:$AL$95,1,20)</f>
        <v/>
      </c>
      <c r="AF194" s="24">
        <f>$L$113*INDEX($C$95:$AL$95,1,21)</f>
        <v/>
      </c>
    </row>
    <row r="195">
      <c r="A195" s="4" t="inlineStr">
        <is>
          <t>Coorte del mese 11</t>
        </is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>
        <f>$M$113*INDEX($C$95:$AL$95,1,1)</f>
        <v/>
      </c>
      <c r="N195" s="24">
        <f>$M$113*INDEX($C$95:$AL$95,1,2)</f>
        <v/>
      </c>
      <c r="O195" s="24">
        <f>$M$113*INDEX($C$95:$AL$95,1,3)</f>
        <v/>
      </c>
      <c r="P195" s="24">
        <f>$M$113*INDEX($C$95:$AL$95,1,4)</f>
        <v/>
      </c>
      <c r="Q195" s="24">
        <f>$M$113*INDEX($C$95:$AL$95,1,5)</f>
        <v/>
      </c>
      <c r="R195" s="24">
        <f>$M$113*INDEX($C$95:$AL$95,1,6)</f>
        <v/>
      </c>
      <c r="S195" s="24">
        <f>$M$113*INDEX($C$95:$AL$95,1,7)</f>
        <v/>
      </c>
      <c r="T195" s="24">
        <f>$M$113*INDEX($C$95:$AL$95,1,8)</f>
        <v/>
      </c>
      <c r="U195" s="24">
        <f>$M$113*INDEX($C$95:$AL$95,1,9)</f>
        <v/>
      </c>
      <c r="V195" s="24">
        <f>$M$113*INDEX($C$95:$AL$95,1,10)</f>
        <v/>
      </c>
      <c r="W195" s="24">
        <f>$M$113*INDEX($C$95:$AL$95,1,11)</f>
        <v/>
      </c>
      <c r="X195" s="24">
        <f>$M$113*INDEX($C$95:$AL$95,1,12)</f>
        <v/>
      </c>
      <c r="Y195" s="24">
        <f>$M$113*INDEX($C$95:$AL$95,1,13)</f>
        <v/>
      </c>
      <c r="Z195" s="24">
        <f>$M$113*INDEX($C$95:$AL$95,1,14)</f>
        <v/>
      </c>
      <c r="AA195" s="24">
        <f>$M$113*INDEX($C$95:$AL$95,1,15)</f>
        <v/>
      </c>
      <c r="AB195" s="24">
        <f>$M$113*INDEX($C$95:$AL$95,1,16)</f>
        <v/>
      </c>
      <c r="AC195" s="24">
        <f>$M$113*INDEX($C$95:$AL$95,1,17)</f>
        <v/>
      </c>
      <c r="AD195" s="24">
        <f>$M$113*INDEX($C$95:$AL$95,1,18)</f>
        <v/>
      </c>
      <c r="AE195" s="24">
        <f>$M$113*INDEX($C$95:$AL$95,1,19)</f>
        <v/>
      </c>
      <c r="AF195" s="24">
        <f>$M$113*INDEX($C$95:$AL$95,1,20)</f>
        <v/>
      </c>
    </row>
    <row r="196">
      <c r="A196" s="4" t="inlineStr">
        <is>
          <t>Coorte del mese 12</t>
        </is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>
        <f>$N$113*INDEX($C$95:$AL$95,1,1)</f>
        <v/>
      </c>
      <c r="O196" s="24">
        <f>$N$113*INDEX($C$95:$AL$95,1,2)</f>
        <v/>
      </c>
      <c r="P196" s="24">
        <f>$N$113*INDEX($C$95:$AL$95,1,3)</f>
        <v/>
      </c>
      <c r="Q196" s="24">
        <f>$N$113*INDEX($C$95:$AL$95,1,4)</f>
        <v/>
      </c>
      <c r="R196" s="24">
        <f>$N$113*INDEX($C$95:$AL$95,1,5)</f>
        <v/>
      </c>
      <c r="S196" s="24">
        <f>$N$113*INDEX($C$95:$AL$95,1,6)</f>
        <v/>
      </c>
      <c r="T196" s="24">
        <f>$N$113*INDEX($C$95:$AL$95,1,7)</f>
        <v/>
      </c>
      <c r="U196" s="24">
        <f>$N$113*INDEX($C$95:$AL$95,1,8)</f>
        <v/>
      </c>
      <c r="V196" s="24">
        <f>$N$113*INDEX($C$95:$AL$95,1,9)</f>
        <v/>
      </c>
      <c r="W196" s="24">
        <f>$N$113*INDEX($C$95:$AL$95,1,10)</f>
        <v/>
      </c>
      <c r="X196" s="24">
        <f>$N$113*INDEX($C$95:$AL$95,1,11)</f>
        <v/>
      </c>
      <c r="Y196" s="24">
        <f>$N$113*INDEX($C$95:$AL$95,1,12)</f>
        <v/>
      </c>
      <c r="Z196" s="24">
        <f>$N$113*INDEX($C$95:$AL$95,1,13)</f>
        <v/>
      </c>
      <c r="AA196" s="24">
        <f>$N$113*INDEX($C$95:$AL$95,1,14)</f>
        <v/>
      </c>
      <c r="AB196" s="24">
        <f>$N$113*INDEX($C$95:$AL$95,1,15)</f>
        <v/>
      </c>
      <c r="AC196" s="24">
        <f>$N$113*INDEX($C$95:$AL$95,1,16)</f>
        <v/>
      </c>
      <c r="AD196" s="24">
        <f>$N$113*INDEX($C$95:$AL$95,1,17)</f>
        <v/>
      </c>
      <c r="AE196" s="24">
        <f>$N$113*INDEX($C$95:$AL$95,1,18)</f>
        <v/>
      </c>
      <c r="AF196" s="24">
        <f>$N$113*INDEX($C$95:$AL$95,1,19)</f>
        <v/>
      </c>
    </row>
    <row r="197">
      <c r="A197" s="4" t="inlineStr">
        <is>
          <t>Coorte del mese 13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>
        <f>$O$113*INDEX($C$95:$AL$95,1,1)</f>
        <v/>
      </c>
      <c r="P197" s="24">
        <f>$O$113*INDEX($C$95:$AL$95,1,2)</f>
        <v/>
      </c>
      <c r="Q197" s="24">
        <f>$O$113*INDEX($C$95:$AL$95,1,3)</f>
        <v/>
      </c>
      <c r="R197" s="24">
        <f>$O$113*INDEX($C$95:$AL$95,1,4)</f>
        <v/>
      </c>
      <c r="S197" s="24">
        <f>$O$113*INDEX($C$95:$AL$95,1,5)</f>
        <v/>
      </c>
      <c r="T197" s="24">
        <f>$O$113*INDEX($C$95:$AL$95,1,6)</f>
        <v/>
      </c>
      <c r="U197" s="24">
        <f>$O$113*INDEX($C$95:$AL$95,1,7)</f>
        <v/>
      </c>
      <c r="V197" s="24">
        <f>$O$113*INDEX($C$95:$AL$95,1,8)</f>
        <v/>
      </c>
      <c r="W197" s="24">
        <f>$O$113*INDEX($C$95:$AL$95,1,9)</f>
        <v/>
      </c>
      <c r="X197" s="24">
        <f>$O$113*INDEX($C$95:$AL$95,1,10)</f>
        <v/>
      </c>
      <c r="Y197" s="24">
        <f>$O$113*INDEX($C$95:$AL$95,1,11)</f>
        <v/>
      </c>
      <c r="Z197" s="24">
        <f>$O$113*INDEX($C$95:$AL$95,1,12)</f>
        <v/>
      </c>
      <c r="AA197" s="24">
        <f>$O$113*INDEX($C$95:$AL$95,1,13)</f>
        <v/>
      </c>
      <c r="AB197" s="24">
        <f>$O$113*INDEX($C$95:$AL$95,1,14)</f>
        <v/>
      </c>
      <c r="AC197" s="24">
        <f>$O$113*INDEX($C$95:$AL$95,1,15)</f>
        <v/>
      </c>
      <c r="AD197" s="24">
        <f>$O$113*INDEX($C$95:$AL$95,1,16)</f>
        <v/>
      </c>
      <c r="AE197" s="24">
        <f>$O$113*INDEX($C$95:$AL$95,1,17)</f>
        <v/>
      </c>
      <c r="AF197" s="24">
        <f>$O$113*INDEX($C$95:$AL$95,1,18)</f>
        <v/>
      </c>
    </row>
    <row r="198">
      <c r="A198" s="4" t="inlineStr">
        <is>
          <t>Coorte del mese 14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>
        <f>$P$113*INDEX($C$95:$AL$95,1,1)</f>
        <v/>
      </c>
      <c r="Q198" s="24">
        <f>$P$113*INDEX($C$95:$AL$95,1,2)</f>
        <v/>
      </c>
      <c r="R198" s="24">
        <f>$P$113*INDEX($C$95:$AL$95,1,3)</f>
        <v/>
      </c>
      <c r="S198" s="24">
        <f>$P$113*INDEX($C$95:$AL$95,1,4)</f>
        <v/>
      </c>
      <c r="T198" s="24">
        <f>$P$113*INDEX($C$95:$AL$95,1,5)</f>
        <v/>
      </c>
      <c r="U198" s="24">
        <f>$P$113*INDEX($C$95:$AL$95,1,6)</f>
        <v/>
      </c>
      <c r="V198" s="24">
        <f>$P$113*INDEX($C$95:$AL$95,1,7)</f>
        <v/>
      </c>
      <c r="W198" s="24">
        <f>$P$113*INDEX($C$95:$AL$95,1,8)</f>
        <v/>
      </c>
      <c r="X198" s="24">
        <f>$P$113*INDEX($C$95:$AL$95,1,9)</f>
        <v/>
      </c>
      <c r="Y198" s="24">
        <f>$P$113*INDEX($C$95:$AL$95,1,10)</f>
        <v/>
      </c>
      <c r="Z198" s="24">
        <f>$P$113*INDEX($C$95:$AL$95,1,11)</f>
        <v/>
      </c>
      <c r="AA198" s="24">
        <f>$P$113*INDEX($C$95:$AL$95,1,12)</f>
        <v/>
      </c>
      <c r="AB198" s="24">
        <f>$P$113*INDEX($C$95:$AL$95,1,13)</f>
        <v/>
      </c>
      <c r="AC198" s="24">
        <f>$P$113*INDEX($C$95:$AL$95,1,14)</f>
        <v/>
      </c>
      <c r="AD198" s="24">
        <f>$P$113*INDEX($C$95:$AL$95,1,15)</f>
        <v/>
      </c>
      <c r="AE198" s="24">
        <f>$P$113*INDEX($C$95:$AL$95,1,16)</f>
        <v/>
      </c>
      <c r="AF198" s="24">
        <f>$P$113*INDEX($C$95:$AL$95,1,17)</f>
        <v/>
      </c>
    </row>
    <row r="199">
      <c r="A199" s="4" t="inlineStr">
        <is>
          <t>Coorte del mese 15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>
        <f>$Q$113*INDEX($C$95:$AL$95,1,1)</f>
        <v/>
      </c>
      <c r="R199" s="24">
        <f>$Q$113*INDEX($C$95:$AL$95,1,2)</f>
        <v/>
      </c>
      <c r="S199" s="24">
        <f>$Q$113*INDEX($C$95:$AL$95,1,3)</f>
        <v/>
      </c>
      <c r="T199" s="24">
        <f>$Q$113*INDEX($C$95:$AL$95,1,4)</f>
        <v/>
      </c>
      <c r="U199" s="24">
        <f>$Q$113*INDEX($C$95:$AL$95,1,5)</f>
        <v/>
      </c>
      <c r="V199" s="24">
        <f>$Q$113*INDEX($C$95:$AL$95,1,6)</f>
        <v/>
      </c>
      <c r="W199" s="24">
        <f>$Q$113*INDEX($C$95:$AL$95,1,7)</f>
        <v/>
      </c>
      <c r="X199" s="24">
        <f>$Q$113*INDEX($C$95:$AL$95,1,8)</f>
        <v/>
      </c>
      <c r="Y199" s="24">
        <f>$Q$113*INDEX($C$95:$AL$95,1,9)</f>
        <v/>
      </c>
      <c r="Z199" s="24">
        <f>$Q$113*INDEX($C$95:$AL$95,1,10)</f>
        <v/>
      </c>
      <c r="AA199" s="24">
        <f>$Q$113*INDEX($C$95:$AL$95,1,11)</f>
        <v/>
      </c>
      <c r="AB199" s="24">
        <f>$Q$113*INDEX($C$95:$AL$95,1,12)</f>
        <v/>
      </c>
      <c r="AC199" s="24">
        <f>$Q$113*INDEX($C$95:$AL$95,1,13)</f>
        <v/>
      </c>
      <c r="AD199" s="24">
        <f>$Q$113*INDEX($C$95:$AL$95,1,14)</f>
        <v/>
      </c>
      <c r="AE199" s="24">
        <f>$Q$113*INDEX($C$95:$AL$95,1,15)</f>
        <v/>
      </c>
      <c r="AF199" s="24">
        <f>$Q$113*INDEX($C$95:$AL$95,1,16)</f>
        <v/>
      </c>
    </row>
    <row r="200">
      <c r="A200" s="4" t="inlineStr">
        <is>
          <t>Coorte del mese 16</t>
        </is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>
        <f>$R$113*INDEX($C$95:$AL$95,1,1)</f>
        <v/>
      </c>
      <c r="S200" s="24">
        <f>$R$113*INDEX($C$95:$AL$95,1,2)</f>
        <v/>
      </c>
      <c r="T200" s="24">
        <f>$R$113*INDEX($C$95:$AL$95,1,3)</f>
        <v/>
      </c>
      <c r="U200" s="24">
        <f>$R$113*INDEX($C$95:$AL$95,1,4)</f>
        <v/>
      </c>
      <c r="V200" s="24">
        <f>$R$113*INDEX($C$95:$AL$95,1,5)</f>
        <v/>
      </c>
      <c r="W200" s="24">
        <f>$R$113*INDEX($C$95:$AL$95,1,6)</f>
        <v/>
      </c>
      <c r="X200" s="24">
        <f>$R$113*INDEX($C$95:$AL$95,1,7)</f>
        <v/>
      </c>
      <c r="Y200" s="24">
        <f>$R$113*INDEX($C$95:$AL$95,1,8)</f>
        <v/>
      </c>
      <c r="Z200" s="24">
        <f>$R$113*INDEX($C$95:$AL$95,1,9)</f>
        <v/>
      </c>
      <c r="AA200" s="24">
        <f>$R$113*INDEX($C$95:$AL$95,1,10)</f>
        <v/>
      </c>
      <c r="AB200" s="24">
        <f>$R$113*INDEX($C$95:$AL$95,1,11)</f>
        <v/>
      </c>
      <c r="AC200" s="24">
        <f>$R$113*INDEX($C$95:$AL$95,1,12)</f>
        <v/>
      </c>
      <c r="AD200" s="24">
        <f>$R$113*INDEX($C$95:$AL$95,1,13)</f>
        <v/>
      </c>
      <c r="AE200" s="24">
        <f>$R$113*INDEX($C$95:$AL$95,1,14)</f>
        <v/>
      </c>
      <c r="AF200" s="24">
        <f>$R$113*INDEX($C$95:$AL$95,1,15)</f>
        <v/>
      </c>
    </row>
    <row r="201">
      <c r="A201" s="4" t="inlineStr">
        <is>
          <t>Coorte del mese 17</t>
        </is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>
        <f>$S$113*INDEX($C$95:$AL$95,1,1)</f>
        <v/>
      </c>
      <c r="T201" s="24">
        <f>$S$113*INDEX($C$95:$AL$95,1,2)</f>
        <v/>
      </c>
      <c r="U201" s="24">
        <f>$S$113*INDEX($C$95:$AL$95,1,3)</f>
        <v/>
      </c>
      <c r="V201" s="24">
        <f>$S$113*INDEX($C$95:$AL$95,1,4)</f>
        <v/>
      </c>
      <c r="W201" s="24">
        <f>$S$113*INDEX($C$95:$AL$95,1,5)</f>
        <v/>
      </c>
      <c r="X201" s="24">
        <f>$S$113*INDEX($C$95:$AL$95,1,6)</f>
        <v/>
      </c>
      <c r="Y201" s="24">
        <f>$S$113*INDEX($C$95:$AL$95,1,7)</f>
        <v/>
      </c>
      <c r="Z201" s="24">
        <f>$S$113*INDEX($C$95:$AL$95,1,8)</f>
        <v/>
      </c>
      <c r="AA201" s="24">
        <f>$S$113*INDEX($C$95:$AL$95,1,9)</f>
        <v/>
      </c>
      <c r="AB201" s="24">
        <f>$S$113*INDEX($C$95:$AL$95,1,10)</f>
        <v/>
      </c>
      <c r="AC201" s="24">
        <f>$S$113*INDEX($C$95:$AL$95,1,11)</f>
        <v/>
      </c>
      <c r="AD201" s="24">
        <f>$S$113*INDEX($C$95:$AL$95,1,12)</f>
        <v/>
      </c>
      <c r="AE201" s="24">
        <f>$S$113*INDEX($C$95:$AL$95,1,13)</f>
        <v/>
      </c>
      <c r="AF201" s="24">
        <f>$S$113*INDEX($C$95:$AL$95,1,14)</f>
        <v/>
      </c>
    </row>
    <row r="202">
      <c r="A202" s="4" t="inlineStr">
        <is>
          <t>Coorte del mese 18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>
        <f>$T$113*INDEX($C$95:$AL$95,1,1)</f>
        <v/>
      </c>
      <c r="U202" s="24">
        <f>$T$113*INDEX($C$95:$AL$95,1,2)</f>
        <v/>
      </c>
      <c r="V202" s="24">
        <f>$T$113*INDEX($C$95:$AL$95,1,3)</f>
        <v/>
      </c>
      <c r="W202" s="24">
        <f>$T$113*INDEX($C$95:$AL$95,1,4)</f>
        <v/>
      </c>
      <c r="X202" s="24">
        <f>$T$113*INDEX($C$95:$AL$95,1,5)</f>
        <v/>
      </c>
      <c r="Y202" s="24">
        <f>$T$113*INDEX($C$95:$AL$95,1,6)</f>
        <v/>
      </c>
      <c r="Z202" s="24">
        <f>$T$113*INDEX($C$95:$AL$95,1,7)</f>
        <v/>
      </c>
      <c r="AA202" s="24">
        <f>$T$113*INDEX($C$95:$AL$95,1,8)</f>
        <v/>
      </c>
      <c r="AB202" s="24">
        <f>$T$113*INDEX($C$95:$AL$95,1,9)</f>
        <v/>
      </c>
      <c r="AC202" s="24">
        <f>$T$113*INDEX($C$95:$AL$95,1,10)</f>
        <v/>
      </c>
      <c r="AD202" s="24">
        <f>$T$113*INDEX($C$95:$AL$95,1,11)</f>
        <v/>
      </c>
      <c r="AE202" s="24">
        <f>$T$113*INDEX($C$95:$AL$95,1,12)</f>
        <v/>
      </c>
      <c r="AF202" s="24">
        <f>$T$113*INDEX($C$95:$AL$95,1,13)</f>
        <v/>
      </c>
    </row>
    <row r="203">
      <c r="A203" s="4" t="inlineStr">
        <is>
          <t>Coorte del mese 19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>
        <f>$U$113*INDEX($C$95:$AL$95,1,1)</f>
        <v/>
      </c>
      <c r="V203" s="24">
        <f>$U$113*INDEX($C$95:$AL$95,1,2)</f>
        <v/>
      </c>
      <c r="W203" s="24">
        <f>$U$113*INDEX($C$95:$AL$95,1,3)</f>
        <v/>
      </c>
      <c r="X203" s="24">
        <f>$U$113*INDEX($C$95:$AL$95,1,4)</f>
        <v/>
      </c>
      <c r="Y203" s="24">
        <f>$U$113*INDEX($C$95:$AL$95,1,5)</f>
        <v/>
      </c>
      <c r="Z203" s="24">
        <f>$U$113*INDEX($C$95:$AL$95,1,6)</f>
        <v/>
      </c>
      <c r="AA203" s="24">
        <f>$U$113*INDEX($C$95:$AL$95,1,7)</f>
        <v/>
      </c>
      <c r="AB203" s="24">
        <f>$U$113*INDEX($C$95:$AL$95,1,8)</f>
        <v/>
      </c>
      <c r="AC203" s="24">
        <f>$U$113*INDEX($C$95:$AL$95,1,9)</f>
        <v/>
      </c>
      <c r="AD203" s="24">
        <f>$U$113*INDEX($C$95:$AL$95,1,10)</f>
        <v/>
      </c>
      <c r="AE203" s="24">
        <f>$U$113*INDEX($C$95:$AL$95,1,11)</f>
        <v/>
      </c>
      <c r="AF203" s="24">
        <f>$U$113*INDEX($C$95:$AL$95,1,12)</f>
        <v/>
      </c>
    </row>
    <row r="204">
      <c r="A204" s="4" t="inlineStr">
        <is>
          <t>Coorte del mese 20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>
        <f>$V$113*INDEX($C$95:$AL$95,1,1)</f>
        <v/>
      </c>
      <c r="W204" s="24">
        <f>$V$113*INDEX($C$95:$AL$95,1,2)</f>
        <v/>
      </c>
      <c r="X204" s="24">
        <f>$V$113*INDEX($C$95:$AL$95,1,3)</f>
        <v/>
      </c>
      <c r="Y204" s="24">
        <f>$V$113*INDEX($C$95:$AL$95,1,4)</f>
        <v/>
      </c>
      <c r="Z204" s="24">
        <f>$V$113*INDEX($C$95:$AL$95,1,5)</f>
        <v/>
      </c>
      <c r="AA204" s="24">
        <f>$V$113*INDEX($C$95:$AL$95,1,6)</f>
        <v/>
      </c>
      <c r="AB204" s="24">
        <f>$V$113*INDEX($C$95:$AL$95,1,7)</f>
        <v/>
      </c>
      <c r="AC204" s="24">
        <f>$V$113*INDEX($C$95:$AL$95,1,8)</f>
        <v/>
      </c>
      <c r="AD204" s="24">
        <f>$V$113*INDEX($C$95:$AL$95,1,9)</f>
        <v/>
      </c>
      <c r="AE204" s="24">
        <f>$V$113*INDEX($C$95:$AL$95,1,10)</f>
        <v/>
      </c>
      <c r="AF204" s="24">
        <f>$V$113*INDEX($C$95:$AL$95,1,11)</f>
        <v/>
      </c>
    </row>
    <row r="205">
      <c r="A205" s="4" t="inlineStr">
        <is>
          <t>Coorte del mese 21</t>
        </is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>
        <f>$W$113*INDEX($C$95:$AL$95,1,1)</f>
        <v/>
      </c>
      <c r="X205" s="24">
        <f>$W$113*INDEX($C$95:$AL$95,1,2)</f>
        <v/>
      </c>
      <c r="Y205" s="24">
        <f>$W$113*INDEX($C$95:$AL$95,1,3)</f>
        <v/>
      </c>
      <c r="Z205" s="24">
        <f>$W$113*INDEX($C$95:$AL$95,1,4)</f>
        <v/>
      </c>
      <c r="AA205" s="24">
        <f>$W$113*INDEX($C$95:$AL$95,1,5)</f>
        <v/>
      </c>
      <c r="AB205" s="24">
        <f>$W$113*INDEX($C$95:$AL$95,1,6)</f>
        <v/>
      </c>
      <c r="AC205" s="24">
        <f>$W$113*INDEX($C$95:$AL$95,1,7)</f>
        <v/>
      </c>
      <c r="AD205" s="24">
        <f>$W$113*INDEX($C$95:$AL$95,1,8)</f>
        <v/>
      </c>
      <c r="AE205" s="24">
        <f>$W$113*INDEX($C$95:$AL$95,1,9)</f>
        <v/>
      </c>
      <c r="AF205" s="24">
        <f>$W$113*INDEX($C$95:$AL$95,1,10)</f>
        <v/>
      </c>
    </row>
    <row r="206">
      <c r="A206" s="4" t="inlineStr">
        <is>
          <t>Coorte del mese 22</t>
        </is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>
        <f>$X$113*INDEX($C$95:$AL$95,1,1)</f>
        <v/>
      </c>
      <c r="Y206" s="24">
        <f>$X$113*INDEX($C$95:$AL$95,1,2)</f>
        <v/>
      </c>
      <c r="Z206" s="24">
        <f>$X$113*INDEX($C$95:$AL$95,1,3)</f>
        <v/>
      </c>
      <c r="AA206" s="24">
        <f>$X$113*INDEX($C$95:$AL$95,1,4)</f>
        <v/>
      </c>
      <c r="AB206" s="24">
        <f>$X$113*INDEX($C$95:$AL$95,1,5)</f>
        <v/>
      </c>
      <c r="AC206" s="24">
        <f>$X$113*INDEX($C$95:$AL$95,1,6)</f>
        <v/>
      </c>
      <c r="AD206" s="24">
        <f>$X$113*INDEX($C$95:$AL$95,1,7)</f>
        <v/>
      </c>
      <c r="AE206" s="24">
        <f>$X$113*INDEX($C$95:$AL$95,1,8)</f>
        <v/>
      </c>
      <c r="AF206" s="24">
        <f>$X$113*INDEX($C$95:$AL$95,1,9)</f>
        <v/>
      </c>
    </row>
    <row r="207">
      <c r="A207" s="4" t="inlineStr">
        <is>
          <t>Coorte del mese 23</t>
        </is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>
        <f>$Y$113*INDEX($C$95:$AL$95,1,1)</f>
        <v/>
      </c>
      <c r="Z207" s="24">
        <f>$Y$113*INDEX($C$95:$AL$95,1,2)</f>
        <v/>
      </c>
      <c r="AA207" s="24">
        <f>$Y$113*INDEX($C$95:$AL$95,1,3)</f>
        <v/>
      </c>
      <c r="AB207" s="24">
        <f>$Y$113*INDEX($C$95:$AL$95,1,4)</f>
        <v/>
      </c>
      <c r="AC207" s="24">
        <f>$Y$113*INDEX($C$95:$AL$95,1,5)</f>
        <v/>
      </c>
      <c r="AD207" s="24">
        <f>$Y$113*INDEX($C$95:$AL$95,1,6)</f>
        <v/>
      </c>
      <c r="AE207" s="24">
        <f>$Y$113*INDEX($C$95:$AL$95,1,7)</f>
        <v/>
      </c>
      <c r="AF207" s="24">
        <f>$Y$113*INDEX($C$95:$AL$95,1,8)</f>
        <v/>
      </c>
    </row>
    <row r="208">
      <c r="A208" s="4" t="inlineStr">
        <is>
          <t>Coorte del mese 24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>
        <f>$Z$113*INDEX($C$95:$AL$95,1,1)</f>
        <v/>
      </c>
      <c r="AA208" s="24">
        <f>$Z$113*INDEX($C$95:$AL$95,1,2)</f>
        <v/>
      </c>
      <c r="AB208" s="24">
        <f>$Z$113*INDEX($C$95:$AL$95,1,3)</f>
        <v/>
      </c>
      <c r="AC208" s="24">
        <f>$Z$113*INDEX($C$95:$AL$95,1,4)</f>
        <v/>
      </c>
      <c r="AD208" s="24">
        <f>$Z$113*INDEX($C$95:$AL$95,1,5)</f>
        <v/>
      </c>
      <c r="AE208" s="24">
        <f>$Z$113*INDEX($C$95:$AL$95,1,6)</f>
        <v/>
      </c>
      <c r="AF208" s="24">
        <f>$Z$113*INDEX($C$95:$AL$95,1,7)</f>
        <v/>
      </c>
    </row>
    <row r="209">
      <c r="A209" s="4" t="inlineStr">
        <is>
          <t>Coorte del mese 25</t>
        </is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>
        <f>$AA$113*INDEX($C$95:$AL$95,1,1)</f>
        <v/>
      </c>
      <c r="AB209" s="24">
        <f>$AA$113*INDEX($C$95:$AL$95,1,2)</f>
        <v/>
      </c>
      <c r="AC209" s="24">
        <f>$AA$113*INDEX($C$95:$AL$95,1,3)</f>
        <v/>
      </c>
      <c r="AD209" s="24">
        <f>$AA$113*INDEX($C$95:$AL$95,1,4)</f>
        <v/>
      </c>
      <c r="AE209" s="24">
        <f>$AA$113*INDEX($C$95:$AL$95,1,5)</f>
        <v/>
      </c>
      <c r="AF209" s="24">
        <f>$AA$113*INDEX($C$95:$AL$95,1,6)</f>
        <v/>
      </c>
    </row>
    <row r="210">
      <c r="A210" s="4" t="inlineStr">
        <is>
          <t>Coorte del mese 26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24" t="n">
        <v>0</v>
      </c>
      <c r="AA210" s="24" t="n">
        <v>0</v>
      </c>
      <c r="AB210" s="24">
        <f>$AB$113*INDEX($C$95:$AL$95,1,1)</f>
        <v/>
      </c>
      <c r="AC210" s="24">
        <f>$AB$113*INDEX($C$95:$AL$95,1,2)</f>
        <v/>
      </c>
      <c r="AD210" s="24">
        <f>$AB$113*INDEX($C$95:$AL$95,1,3)</f>
        <v/>
      </c>
      <c r="AE210" s="24">
        <f>$AB$113*INDEX($C$95:$AL$95,1,4)</f>
        <v/>
      </c>
      <c r="AF210" s="24">
        <f>$AB$113*INDEX($C$95:$AL$95,1,5)</f>
        <v/>
      </c>
    </row>
    <row r="211">
      <c r="A211" s="4" t="inlineStr">
        <is>
          <t>Coorte del mese 27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>
        <f>$AC$113*INDEX($C$95:$AL$95,1,1)</f>
        <v/>
      </c>
      <c r="AD211" s="24">
        <f>$AC$113*INDEX($C$95:$AL$95,1,2)</f>
        <v/>
      </c>
      <c r="AE211" s="24">
        <f>$AC$113*INDEX($C$95:$AL$95,1,3)</f>
        <v/>
      </c>
      <c r="AF211" s="24">
        <f>$AC$113*INDEX($C$95:$AL$95,1,4)</f>
        <v/>
      </c>
    </row>
    <row r="212">
      <c r="A212" s="4" t="inlineStr">
        <is>
          <t>Coorte del mese 28</t>
        </is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>
        <f>$AD$113*INDEX($C$95:$AL$95,1,1)</f>
        <v/>
      </c>
      <c r="AE212" s="24">
        <f>$AD$113*INDEX($C$95:$AL$95,1,2)</f>
        <v/>
      </c>
      <c r="AF212" s="24">
        <f>$AD$113*INDEX($C$95:$AL$95,1,3)</f>
        <v/>
      </c>
    </row>
    <row r="213">
      <c r="A213" s="4" t="inlineStr">
        <is>
          <t>Coorte del mese 29</t>
        </is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>
        <f>$AE$113*INDEX($C$95:$AL$95,1,1)</f>
        <v/>
      </c>
      <c r="AF213" s="24">
        <f>$AE$113*INDEX($C$95:$AL$95,1,2)</f>
        <v/>
      </c>
    </row>
    <row r="214">
      <c r="A214" s="4" t="inlineStr">
        <is>
          <t>Coorte del mese 30</t>
        </is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4" t="n">
        <v>0</v>
      </c>
      <c r="AD214" s="24" t="n">
        <v>0</v>
      </c>
      <c r="AE214" s="24" t="n">
        <v>0</v>
      </c>
      <c r="AF214" s="24">
        <f>$AF$113*INDEX($C$95:$AL$95,1,1)</f>
        <v/>
      </c>
    </row>
    <row r="215">
      <c r="A215" s="3" t="inlineStr">
        <is>
          <t>Totale percorso 3: ordini</t>
        </is>
      </c>
      <c r="C215" s="25">
        <f>SUM(C185:C214)</f>
        <v/>
      </c>
      <c r="D215" s="25">
        <f>SUM(D185:D214)</f>
        <v/>
      </c>
      <c r="E215" s="25">
        <f>SUM(E185:E214)</f>
        <v/>
      </c>
      <c r="F215" s="25">
        <f>SUM(F185:F214)</f>
        <v/>
      </c>
      <c r="G215" s="25">
        <f>SUM(G185:G214)</f>
        <v/>
      </c>
      <c r="H215" s="25">
        <f>SUM(H185:H214)</f>
        <v/>
      </c>
      <c r="I215" s="25">
        <f>SUM(I185:I214)</f>
        <v/>
      </c>
      <c r="J215" s="25">
        <f>SUM(J185:J214)</f>
        <v/>
      </c>
      <c r="K215" s="25">
        <f>SUM(K185:K214)</f>
        <v/>
      </c>
      <c r="L215" s="25">
        <f>SUM(L185:L214)</f>
        <v/>
      </c>
      <c r="M215" s="25">
        <f>SUM(M185:M214)</f>
        <v/>
      </c>
      <c r="N215" s="25">
        <f>SUM(N185:N214)</f>
        <v/>
      </c>
      <c r="O215" s="25">
        <f>SUM(O185:O214)</f>
        <v/>
      </c>
      <c r="P215" s="25">
        <f>SUM(P185:P214)</f>
        <v/>
      </c>
      <c r="Q215" s="25">
        <f>SUM(Q185:Q214)</f>
        <v/>
      </c>
      <c r="R215" s="25">
        <f>SUM(R185:R214)</f>
        <v/>
      </c>
      <c r="S215" s="25">
        <f>SUM(S185:S214)</f>
        <v/>
      </c>
      <c r="T215" s="25">
        <f>SUM(T185:T214)</f>
        <v/>
      </c>
      <c r="U215" s="25">
        <f>SUM(U185:U214)</f>
        <v/>
      </c>
      <c r="V215" s="25">
        <f>SUM(V185:V214)</f>
        <v/>
      </c>
      <c r="W215" s="25">
        <f>SUM(W185:W214)</f>
        <v/>
      </c>
      <c r="X215" s="25">
        <f>SUM(X185:X214)</f>
        <v/>
      </c>
      <c r="Y215" s="25">
        <f>SUM(Y185:Y214)</f>
        <v/>
      </c>
      <c r="Z215" s="25">
        <f>SUM(Z185:Z214)</f>
        <v/>
      </c>
      <c r="AA215" s="25">
        <f>SUM(AA185:AA214)</f>
        <v/>
      </c>
      <c r="AB215" s="25">
        <f>SUM(AB185:AB214)</f>
        <v/>
      </c>
      <c r="AC215" s="25">
        <f>SUM(AC185:AC214)</f>
        <v/>
      </c>
      <c r="AD215" s="25">
        <f>SUM(AD185:AD214)</f>
        <v/>
      </c>
      <c r="AE215" s="25">
        <f>SUM(AE185:AE214)</f>
        <v/>
      </c>
      <c r="AF215" s="25">
        <f>SUM(AF185:AF214)</f>
        <v/>
      </c>
    </row>
    <row r="217">
      <c r="A217" s="10" t="inlineStr">
        <is>
          <t>Abbonamento: ordini per coorte (righe = mese di acquisizione, colonne = mese di calendario)</t>
        </is>
      </c>
    </row>
    <row r="218">
      <c r="A218" s="4" t="inlineStr">
        <is>
          <t>Coorte del mese 1</t>
        </is>
      </c>
      <c r="C218" s="24">
        <f>$C$114*INDEX($C$96:$AL$96,1,1)</f>
        <v/>
      </c>
      <c r="D218" s="24">
        <f>$C$114*INDEX($C$96:$AL$96,1,2)</f>
        <v/>
      </c>
      <c r="E218" s="24">
        <f>$C$114*INDEX($C$96:$AL$96,1,3)</f>
        <v/>
      </c>
      <c r="F218" s="24">
        <f>$C$114*INDEX($C$96:$AL$96,1,4)</f>
        <v/>
      </c>
      <c r="G218" s="24">
        <f>$C$114*INDEX($C$96:$AL$96,1,5)</f>
        <v/>
      </c>
      <c r="H218" s="24">
        <f>$C$114*INDEX($C$96:$AL$96,1,6)</f>
        <v/>
      </c>
      <c r="I218" s="24">
        <f>$C$114*INDEX($C$96:$AL$96,1,7)</f>
        <v/>
      </c>
      <c r="J218" s="24">
        <f>$C$114*INDEX($C$96:$AL$96,1,8)</f>
        <v/>
      </c>
      <c r="K218" s="24">
        <f>$C$114*INDEX($C$96:$AL$96,1,9)</f>
        <v/>
      </c>
      <c r="L218" s="24">
        <f>$C$114*INDEX($C$96:$AL$96,1,10)</f>
        <v/>
      </c>
      <c r="M218" s="24">
        <f>$C$114*INDEX($C$96:$AL$96,1,11)</f>
        <v/>
      </c>
      <c r="N218" s="24">
        <f>$C$114*INDEX($C$96:$AL$96,1,12)</f>
        <v/>
      </c>
      <c r="O218" s="24">
        <f>$C$114*INDEX($C$96:$AL$96,1,13)</f>
        <v/>
      </c>
      <c r="P218" s="24">
        <f>$C$114*INDEX($C$96:$AL$96,1,14)</f>
        <v/>
      </c>
      <c r="Q218" s="24">
        <f>$C$114*INDEX($C$96:$AL$96,1,15)</f>
        <v/>
      </c>
      <c r="R218" s="24">
        <f>$C$114*INDEX($C$96:$AL$96,1,16)</f>
        <v/>
      </c>
      <c r="S218" s="24">
        <f>$C$114*INDEX($C$96:$AL$96,1,17)</f>
        <v/>
      </c>
      <c r="T218" s="24">
        <f>$C$114*INDEX($C$96:$AL$96,1,18)</f>
        <v/>
      </c>
      <c r="U218" s="24">
        <f>$C$114*INDEX($C$96:$AL$96,1,19)</f>
        <v/>
      </c>
      <c r="V218" s="24">
        <f>$C$114*INDEX($C$96:$AL$96,1,20)</f>
        <v/>
      </c>
      <c r="W218" s="24">
        <f>$C$114*INDEX($C$96:$AL$96,1,21)</f>
        <v/>
      </c>
      <c r="X218" s="24">
        <f>$C$114*INDEX($C$96:$AL$96,1,22)</f>
        <v/>
      </c>
      <c r="Y218" s="24">
        <f>$C$114*INDEX($C$96:$AL$96,1,23)</f>
        <v/>
      </c>
      <c r="Z218" s="24">
        <f>$C$114*INDEX($C$96:$AL$96,1,24)</f>
        <v/>
      </c>
      <c r="AA218" s="24">
        <f>$C$114*INDEX($C$96:$AL$96,1,25)</f>
        <v/>
      </c>
      <c r="AB218" s="24">
        <f>$C$114*INDEX($C$96:$AL$96,1,26)</f>
        <v/>
      </c>
      <c r="AC218" s="24">
        <f>$C$114*INDEX($C$96:$AL$96,1,27)</f>
        <v/>
      </c>
      <c r="AD218" s="24">
        <f>$C$114*INDEX($C$96:$AL$96,1,28)</f>
        <v/>
      </c>
      <c r="AE218" s="24">
        <f>$C$114*INDEX($C$96:$AL$96,1,29)</f>
        <v/>
      </c>
      <c r="AF218" s="24">
        <f>$C$114*INDEX($C$96:$AL$96,1,30)</f>
        <v/>
      </c>
    </row>
    <row r="219">
      <c r="A219" s="4" t="inlineStr">
        <is>
          <t>Coorte del mese 2</t>
        </is>
      </c>
      <c r="C219" s="24" t="n">
        <v>0</v>
      </c>
      <c r="D219" s="24">
        <f>$D$114*INDEX($C$96:$AL$96,1,1)</f>
        <v/>
      </c>
      <c r="E219" s="24">
        <f>$D$114*INDEX($C$96:$AL$96,1,2)</f>
        <v/>
      </c>
      <c r="F219" s="24">
        <f>$D$114*INDEX($C$96:$AL$96,1,3)</f>
        <v/>
      </c>
      <c r="G219" s="24">
        <f>$D$114*INDEX($C$96:$AL$96,1,4)</f>
        <v/>
      </c>
      <c r="H219" s="24">
        <f>$D$114*INDEX($C$96:$AL$96,1,5)</f>
        <v/>
      </c>
      <c r="I219" s="24">
        <f>$D$114*INDEX($C$96:$AL$96,1,6)</f>
        <v/>
      </c>
      <c r="J219" s="24">
        <f>$D$114*INDEX($C$96:$AL$96,1,7)</f>
        <v/>
      </c>
      <c r="K219" s="24">
        <f>$D$114*INDEX($C$96:$AL$96,1,8)</f>
        <v/>
      </c>
      <c r="L219" s="24">
        <f>$D$114*INDEX($C$96:$AL$96,1,9)</f>
        <v/>
      </c>
      <c r="M219" s="24">
        <f>$D$114*INDEX($C$96:$AL$96,1,10)</f>
        <v/>
      </c>
      <c r="N219" s="24">
        <f>$D$114*INDEX($C$96:$AL$96,1,11)</f>
        <v/>
      </c>
      <c r="O219" s="24">
        <f>$D$114*INDEX($C$96:$AL$96,1,12)</f>
        <v/>
      </c>
      <c r="P219" s="24">
        <f>$D$114*INDEX($C$96:$AL$96,1,13)</f>
        <v/>
      </c>
      <c r="Q219" s="24">
        <f>$D$114*INDEX($C$96:$AL$96,1,14)</f>
        <v/>
      </c>
      <c r="R219" s="24">
        <f>$D$114*INDEX($C$96:$AL$96,1,15)</f>
        <v/>
      </c>
      <c r="S219" s="24">
        <f>$D$114*INDEX($C$96:$AL$96,1,16)</f>
        <v/>
      </c>
      <c r="T219" s="24">
        <f>$D$114*INDEX($C$96:$AL$96,1,17)</f>
        <v/>
      </c>
      <c r="U219" s="24">
        <f>$D$114*INDEX($C$96:$AL$96,1,18)</f>
        <v/>
      </c>
      <c r="V219" s="24">
        <f>$D$114*INDEX($C$96:$AL$96,1,19)</f>
        <v/>
      </c>
      <c r="W219" s="24">
        <f>$D$114*INDEX($C$96:$AL$96,1,20)</f>
        <v/>
      </c>
      <c r="X219" s="24">
        <f>$D$114*INDEX($C$96:$AL$96,1,21)</f>
        <v/>
      </c>
      <c r="Y219" s="24">
        <f>$D$114*INDEX($C$96:$AL$96,1,22)</f>
        <v/>
      </c>
      <c r="Z219" s="24">
        <f>$D$114*INDEX($C$96:$AL$96,1,23)</f>
        <v/>
      </c>
      <c r="AA219" s="24">
        <f>$D$114*INDEX($C$96:$AL$96,1,24)</f>
        <v/>
      </c>
      <c r="AB219" s="24">
        <f>$D$114*INDEX($C$96:$AL$96,1,25)</f>
        <v/>
      </c>
      <c r="AC219" s="24">
        <f>$D$114*INDEX($C$96:$AL$96,1,26)</f>
        <v/>
      </c>
      <c r="AD219" s="24">
        <f>$D$114*INDEX($C$96:$AL$96,1,27)</f>
        <v/>
      </c>
      <c r="AE219" s="24">
        <f>$D$114*INDEX($C$96:$AL$96,1,28)</f>
        <v/>
      </c>
      <c r="AF219" s="24">
        <f>$D$114*INDEX($C$96:$AL$96,1,29)</f>
        <v/>
      </c>
    </row>
    <row r="220">
      <c r="A220" s="4" t="inlineStr">
        <is>
          <t>Coorte del mese 3</t>
        </is>
      </c>
      <c r="C220" s="24" t="n">
        <v>0</v>
      </c>
      <c r="D220" s="24" t="n">
        <v>0</v>
      </c>
      <c r="E220" s="24">
        <f>$E$114*INDEX($C$96:$AL$96,1,1)</f>
        <v/>
      </c>
      <c r="F220" s="24">
        <f>$E$114*INDEX($C$96:$AL$96,1,2)</f>
        <v/>
      </c>
      <c r="G220" s="24">
        <f>$E$114*INDEX($C$96:$AL$96,1,3)</f>
        <v/>
      </c>
      <c r="H220" s="24">
        <f>$E$114*INDEX($C$96:$AL$96,1,4)</f>
        <v/>
      </c>
      <c r="I220" s="24">
        <f>$E$114*INDEX($C$96:$AL$96,1,5)</f>
        <v/>
      </c>
      <c r="J220" s="24">
        <f>$E$114*INDEX($C$96:$AL$96,1,6)</f>
        <v/>
      </c>
      <c r="K220" s="24">
        <f>$E$114*INDEX($C$96:$AL$96,1,7)</f>
        <v/>
      </c>
      <c r="L220" s="24">
        <f>$E$114*INDEX($C$96:$AL$96,1,8)</f>
        <v/>
      </c>
      <c r="M220" s="24">
        <f>$E$114*INDEX($C$96:$AL$96,1,9)</f>
        <v/>
      </c>
      <c r="N220" s="24">
        <f>$E$114*INDEX($C$96:$AL$96,1,10)</f>
        <v/>
      </c>
      <c r="O220" s="24">
        <f>$E$114*INDEX($C$96:$AL$96,1,11)</f>
        <v/>
      </c>
      <c r="P220" s="24">
        <f>$E$114*INDEX($C$96:$AL$96,1,12)</f>
        <v/>
      </c>
      <c r="Q220" s="24">
        <f>$E$114*INDEX($C$96:$AL$96,1,13)</f>
        <v/>
      </c>
      <c r="R220" s="24">
        <f>$E$114*INDEX($C$96:$AL$96,1,14)</f>
        <v/>
      </c>
      <c r="S220" s="24">
        <f>$E$114*INDEX($C$96:$AL$96,1,15)</f>
        <v/>
      </c>
      <c r="T220" s="24">
        <f>$E$114*INDEX($C$96:$AL$96,1,16)</f>
        <v/>
      </c>
      <c r="U220" s="24">
        <f>$E$114*INDEX($C$96:$AL$96,1,17)</f>
        <v/>
      </c>
      <c r="V220" s="24">
        <f>$E$114*INDEX($C$96:$AL$96,1,18)</f>
        <v/>
      </c>
      <c r="W220" s="24">
        <f>$E$114*INDEX($C$96:$AL$96,1,19)</f>
        <v/>
      </c>
      <c r="X220" s="24">
        <f>$E$114*INDEX($C$96:$AL$96,1,20)</f>
        <v/>
      </c>
      <c r="Y220" s="24">
        <f>$E$114*INDEX($C$96:$AL$96,1,21)</f>
        <v/>
      </c>
      <c r="Z220" s="24">
        <f>$E$114*INDEX($C$96:$AL$96,1,22)</f>
        <v/>
      </c>
      <c r="AA220" s="24">
        <f>$E$114*INDEX($C$96:$AL$96,1,23)</f>
        <v/>
      </c>
      <c r="AB220" s="24">
        <f>$E$114*INDEX($C$96:$AL$96,1,24)</f>
        <v/>
      </c>
      <c r="AC220" s="24">
        <f>$E$114*INDEX($C$96:$AL$96,1,25)</f>
        <v/>
      </c>
      <c r="AD220" s="24">
        <f>$E$114*INDEX($C$96:$AL$96,1,26)</f>
        <v/>
      </c>
      <c r="AE220" s="24">
        <f>$E$114*INDEX($C$96:$AL$96,1,27)</f>
        <v/>
      </c>
      <c r="AF220" s="24">
        <f>$E$114*INDEX($C$96:$AL$96,1,28)</f>
        <v/>
      </c>
    </row>
    <row r="221">
      <c r="A221" s="4" t="inlineStr">
        <is>
          <t>Coorte del mese 4</t>
        </is>
      </c>
      <c r="C221" s="24" t="n">
        <v>0</v>
      </c>
      <c r="D221" s="24" t="n">
        <v>0</v>
      </c>
      <c r="E221" s="24" t="n">
        <v>0</v>
      </c>
      <c r="F221" s="24">
        <f>$F$114*INDEX($C$96:$AL$96,1,1)</f>
        <v/>
      </c>
      <c r="G221" s="24">
        <f>$F$114*INDEX($C$96:$AL$96,1,2)</f>
        <v/>
      </c>
      <c r="H221" s="24">
        <f>$F$114*INDEX($C$96:$AL$96,1,3)</f>
        <v/>
      </c>
      <c r="I221" s="24">
        <f>$F$114*INDEX($C$96:$AL$96,1,4)</f>
        <v/>
      </c>
      <c r="J221" s="24">
        <f>$F$114*INDEX($C$96:$AL$96,1,5)</f>
        <v/>
      </c>
      <c r="K221" s="24">
        <f>$F$114*INDEX($C$96:$AL$96,1,6)</f>
        <v/>
      </c>
      <c r="L221" s="24">
        <f>$F$114*INDEX($C$96:$AL$96,1,7)</f>
        <v/>
      </c>
      <c r="M221" s="24">
        <f>$F$114*INDEX($C$96:$AL$96,1,8)</f>
        <v/>
      </c>
      <c r="N221" s="24">
        <f>$F$114*INDEX($C$96:$AL$96,1,9)</f>
        <v/>
      </c>
      <c r="O221" s="24">
        <f>$F$114*INDEX($C$96:$AL$96,1,10)</f>
        <v/>
      </c>
      <c r="P221" s="24">
        <f>$F$114*INDEX($C$96:$AL$96,1,11)</f>
        <v/>
      </c>
      <c r="Q221" s="24">
        <f>$F$114*INDEX($C$96:$AL$96,1,12)</f>
        <v/>
      </c>
      <c r="R221" s="24">
        <f>$F$114*INDEX($C$96:$AL$96,1,13)</f>
        <v/>
      </c>
      <c r="S221" s="24">
        <f>$F$114*INDEX($C$96:$AL$96,1,14)</f>
        <v/>
      </c>
      <c r="T221" s="24">
        <f>$F$114*INDEX($C$96:$AL$96,1,15)</f>
        <v/>
      </c>
      <c r="U221" s="24">
        <f>$F$114*INDEX($C$96:$AL$96,1,16)</f>
        <v/>
      </c>
      <c r="V221" s="24">
        <f>$F$114*INDEX($C$96:$AL$96,1,17)</f>
        <v/>
      </c>
      <c r="W221" s="24">
        <f>$F$114*INDEX($C$96:$AL$96,1,18)</f>
        <v/>
      </c>
      <c r="X221" s="24">
        <f>$F$114*INDEX($C$96:$AL$96,1,19)</f>
        <v/>
      </c>
      <c r="Y221" s="24">
        <f>$F$114*INDEX($C$96:$AL$96,1,20)</f>
        <v/>
      </c>
      <c r="Z221" s="24">
        <f>$F$114*INDEX($C$96:$AL$96,1,21)</f>
        <v/>
      </c>
      <c r="AA221" s="24">
        <f>$F$114*INDEX($C$96:$AL$96,1,22)</f>
        <v/>
      </c>
      <c r="AB221" s="24">
        <f>$F$114*INDEX($C$96:$AL$96,1,23)</f>
        <v/>
      </c>
      <c r="AC221" s="24">
        <f>$F$114*INDEX($C$96:$AL$96,1,24)</f>
        <v/>
      </c>
      <c r="AD221" s="24">
        <f>$F$114*INDEX($C$96:$AL$96,1,25)</f>
        <v/>
      </c>
      <c r="AE221" s="24">
        <f>$F$114*INDEX($C$96:$AL$96,1,26)</f>
        <v/>
      </c>
      <c r="AF221" s="24">
        <f>$F$114*INDEX($C$96:$AL$96,1,27)</f>
        <v/>
      </c>
    </row>
    <row r="222">
      <c r="A222" s="4" t="inlineStr">
        <is>
          <t>Coorte del mese 5</t>
        </is>
      </c>
      <c r="C222" s="24" t="n">
        <v>0</v>
      </c>
      <c r="D222" s="24" t="n">
        <v>0</v>
      </c>
      <c r="E222" s="24" t="n">
        <v>0</v>
      </c>
      <c r="F222" s="24" t="n">
        <v>0</v>
      </c>
      <c r="G222" s="24">
        <f>$G$114*INDEX($C$96:$AL$96,1,1)</f>
        <v/>
      </c>
      <c r="H222" s="24">
        <f>$G$114*INDEX($C$96:$AL$96,1,2)</f>
        <v/>
      </c>
      <c r="I222" s="24">
        <f>$G$114*INDEX($C$96:$AL$96,1,3)</f>
        <v/>
      </c>
      <c r="J222" s="24">
        <f>$G$114*INDEX($C$96:$AL$96,1,4)</f>
        <v/>
      </c>
      <c r="K222" s="24">
        <f>$G$114*INDEX($C$96:$AL$96,1,5)</f>
        <v/>
      </c>
      <c r="L222" s="24">
        <f>$G$114*INDEX($C$96:$AL$96,1,6)</f>
        <v/>
      </c>
      <c r="M222" s="24">
        <f>$G$114*INDEX($C$96:$AL$96,1,7)</f>
        <v/>
      </c>
      <c r="N222" s="24">
        <f>$G$114*INDEX($C$96:$AL$96,1,8)</f>
        <v/>
      </c>
      <c r="O222" s="24">
        <f>$G$114*INDEX($C$96:$AL$96,1,9)</f>
        <v/>
      </c>
      <c r="P222" s="24">
        <f>$G$114*INDEX($C$96:$AL$96,1,10)</f>
        <v/>
      </c>
      <c r="Q222" s="24">
        <f>$G$114*INDEX($C$96:$AL$96,1,11)</f>
        <v/>
      </c>
      <c r="R222" s="24">
        <f>$G$114*INDEX($C$96:$AL$96,1,12)</f>
        <v/>
      </c>
      <c r="S222" s="24">
        <f>$G$114*INDEX($C$96:$AL$96,1,13)</f>
        <v/>
      </c>
      <c r="T222" s="24">
        <f>$G$114*INDEX($C$96:$AL$96,1,14)</f>
        <v/>
      </c>
      <c r="U222" s="24">
        <f>$G$114*INDEX($C$96:$AL$96,1,15)</f>
        <v/>
      </c>
      <c r="V222" s="24">
        <f>$G$114*INDEX($C$96:$AL$96,1,16)</f>
        <v/>
      </c>
      <c r="W222" s="24">
        <f>$G$114*INDEX($C$96:$AL$96,1,17)</f>
        <v/>
      </c>
      <c r="X222" s="24">
        <f>$G$114*INDEX($C$96:$AL$96,1,18)</f>
        <v/>
      </c>
      <c r="Y222" s="24">
        <f>$G$114*INDEX($C$96:$AL$96,1,19)</f>
        <v/>
      </c>
      <c r="Z222" s="24">
        <f>$G$114*INDEX($C$96:$AL$96,1,20)</f>
        <v/>
      </c>
      <c r="AA222" s="24">
        <f>$G$114*INDEX($C$96:$AL$96,1,21)</f>
        <v/>
      </c>
      <c r="AB222" s="24">
        <f>$G$114*INDEX($C$96:$AL$96,1,22)</f>
        <v/>
      </c>
      <c r="AC222" s="24">
        <f>$G$114*INDEX($C$96:$AL$96,1,23)</f>
        <v/>
      </c>
      <c r="AD222" s="24">
        <f>$G$114*INDEX($C$96:$AL$96,1,24)</f>
        <v/>
      </c>
      <c r="AE222" s="24">
        <f>$G$114*INDEX($C$96:$AL$96,1,25)</f>
        <v/>
      </c>
      <c r="AF222" s="24">
        <f>$G$114*INDEX($C$96:$AL$96,1,26)</f>
        <v/>
      </c>
    </row>
    <row r="223">
      <c r="A223" s="4" t="inlineStr">
        <is>
          <t>Coorte del mese 6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>
        <f>$H$114*INDEX($C$96:$AL$96,1,1)</f>
        <v/>
      </c>
      <c r="I223" s="24">
        <f>$H$114*INDEX($C$96:$AL$96,1,2)</f>
        <v/>
      </c>
      <c r="J223" s="24">
        <f>$H$114*INDEX($C$96:$AL$96,1,3)</f>
        <v/>
      </c>
      <c r="K223" s="24">
        <f>$H$114*INDEX($C$96:$AL$96,1,4)</f>
        <v/>
      </c>
      <c r="L223" s="24">
        <f>$H$114*INDEX($C$96:$AL$96,1,5)</f>
        <v/>
      </c>
      <c r="M223" s="24">
        <f>$H$114*INDEX($C$96:$AL$96,1,6)</f>
        <v/>
      </c>
      <c r="N223" s="24">
        <f>$H$114*INDEX($C$96:$AL$96,1,7)</f>
        <v/>
      </c>
      <c r="O223" s="24">
        <f>$H$114*INDEX($C$96:$AL$96,1,8)</f>
        <v/>
      </c>
      <c r="P223" s="24">
        <f>$H$114*INDEX($C$96:$AL$96,1,9)</f>
        <v/>
      </c>
      <c r="Q223" s="24">
        <f>$H$114*INDEX($C$96:$AL$96,1,10)</f>
        <v/>
      </c>
      <c r="R223" s="24">
        <f>$H$114*INDEX($C$96:$AL$96,1,11)</f>
        <v/>
      </c>
      <c r="S223" s="24">
        <f>$H$114*INDEX($C$96:$AL$96,1,12)</f>
        <v/>
      </c>
      <c r="T223" s="24">
        <f>$H$114*INDEX($C$96:$AL$96,1,13)</f>
        <v/>
      </c>
      <c r="U223" s="24">
        <f>$H$114*INDEX($C$96:$AL$96,1,14)</f>
        <v/>
      </c>
      <c r="V223" s="24">
        <f>$H$114*INDEX($C$96:$AL$96,1,15)</f>
        <v/>
      </c>
      <c r="W223" s="24">
        <f>$H$114*INDEX($C$96:$AL$96,1,16)</f>
        <v/>
      </c>
      <c r="X223" s="24">
        <f>$H$114*INDEX($C$96:$AL$96,1,17)</f>
        <v/>
      </c>
      <c r="Y223" s="24">
        <f>$H$114*INDEX($C$96:$AL$96,1,18)</f>
        <v/>
      </c>
      <c r="Z223" s="24">
        <f>$H$114*INDEX($C$96:$AL$96,1,19)</f>
        <v/>
      </c>
      <c r="AA223" s="24">
        <f>$H$114*INDEX($C$96:$AL$96,1,20)</f>
        <v/>
      </c>
      <c r="AB223" s="24">
        <f>$H$114*INDEX($C$96:$AL$96,1,21)</f>
        <v/>
      </c>
      <c r="AC223" s="24">
        <f>$H$114*INDEX($C$96:$AL$96,1,22)</f>
        <v/>
      </c>
      <c r="AD223" s="24">
        <f>$H$114*INDEX($C$96:$AL$96,1,23)</f>
        <v/>
      </c>
      <c r="AE223" s="24">
        <f>$H$114*INDEX($C$96:$AL$96,1,24)</f>
        <v/>
      </c>
      <c r="AF223" s="24">
        <f>$H$114*INDEX($C$96:$AL$96,1,25)</f>
        <v/>
      </c>
    </row>
    <row r="224">
      <c r="A224" s="4" t="inlineStr">
        <is>
          <t>Coorte del mese 7</t>
        </is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>
        <f>$I$114*INDEX($C$96:$AL$96,1,1)</f>
        <v/>
      </c>
      <c r="J224" s="24">
        <f>$I$114*INDEX($C$96:$AL$96,1,2)</f>
        <v/>
      </c>
      <c r="K224" s="24">
        <f>$I$114*INDEX($C$96:$AL$96,1,3)</f>
        <v/>
      </c>
      <c r="L224" s="24">
        <f>$I$114*INDEX($C$96:$AL$96,1,4)</f>
        <v/>
      </c>
      <c r="M224" s="24">
        <f>$I$114*INDEX($C$96:$AL$96,1,5)</f>
        <v/>
      </c>
      <c r="N224" s="24">
        <f>$I$114*INDEX($C$96:$AL$96,1,6)</f>
        <v/>
      </c>
      <c r="O224" s="24">
        <f>$I$114*INDEX($C$96:$AL$96,1,7)</f>
        <v/>
      </c>
      <c r="P224" s="24">
        <f>$I$114*INDEX($C$96:$AL$96,1,8)</f>
        <v/>
      </c>
      <c r="Q224" s="24">
        <f>$I$114*INDEX($C$96:$AL$96,1,9)</f>
        <v/>
      </c>
      <c r="R224" s="24">
        <f>$I$114*INDEX($C$96:$AL$96,1,10)</f>
        <v/>
      </c>
      <c r="S224" s="24">
        <f>$I$114*INDEX($C$96:$AL$96,1,11)</f>
        <v/>
      </c>
      <c r="T224" s="24">
        <f>$I$114*INDEX($C$96:$AL$96,1,12)</f>
        <v/>
      </c>
      <c r="U224" s="24">
        <f>$I$114*INDEX($C$96:$AL$96,1,13)</f>
        <v/>
      </c>
      <c r="V224" s="24">
        <f>$I$114*INDEX($C$96:$AL$96,1,14)</f>
        <v/>
      </c>
      <c r="W224" s="24">
        <f>$I$114*INDEX($C$96:$AL$96,1,15)</f>
        <v/>
      </c>
      <c r="X224" s="24">
        <f>$I$114*INDEX($C$96:$AL$96,1,16)</f>
        <v/>
      </c>
      <c r="Y224" s="24">
        <f>$I$114*INDEX($C$96:$AL$96,1,17)</f>
        <v/>
      </c>
      <c r="Z224" s="24">
        <f>$I$114*INDEX($C$96:$AL$96,1,18)</f>
        <v/>
      </c>
      <c r="AA224" s="24">
        <f>$I$114*INDEX($C$96:$AL$96,1,19)</f>
        <v/>
      </c>
      <c r="AB224" s="24">
        <f>$I$114*INDEX($C$96:$AL$96,1,20)</f>
        <v/>
      </c>
      <c r="AC224" s="24">
        <f>$I$114*INDEX($C$96:$AL$96,1,21)</f>
        <v/>
      </c>
      <c r="AD224" s="24">
        <f>$I$114*INDEX($C$96:$AL$96,1,22)</f>
        <v/>
      </c>
      <c r="AE224" s="24">
        <f>$I$114*INDEX($C$96:$AL$96,1,23)</f>
        <v/>
      </c>
      <c r="AF224" s="24">
        <f>$I$114*INDEX($C$96:$AL$96,1,24)</f>
        <v/>
      </c>
    </row>
    <row r="225">
      <c r="A225" s="4" t="inlineStr">
        <is>
          <t>Coorte del mese 8</t>
        </is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>
        <f>$J$114*INDEX($C$96:$AL$96,1,1)</f>
        <v/>
      </c>
      <c r="K225" s="24">
        <f>$J$114*INDEX($C$96:$AL$96,1,2)</f>
        <v/>
      </c>
      <c r="L225" s="24">
        <f>$J$114*INDEX($C$96:$AL$96,1,3)</f>
        <v/>
      </c>
      <c r="M225" s="24">
        <f>$J$114*INDEX($C$96:$AL$96,1,4)</f>
        <v/>
      </c>
      <c r="N225" s="24">
        <f>$J$114*INDEX($C$96:$AL$96,1,5)</f>
        <v/>
      </c>
      <c r="O225" s="24">
        <f>$J$114*INDEX($C$96:$AL$96,1,6)</f>
        <v/>
      </c>
      <c r="P225" s="24">
        <f>$J$114*INDEX($C$96:$AL$96,1,7)</f>
        <v/>
      </c>
      <c r="Q225" s="24">
        <f>$J$114*INDEX($C$96:$AL$96,1,8)</f>
        <v/>
      </c>
      <c r="R225" s="24">
        <f>$J$114*INDEX($C$96:$AL$96,1,9)</f>
        <v/>
      </c>
      <c r="S225" s="24">
        <f>$J$114*INDEX($C$96:$AL$96,1,10)</f>
        <v/>
      </c>
      <c r="T225" s="24">
        <f>$J$114*INDEX($C$96:$AL$96,1,11)</f>
        <v/>
      </c>
      <c r="U225" s="24">
        <f>$J$114*INDEX($C$96:$AL$96,1,12)</f>
        <v/>
      </c>
      <c r="V225" s="24">
        <f>$J$114*INDEX($C$96:$AL$96,1,13)</f>
        <v/>
      </c>
      <c r="W225" s="24">
        <f>$J$114*INDEX($C$96:$AL$96,1,14)</f>
        <v/>
      </c>
      <c r="X225" s="24">
        <f>$J$114*INDEX($C$96:$AL$96,1,15)</f>
        <v/>
      </c>
      <c r="Y225" s="24">
        <f>$J$114*INDEX($C$96:$AL$96,1,16)</f>
        <v/>
      </c>
      <c r="Z225" s="24">
        <f>$J$114*INDEX($C$96:$AL$96,1,17)</f>
        <v/>
      </c>
      <c r="AA225" s="24">
        <f>$J$114*INDEX($C$96:$AL$96,1,18)</f>
        <v/>
      </c>
      <c r="AB225" s="24">
        <f>$J$114*INDEX($C$96:$AL$96,1,19)</f>
        <v/>
      </c>
      <c r="AC225" s="24">
        <f>$J$114*INDEX($C$96:$AL$96,1,20)</f>
        <v/>
      </c>
      <c r="AD225" s="24">
        <f>$J$114*INDEX($C$96:$AL$96,1,21)</f>
        <v/>
      </c>
      <c r="AE225" s="24">
        <f>$J$114*INDEX($C$96:$AL$96,1,22)</f>
        <v/>
      </c>
      <c r="AF225" s="24">
        <f>$J$114*INDEX($C$96:$AL$96,1,23)</f>
        <v/>
      </c>
    </row>
    <row r="226">
      <c r="A226" s="4" t="inlineStr">
        <is>
          <t>Coorte del mese 9</t>
        </is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>
        <f>$K$114*INDEX($C$96:$AL$96,1,1)</f>
        <v/>
      </c>
      <c r="L226" s="24">
        <f>$K$114*INDEX($C$96:$AL$96,1,2)</f>
        <v/>
      </c>
      <c r="M226" s="24">
        <f>$K$114*INDEX($C$96:$AL$96,1,3)</f>
        <v/>
      </c>
      <c r="N226" s="24">
        <f>$K$114*INDEX($C$96:$AL$96,1,4)</f>
        <v/>
      </c>
      <c r="O226" s="24">
        <f>$K$114*INDEX($C$96:$AL$96,1,5)</f>
        <v/>
      </c>
      <c r="P226" s="24">
        <f>$K$114*INDEX($C$96:$AL$96,1,6)</f>
        <v/>
      </c>
      <c r="Q226" s="24">
        <f>$K$114*INDEX($C$96:$AL$96,1,7)</f>
        <v/>
      </c>
      <c r="R226" s="24">
        <f>$K$114*INDEX($C$96:$AL$96,1,8)</f>
        <v/>
      </c>
      <c r="S226" s="24">
        <f>$K$114*INDEX($C$96:$AL$96,1,9)</f>
        <v/>
      </c>
      <c r="T226" s="24">
        <f>$K$114*INDEX($C$96:$AL$96,1,10)</f>
        <v/>
      </c>
      <c r="U226" s="24">
        <f>$K$114*INDEX($C$96:$AL$96,1,11)</f>
        <v/>
      </c>
      <c r="V226" s="24">
        <f>$K$114*INDEX($C$96:$AL$96,1,12)</f>
        <v/>
      </c>
      <c r="W226" s="24">
        <f>$K$114*INDEX($C$96:$AL$96,1,13)</f>
        <v/>
      </c>
      <c r="X226" s="24">
        <f>$K$114*INDEX($C$96:$AL$96,1,14)</f>
        <v/>
      </c>
      <c r="Y226" s="24">
        <f>$K$114*INDEX($C$96:$AL$96,1,15)</f>
        <v/>
      </c>
      <c r="Z226" s="24">
        <f>$K$114*INDEX($C$96:$AL$96,1,16)</f>
        <v/>
      </c>
      <c r="AA226" s="24">
        <f>$K$114*INDEX($C$96:$AL$96,1,17)</f>
        <v/>
      </c>
      <c r="AB226" s="24">
        <f>$K$114*INDEX($C$96:$AL$96,1,18)</f>
        <v/>
      </c>
      <c r="AC226" s="24">
        <f>$K$114*INDEX($C$96:$AL$96,1,19)</f>
        <v/>
      </c>
      <c r="AD226" s="24">
        <f>$K$114*INDEX($C$96:$AL$96,1,20)</f>
        <v/>
      </c>
      <c r="AE226" s="24">
        <f>$K$114*INDEX($C$96:$AL$96,1,21)</f>
        <v/>
      </c>
      <c r="AF226" s="24">
        <f>$K$114*INDEX($C$96:$AL$96,1,22)</f>
        <v/>
      </c>
    </row>
    <row r="227">
      <c r="A227" s="4" t="inlineStr">
        <is>
          <t>Coorte del mese 10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>
        <f>$L$114*INDEX($C$96:$AL$96,1,1)</f>
        <v/>
      </c>
      <c r="M227" s="24">
        <f>$L$114*INDEX($C$96:$AL$96,1,2)</f>
        <v/>
      </c>
      <c r="N227" s="24">
        <f>$L$114*INDEX($C$96:$AL$96,1,3)</f>
        <v/>
      </c>
      <c r="O227" s="24">
        <f>$L$114*INDEX($C$96:$AL$96,1,4)</f>
        <v/>
      </c>
      <c r="P227" s="24">
        <f>$L$114*INDEX($C$96:$AL$96,1,5)</f>
        <v/>
      </c>
      <c r="Q227" s="24">
        <f>$L$114*INDEX($C$96:$AL$96,1,6)</f>
        <v/>
      </c>
      <c r="R227" s="24">
        <f>$L$114*INDEX($C$96:$AL$96,1,7)</f>
        <v/>
      </c>
      <c r="S227" s="24">
        <f>$L$114*INDEX($C$96:$AL$96,1,8)</f>
        <v/>
      </c>
      <c r="T227" s="24">
        <f>$L$114*INDEX($C$96:$AL$96,1,9)</f>
        <v/>
      </c>
      <c r="U227" s="24">
        <f>$L$114*INDEX($C$96:$AL$96,1,10)</f>
        <v/>
      </c>
      <c r="V227" s="24">
        <f>$L$114*INDEX($C$96:$AL$96,1,11)</f>
        <v/>
      </c>
      <c r="W227" s="24">
        <f>$L$114*INDEX($C$96:$AL$96,1,12)</f>
        <v/>
      </c>
      <c r="X227" s="24">
        <f>$L$114*INDEX($C$96:$AL$96,1,13)</f>
        <v/>
      </c>
      <c r="Y227" s="24">
        <f>$L$114*INDEX($C$96:$AL$96,1,14)</f>
        <v/>
      </c>
      <c r="Z227" s="24">
        <f>$L$114*INDEX($C$96:$AL$96,1,15)</f>
        <v/>
      </c>
      <c r="AA227" s="24">
        <f>$L$114*INDEX($C$96:$AL$96,1,16)</f>
        <v/>
      </c>
      <c r="AB227" s="24">
        <f>$L$114*INDEX($C$96:$AL$96,1,17)</f>
        <v/>
      </c>
      <c r="AC227" s="24">
        <f>$L$114*INDEX($C$96:$AL$96,1,18)</f>
        <v/>
      </c>
      <c r="AD227" s="24">
        <f>$L$114*INDEX($C$96:$AL$96,1,19)</f>
        <v/>
      </c>
      <c r="AE227" s="24">
        <f>$L$114*INDEX($C$96:$AL$96,1,20)</f>
        <v/>
      </c>
      <c r="AF227" s="24">
        <f>$L$114*INDEX($C$96:$AL$96,1,21)</f>
        <v/>
      </c>
    </row>
    <row r="228">
      <c r="A228" s="4" t="inlineStr">
        <is>
          <t>Coorte del mese 11</t>
        </is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>
        <f>$M$114*INDEX($C$96:$AL$96,1,1)</f>
        <v/>
      </c>
      <c r="N228" s="24">
        <f>$M$114*INDEX($C$96:$AL$96,1,2)</f>
        <v/>
      </c>
      <c r="O228" s="24">
        <f>$M$114*INDEX($C$96:$AL$96,1,3)</f>
        <v/>
      </c>
      <c r="P228" s="24">
        <f>$M$114*INDEX($C$96:$AL$96,1,4)</f>
        <v/>
      </c>
      <c r="Q228" s="24">
        <f>$M$114*INDEX($C$96:$AL$96,1,5)</f>
        <v/>
      </c>
      <c r="R228" s="24">
        <f>$M$114*INDEX($C$96:$AL$96,1,6)</f>
        <v/>
      </c>
      <c r="S228" s="24">
        <f>$M$114*INDEX($C$96:$AL$96,1,7)</f>
        <v/>
      </c>
      <c r="T228" s="24">
        <f>$M$114*INDEX($C$96:$AL$96,1,8)</f>
        <v/>
      </c>
      <c r="U228" s="24">
        <f>$M$114*INDEX($C$96:$AL$96,1,9)</f>
        <v/>
      </c>
      <c r="V228" s="24">
        <f>$M$114*INDEX($C$96:$AL$96,1,10)</f>
        <v/>
      </c>
      <c r="W228" s="24">
        <f>$M$114*INDEX($C$96:$AL$96,1,11)</f>
        <v/>
      </c>
      <c r="X228" s="24">
        <f>$M$114*INDEX($C$96:$AL$96,1,12)</f>
        <v/>
      </c>
      <c r="Y228" s="24">
        <f>$M$114*INDEX($C$96:$AL$96,1,13)</f>
        <v/>
      </c>
      <c r="Z228" s="24">
        <f>$M$114*INDEX($C$96:$AL$96,1,14)</f>
        <v/>
      </c>
      <c r="AA228" s="24">
        <f>$M$114*INDEX($C$96:$AL$96,1,15)</f>
        <v/>
      </c>
      <c r="AB228" s="24">
        <f>$M$114*INDEX($C$96:$AL$96,1,16)</f>
        <v/>
      </c>
      <c r="AC228" s="24">
        <f>$M$114*INDEX($C$96:$AL$96,1,17)</f>
        <v/>
      </c>
      <c r="AD228" s="24">
        <f>$M$114*INDEX($C$96:$AL$96,1,18)</f>
        <v/>
      </c>
      <c r="AE228" s="24">
        <f>$M$114*INDEX($C$96:$AL$96,1,19)</f>
        <v/>
      </c>
      <c r="AF228" s="24">
        <f>$M$114*INDEX($C$96:$AL$96,1,20)</f>
        <v/>
      </c>
    </row>
    <row r="229">
      <c r="A229" s="4" t="inlineStr">
        <is>
          <t>Coorte del mese 12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>
        <f>$N$114*INDEX($C$96:$AL$96,1,1)</f>
        <v/>
      </c>
      <c r="O229" s="24">
        <f>$N$114*INDEX($C$96:$AL$96,1,2)</f>
        <v/>
      </c>
      <c r="P229" s="24">
        <f>$N$114*INDEX($C$96:$AL$96,1,3)</f>
        <v/>
      </c>
      <c r="Q229" s="24">
        <f>$N$114*INDEX($C$96:$AL$96,1,4)</f>
        <v/>
      </c>
      <c r="R229" s="24">
        <f>$N$114*INDEX($C$96:$AL$96,1,5)</f>
        <v/>
      </c>
      <c r="S229" s="24">
        <f>$N$114*INDEX($C$96:$AL$96,1,6)</f>
        <v/>
      </c>
      <c r="T229" s="24">
        <f>$N$114*INDEX($C$96:$AL$96,1,7)</f>
        <v/>
      </c>
      <c r="U229" s="24">
        <f>$N$114*INDEX($C$96:$AL$96,1,8)</f>
        <v/>
      </c>
      <c r="V229" s="24">
        <f>$N$114*INDEX($C$96:$AL$96,1,9)</f>
        <v/>
      </c>
      <c r="W229" s="24">
        <f>$N$114*INDEX($C$96:$AL$96,1,10)</f>
        <v/>
      </c>
      <c r="X229" s="24">
        <f>$N$114*INDEX($C$96:$AL$96,1,11)</f>
        <v/>
      </c>
      <c r="Y229" s="24">
        <f>$N$114*INDEX($C$96:$AL$96,1,12)</f>
        <v/>
      </c>
      <c r="Z229" s="24">
        <f>$N$114*INDEX($C$96:$AL$96,1,13)</f>
        <v/>
      </c>
      <c r="AA229" s="24">
        <f>$N$114*INDEX($C$96:$AL$96,1,14)</f>
        <v/>
      </c>
      <c r="AB229" s="24">
        <f>$N$114*INDEX($C$96:$AL$96,1,15)</f>
        <v/>
      </c>
      <c r="AC229" s="24">
        <f>$N$114*INDEX($C$96:$AL$96,1,16)</f>
        <v/>
      </c>
      <c r="AD229" s="24">
        <f>$N$114*INDEX($C$96:$AL$96,1,17)</f>
        <v/>
      </c>
      <c r="AE229" s="24">
        <f>$N$114*INDEX($C$96:$AL$96,1,18)</f>
        <v/>
      </c>
      <c r="AF229" s="24">
        <f>$N$114*INDEX($C$96:$AL$96,1,19)</f>
        <v/>
      </c>
    </row>
    <row r="230">
      <c r="A230" s="4" t="inlineStr">
        <is>
          <t>Coorte del mese 13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>
        <f>$O$114*INDEX($C$96:$AL$96,1,1)</f>
        <v/>
      </c>
      <c r="P230" s="24">
        <f>$O$114*INDEX($C$96:$AL$96,1,2)</f>
        <v/>
      </c>
      <c r="Q230" s="24">
        <f>$O$114*INDEX($C$96:$AL$96,1,3)</f>
        <v/>
      </c>
      <c r="R230" s="24">
        <f>$O$114*INDEX($C$96:$AL$96,1,4)</f>
        <v/>
      </c>
      <c r="S230" s="24">
        <f>$O$114*INDEX($C$96:$AL$96,1,5)</f>
        <v/>
      </c>
      <c r="T230" s="24">
        <f>$O$114*INDEX($C$96:$AL$96,1,6)</f>
        <v/>
      </c>
      <c r="U230" s="24">
        <f>$O$114*INDEX($C$96:$AL$96,1,7)</f>
        <v/>
      </c>
      <c r="V230" s="24">
        <f>$O$114*INDEX($C$96:$AL$96,1,8)</f>
        <v/>
      </c>
      <c r="W230" s="24">
        <f>$O$114*INDEX($C$96:$AL$96,1,9)</f>
        <v/>
      </c>
      <c r="X230" s="24">
        <f>$O$114*INDEX($C$96:$AL$96,1,10)</f>
        <v/>
      </c>
      <c r="Y230" s="24">
        <f>$O$114*INDEX($C$96:$AL$96,1,11)</f>
        <v/>
      </c>
      <c r="Z230" s="24">
        <f>$O$114*INDEX($C$96:$AL$96,1,12)</f>
        <v/>
      </c>
      <c r="AA230" s="24">
        <f>$O$114*INDEX($C$96:$AL$96,1,13)</f>
        <v/>
      </c>
      <c r="AB230" s="24">
        <f>$O$114*INDEX($C$96:$AL$96,1,14)</f>
        <v/>
      </c>
      <c r="AC230" s="24">
        <f>$O$114*INDEX($C$96:$AL$96,1,15)</f>
        <v/>
      </c>
      <c r="AD230" s="24">
        <f>$O$114*INDEX($C$96:$AL$96,1,16)</f>
        <v/>
      </c>
      <c r="AE230" s="24">
        <f>$O$114*INDEX($C$96:$AL$96,1,17)</f>
        <v/>
      </c>
      <c r="AF230" s="24">
        <f>$O$114*INDEX($C$96:$AL$96,1,18)</f>
        <v/>
      </c>
    </row>
    <row r="231">
      <c r="A231" s="4" t="inlineStr">
        <is>
          <t>Coorte del mese 14</t>
        </is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>
        <f>$P$114*INDEX($C$96:$AL$96,1,1)</f>
        <v/>
      </c>
      <c r="Q231" s="24">
        <f>$P$114*INDEX($C$96:$AL$96,1,2)</f>
        <v/>
      </c>
      <c r="R231" s="24">
        <f>$P$114*INDEX($C$96:$AL$96,1,3)</f>
        <v/>
      </c>
      <c r="S231" s="24">
        <f>$P$114*INDEX($C$96:$AL$96,1,4)</f>
        <v/>
      </c>
      <c r="T231" s="24">
        <f>$P$114*INDEX($C$96:$AL$96,1,5)</f>
        <v/>
      </c>
      <c r="U231" s="24">
        <f>$P$114*INDEX($C$96:$AL$96,1,6)</f>
        <v/>
      </c>
      <c r="V231" s="24">
        <f>$P$114*INDEX($C$96:$AL$96,1,7)</f>
        <v/>
      </c>
      <c r="W231" s="24">
        <f>$P$114*INDEX($C$96:$AL$96,1,8)</f>
        <v/>
      </c>
      <c r="X231" s="24">
        <f>$P$114*INDEX($C$96:$AL$96,1,9)</f>
        <v/>
      </c>
      <c r="Y231" s="24">
        <f>$P$114*INDEX($C$96:$AL$96,1,10)</f>
        <v/>
      </c>
      <c r="Z231" s="24">
        <f>$P$114*INDEX($C$96:$AL$96,1,11)</f>
        <v/>
      </c>
      <c r="AA231" s="24">
        <f>$P$114*INDEX($C$96:$AL$96,1,12)</f>
        <v/>
      </c>
      <c r="AB231" s="24">
        <f>$P$114*INDEX($C$96:$AL$96,1,13)</f>
        <v/>
      </c>
      <c r="AC231" s="24">
        <f>$P$114*INDEX($C$96:$AL$96,1,14)</f>
        <v/>
      </c>
      <c r="AD231" s="24">
        <f>$P$114*INDEX($C$96:$AL$96,1,15)</f>
        <v/>
      </c>
      <c r="AE231" s="24">
        <f>$P$114*INDEX($C$96:$AL$96,1,16)</f>
        <v/>
      </c>
      <c r="AF231" s="24">
        <f>$P$114*INDEX($C$96:$AL$96,1,17)</f>
        <v/>
      </c>
    </row>
    <row r="232">
      <c r="A232" s="4" t="inlineStr">
        <is>
          <t>Coorte del mese 15</t>
        </is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>
        <f>$Q$114*INDEX($C$96:$AL$96,1,1)</f>
        <v/>
      </c>
      <c r="R232" s="24">
        <f>$Q$114*INDEX($C$96:$AL$96,1,2)</f>
        <v/>
      </c>
      <c r="S232" s="24">
        <f>$Q$114*INDEX($C$96:$AL$96,1,3)</f>
        <v/>
      </c>
      <c r="T232" s="24">
        <f>$Q$114*INDEX($C$96:$AL$96,1,4)</f>
        <v/>
      </c>
      <c r="U232" s="24">
        <f>$Q$114*INDEX($C$96:$AL$96,1,5)</f>
        <v/>
      </c>
      <c r="V232" s="24">
        <f>$Q$114*INDEX($C$96:$AL$96,1,6)</f>
        <v/>
      </c>
      <c r="W232" s="24">
        <f>$Q$114*INDEX($C$96:$AL$96,1,7)</f>
        <v/>
      </c>
      <c r="X232" s="24">
        <f>$Q$114*INDEX($C$96:$AL$96,1,8)</f>
        <v/>
      </c>
      <c r="Y232" s="24">
        <f>$Q$114*INDEX($C$96:$AL$96,1,9)</f>
        <v/>
      </c>
      <c r="Z232" s="24">
        <f>$Q$114*INDEX($C$96:$AL$96,1,10)</f>
        <v/>
      </c>
      <c r="AA232" s="24">
        <f>$Q$114*INDEX($C$96:$AL$96,1,11)</f>
        <v/>
      </c>
      <c r="AB232" s="24">
        <f>$Q$114*INDEX($C$96:$AL$96,1,12)</f>
        <v/>
      </c>
      <c r="AC232" s="24">
        <f>$Q$114*INDEX($C$96:$AL$96,1,13)</f>
        <v/>
      </c>
      <c r="AD232" s="24">
        <f>$Q$114*INDEX($C$96:$AL$96,1,14)</f>
        <v/>
      </c>
      <c r="AE232" s="24">
        <f>$Q$114*INDEX($C$96:$AL$96,1,15)</f>
        <v/>
      </c>
      <c r="AF232" s="24">
        <f>$Q$114*INDEX($C$96:$AL$96,1,16)</f>
        <v/>
      </c>
    </row>
    <row r="233">
      <c r="A233" s="4" t="inlineStr">
        <is>
          <t>Coorte del mese 16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>
        <f>$R$114*INDEX($C$96:$AL$96,1,1)</f>
        <v/>
      </c>
      <c r="S233" s="24">
        <f>$R$114*INDEX($C$96:$AL$96,1,2)</f>
        <v/>
      </c>
      <c r="T233" s="24">
        <f>$R$114*INDEX($C$96:$AL$96,1,3)</f>
        <v/>
      </c>
      <c r="U233" s="24">
        <f>$R$114*INDEX($C$96:$AL$96,1,4)</f>
        <v/>
      </c>
      <c r="V233" s="24">
        <f>$R$114*INDEX($C$96:$AL$96,1,5)</f>
        <v/>
      </c>
      <c r="W233" s="24">
        <f>$R$114*INDEX($C$96:$AL$96,1,6)</f>
        <v/>
      </c>
      <c r="X233" s="24">
        <f>$R$114*INDEX($C$96:$AL$96,1,7)</f>
        <v/>
      </c>
      <c r="Y233" s="24">
        <f>$R$114*INDEX($C$96:$AL$96,1,8)</f>
        <v/>
      </c>
      <c r="Z233" s="24">
        <f>$R$114*INDEX($C$96:$AL$96,1,9)</f>
        <v/>
      </c>
      <c r="AA233" s="24">
        <f>$R$114*INDEX($C$96:$AL$96,1,10)</f>
        <v/>
      </c>
      <c r="AB233" s="24">
        <f>$R$114*INDEX($C$96:$AL$96,1,11)</f>
        <v/>
      </c>
      <c r="AC233" s="24">
        <f>$R$114*INDEX($C$96:$AL$96,1,12)</f>
        <v/>
      </c>
      <c r="AD233" s="24">
        <f>$R$114*INDEX($C$96:$AL$96,1,13)</f>
        <v/>
      </c>
      <c r="AE233" s="24">
        <f>$R$114*INDEX($C$96:$AL$96,1,14)</f>
        <v/>
      </c>
      <c r="AF233" s="24">
        <f>$R$114*INDEX($C$96:$AL$96,1,15)</f>
        <v/>
      </c>
    </row>
    <row r="234">
      <c r="A234" s="4" t="inlineStr">
        <is>
          <t>Coorte del mese 17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>
        <f>$S$114*INDEX($C$96:$AL$96,1,1)</f>
        <v/>
      </c>
      <c r="T234" s="24">
        <f>$S$114*INDEX($C$96:$AL$96,1,2)</f>
        <v/>
      </c>
      <c r="U234" s="24">
        <f>$S$114*INDEX($C$96:$AL$96,1,3)</f>
        <v/>
      </c>
      <c r="V234" s="24">
        <f>$S$114*INDEX($C$96:$AL$96,1,4)</f>
        <v/>
      </c>
      <c r="W234" s="24">
        <f>$S$114*INDEX($C$96:$AL$96,1,5)</f>
        <v/>
      </c>
      <c r="X234" s="24">
        <f>$S$114*INDEX($C$96:$AL$96,1,6)</f>
        <v/>
      </c>
      <c r="Y234" s="24">
        <f>$S$114*INDEX($C$96:$AL$96,1,7)</f>
        <v/>
      </c>
      <c r="Z234" s="24">
        <f>$S$114*INDEX($C$96:$AL$96,1,8)</f>
        <v/>
      </c>
      <c r="AA234" s="24">
        <f>$S$114*INDEX($C$96:$AL$96,1,9)</f>
        <v/>
      </c>
      <c r="AB234" s="24">
        <f>$S$114*INDEX($C$96:$AL$96,1,10)</f>
        <v/>
      </c>
      <c r="AC234" s="24">
        <f>$S$114*INDEX($C$96:$AL$96,1,11)</f>
        <v/>
      </c>
      <c r="AD234" s="24">
        <f>$S$114*INDEX($C$96:$AL$96,1,12)</f>
        <v/>
      </c>
      <c r="AE234" s="24">
        <f>$S$114*INDEX($C$96:$AL$96,1,13)</f>
        <v/>
      </c>
      <c r="AF234" s="24">
        <f>$S$114*INDEX($C$96:$AL$96,1,14)</f>
        <v/>
      </c>
    </row>
    <row r="235">
      <c r="A235" s="4" t="inlineStr">
        <is>
          <t>Coorte del mese 18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>
        <f>$T$114*INDEX($C$96:$AL$96,1,1)</f>
        <v/>
      </c>
      <c r="U235" s="24">
        <f>$T$114*INDEX($C$96:$AL$96,1,2)</f>
        <v/>
      </c>
      <c r="V235" s="24">
        <f>$T$114*INDEX($C$96:$AL$96,1,3)</f>
        <v/>
      </c>
      <c r="W235" s="24">
        <f>$T$114*INDEX($C$96:$AL$96,1,4)</f>
        <v/>
      </c>
      <c r="X235" s="24">
        <f>$T$114*INDEX($C$96:$AL$96,1,5)</f>
        <v/>
      </c>
      <c r="Y235" s="24">
        <f>$T$114*INDEX($C$96:$AL$96,1,6)</f>
        <v/>
      </c>
      <c r="Z235" s="24">
        <f>$T$114*INDEX($C$96:$AL$96,1,7)</f>
        <v/>
      </c>
      <c r="AA235" s="24">
        <f>$T$114*INDEX($C$96:$AL$96,1,8)</f>
        <v/>
      </c>
      <c r="AB235" s="24">
        <f>$T$114*INDEX($C$96:$AL$96,1,9)</f>
        <v/>
      </c>
      <c r="AC235" s="24">
        <f>$T$114*INDEX($C$96:$AL$96,1,10)</f>
        <v/>
      </c>
      <c r="AD235" s="24">
        <f>$T$114*INDEX($C$96:$AL$96,1,11)</f>
        <v/>
      </c>
      <c r="AE235" s="24">
        <f>$T$114*INDEX($C$96:$AL$96,1,12)</f>
        <v/>
      </c>
      <c r="AF235" s="24">
        <f>$T$114*INDEX($C$96:$AL$96,1,13)</f>
        <v/>
      </c>
    </row>
    <row r="236">
      <c r="A236" s="4" t="inlineStr">
        <is>
          <t>Coorte del mese 19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>
        <f>$U$114*INDEX($C$96:$AL$96,1,1)</f>
        <v/>
      </c>
      <c r="V236" s="24">
        <f>$U$114*INDEX($C$96:$AL$96,1,2)</f>
        <v/>
      </c>
      <c r="W236" s="24">
        <f>$U$114*INDEX($C$96:$AL$96,1,3)</f>
        <v/>
      </c>
      <c r="X236" s="24">
        <f>$U$114*INDEX($C$96:$AL$96,1,4)</f>
        <v/>
      </c>
      <c r="Y236" s="24">
        <f>$U$114*INDEX($C$96:$AL$96,1,5)</f>
        <v/>
      </c>
      <c r="Z236" s="24">
        <f>$U$114*INDEX($C$96:$AL$96,1,6)</f>
        <v/>
      </c>
      <c r="AA236" s="24">
        <f>$U$114*INDEX($C$96:$AL$96,1,7)</f>
        <v/>
      </c>
      <c r="AB236" s="24">
        <f>$U$114*INDEX($C$96:$AL$96,1,8)</f>
        <v/>
      </c>
      <c r="AC236" s="24">
        <f>$U$114*INDEX($C$96:$AL$96,1,9)</f>
        <v/>
      </c>
      <c r="AD236" s="24">
        <f>$U$114*INDEX($C$96:$AL$96,1,10)</f>
        <v/>
      </c>
      <c r="AE236" s="24">
        <f>$U$114*INDEX($C$96:$AL$96,1,11)</f>
        <v/>
      </c>
      <c r="AF236" s="24">
        <f>$U$114*INDEX($C$96:$AL$96,1,12)</f>
        <v/>
      </c>
    </row>
    <row r="237">
      <c r="A237" s="4" t="inlineStr">
        <is>
          <t>Coorte del mese 20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>
        <f>$V$114*INDEX($C$96:$AL$96,1,1)</f>
        <v/>
      </c>
      <c r="W237" s="24">
        <f>$V$114*INDEX($C$96:$AL$96,1,2)</f>
        <v/>
      </c>
      <c r="X237" s="24">
        <f>$V$114*INDEX($C$96:$AL$96,1,3)</f>
        <v/>
      </c>
      <c r="Y237" s="24">
        <f>$V$114*INDEX($C$96:$AL$96,1,4)</f>
        <v/>
      </c>
      <c r="Z237" s="24">
        <f>$V$114*INDEX($C$96:$AL$96,1,5)</f>
        <v/>
      </c>
      <c r="AA237" s="24">
        <f>$V$114*INDEX($C$96:$AL$96,1,6)</f>
        <v/>
      </c>
      <c r="AB237" s="24">
        <f>$V$114*INDEX($C$96:$AL$96,1,7)</f>
        <v/>
      </c>
      <c r="AC237" s="24">
        <f>$V$114*INDEX($C$96:$AL$96,1,8)</f>
        <v/>
      </c>
      <c r="AD237" s="24">
        <f>$V$114*INDEX($C$96:$AL$96,1,9)</f>
        <v/>
      </c>
      <c r="AE237" s="24">
        <f>$V$114*INDEX($C$96:$AL$96,1,10)</f>
        <v/>
      </c>
      <c r="AF237" s="24">
        <f>$V$114*INDEX($C$96:$AL$96,1,11)</f>
        <v/>
      </c>
    </row>
    <row r="238">
      <c r="A238" s="4" t="inlineStr">
        <is>
          <t>Coorte del mese 21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>
        <f>$W$114*INDEX($C$96:$AL$96,1,1)</f>
        <v/>
      </c>
      <c r="X238" s="24">
        <f>$W$114*INDEX($C$96:$AL$96,1,2)</f>
        <v/>
      </c>
      <c r="Y238" s="24">
        <f>$W$114*INDEX($C$96:$AL$96,1,3)</f>
        <v/>
      </c>
      <c r="Z238" s="24">
        <f>$W$114*INDEX($C$96:$AL$96,1,4)</f>
        <v/>
      </c>
      <c r="AA238" s="24">
        <f>$W$114*INDEX($C$96:$AL$96,1,5)</f>
        <v/>
      </c>
      <c r="AB238" s="24">
        <f>$W$114*INDEX($C$96:$AL$96,1,6)</f>
        <v/>
      </c>
      <c r="AC238" s="24">
        <f>$W$114*INDEX($C$96:$AL$96,1,7)</f>
        <v/>
      </c>
      <c r="AD238" s="24">
        <f>$W$114*INDEX($C$96:$AL$96,1,8)</f>
        <v/>
      </c>
      <c r="AE238" s="24">
        <f>$W$114*INDEX($C$96:$AL$96,1,9)</f>
        <v/>
      </c>
      <c r="AF238" s="24">
        <f>$W$114*INDEX($C$96:$AL$96,1,10)</f>
        <v/>
      </c>
    </row>
    <row r="239">
      <c r="A239" s="4" t="inlineStr">
        <is>
          <t>Coorte del mese 22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>
        <f>$X$114*INDEX($C$96:$AL$96,1,1)</f>
        <v/>
      </c>
      <c r="Y239" s="24">
        <f>$X$114*INDEX($C$96:$AL$96,1,2)</f>
        <v/>
      </c>
      <c r="Z239" s="24">
        <f>$X$114*INDEX($C$96:$AL$96,1,3)</f>
        <v/>
      </c>
      <c r="AA239" s="24">
        <f>$X$114*INDEX($C$96:$AL$96,1,4)</f>
        <v/>
      </c>
      <c r="AB239" s="24">
        <f>$X$114*INDEX($C$96:$AL$96,1,5)</f>
        <v/>
      </c>
      <c r="AC239" s="24">
        <f>$X$114*INDEX($C$96:$AL$96,1,6)</f>
        <v/>
      </c>
      <c r="AD239" s="24">
        <f>$X$114*INDEX($C$96:$AL$96,1,7)</f>
        <v/>
      </c>
      <c r="AE239" s="24">
        <f>$X$114*INDEX($C$96:$AL$96,1,8)</f>
        <v/>
      </c>
      <c r="AF239" s="24">
        <f>$X$114*INDEX($C$96:$AL$96,1,9)</f>
        <v/>
      </c>
    </row>
    <row r="240">
      <c r="A240" s="4" t="inlineStr">
        <is>
          <t>Coorte del mese 23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>
        <f>$Y$114*INDEX($C$96:$AL$96,1,1)</f>
        <v/>
      </c>
      <c r="Z240" s="24">
        <f>$Y$114*INDEX($C$96:$AL$96,1,2)</f>
        <v/>
      </c>
      <c r="AA240" s="24">
        <f>$Y$114*INDEX($C$96:$AL$96,1,3)</f>
        <v/>
      </c>
      <c r="AB240" s="24">
        <f>$Y$114*INDEX($C$96:$AL$96,1,4)</f>
        <v/>
      </c>
      <c r="AC240" s="24">
        <f>$Y$114*INDEX($C$96:$AL$96,1,5)</f>
        <v/>
      </c>
      <c r="AD240" s="24">
        <f>$Y$114*INDEX($C$96:$AL$96,1,6)</f>
        <v/>
      </c>
      <c r="AE240" s="24">
        <f>$Y$114*INDEX($C$96:$AL$96,1,7)</f>
        <v/>
      </c>
      <c r="AF240" s="24">
        <f>$Y$114*INDEX($C$96:$AL$96,1,8)</f>
        <v/>
      </c>
    </row>
    <row r="241">
      <c r="A241" s="4" t="inlineStr">
        <is>
          <t>Coorte del mese 24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>
        <f>$Z$114*INDEX($C$96:$AL$96,1,1)</f>
        <v/>
      </c>
      <c r="AA241" s="24">
        <f>$Z$114*INDEX($C$96:$AL$96,1,2)</f>
        <v/>
      </c>
      <c r="AB241" s="24">
        <f>$Z$114*INDEX($C$96:$AL$96,1,3)</f>
        <v/>
      </c>
      <c r="AC241" s="24">
        <f>$Z$114*INDEX($C$96:$AL$96,1,4)</f>
        <v/>
      </c>
      <c r="AD241" s="24">
        <f>$Z$114*INDEX($C$96:$AL$96,1,5)</f>
        <v/>
      </c>
      <c r="AE241" s="24">
        <f>$Z$114*INDEX($C$96:$AL$96,1,6)</f>
        <v/>
      </c>
      <c r="AF241" s="24">
        <f>$Z$114*INDEX($C$96:$AL$96,1,7)</f>
        <v/>
      </c>
    </row>
    <row r="242">
      <c r="A242" s="4" t="inlineStr">
        <is>
          <t>Coorte del mese 25</t>
        </is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>
        <f>$AA$114*INDEX($C$96:$AL$96,1,1)</f>
        <v/>
      </c>
      <c r="AB242" s="24">
        <f>$AA$114*INDEX($C$96:$AL$96,1,2)</f>
        <v/>
      </c>
      <c r="AC242" s="24">
        <f>$AA$114*INDEX($C$96:$AL$96,1,3)</f>
        <v/>
      </c>
      <c r="AD242" s="24">
        <f>$AA$114*INDEX($C$96:$AL$96,1,4)</f>
        <v/>
      </c>
      <c r="AE242" s="24">
        <f>$AA$114*INDEX($C$96:$AL$96,1,5)</f>
        <v/>
      </c>
      <c r="AF242" s="24">
        <f>$AA$114*INDEX($C$96:$AL$96,1,6)</f>
        <v/>
      </c>
    </row>
    <row r="243">
      <c r="A243" s="4" t="inlineStr">
        <is>
          <t>Coorte del mese 26</t>
        </is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>
        <f>$AB$114*INDEX($C$96:$AL$96,1,1)</f>
        <v/>
      </c>
      <c r="AC243" s="24">
        <f>$AB$114*INDEX($C$96:$AL$96,1,2)</f>
        <v/>
      </c>
      <c r="AD243" s="24">
        <f>$AB$114*INDEX($C$96:$AL$96,1,3)</f>
        <v/>
      </c>
      <c r="AE243" s="24">
        <f>$AB$114*INDEX($C$96:$AL$96,1,4)</f>
        <v/>
      </c>
      <c r="AF243" s="24">
        <f>$AB$114*INDEX($C$96:$AL$96,1,5)</f>
        <v/>
      </c>
    </row>
    <row r="244">
      <c r="A244" s="4" t="inlineStr">
        <is>
          <t>Coorte del mese 27</t>
        </is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>
        <f>$AC$114*INDEX($C$96:$AL$96,1,1)</f>
        <v/>
      </c>
      <c r="AD244" s="24">
        <f>$AC$114*INDEX($C$96:$AL$96,1,2)</f>
        <v/>
      </c>
      <c r="AE244" s="24">
        <f>$AC$114*INDEX($C$96:$AL$96,1,3)</f>
        <v/>
      </c>
      <c r="AF244" s="24">
        <f>$AC$114*INDEX($C$96:$AL$96,1,4)</f>
        <v/>
      </c>
    </row>
    <row r="245">
      <c r="A245" s="4" t="inlineStr">
        <is>
          <t>Coorte del mese 28</t>
        </is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0</v>
      </c>
      <c r="AC245" s="24" t="n">
        <v>0</v>
      </c>
      <c r="AD245" s="24">
        <f>$AD$114*INDEX($C$96:$AL$96,1,1)</f>
        <v/>
      </c>
      <c r="AE245" s="24">
        <f>$AD$114*INDEX($C$96:$AL$96,1,2)</f>
        <v/>
      </c>
      <c r="AF245" s="24">
        <f>$AD$114*INDEX($C$96:$AL$96,1,3)</f>
        <v/>
      </c>
    </row>
    <row r="246">
      <c r="A246" s="4" t="inlineStr">
        <is>
          <t>Coorte del mese 29</t>
        </is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4" t="n">
        <v>0</v>
      </c>
      <c r="AD246" s="24" t="n">
        <v>0</v>
      </c>
      <c r="AE246" s="24">
        <f>$AE$114*INDEX($C$96:$AL$96,1,1)</f>
        <v/>
      </c>
      <c r="AF246" s="24">
        <f>$AE$114*INDEX($C$96:$AL$96,1,2)</f>
        <v/>
      </c>
    </row>
    <row r="247">
      <c r="A247" s="4" t="inlineStr">
        <is>
          <t>Coorte del mese 30</t>
        </is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>
        <f>$AF$114*INDEX($C$96:$AL$96,1,1)</f>
        <v/>
      </c>
    </row>
    <row r="248">
      <c r="A248" s="3" t="inlineStr">
        <is>
          <t>Totale abbonamento: ordini</t>
        </is>
      </c>
      <c r="C248" s="25">
        <f>SUM(C218:C247)</f>
        <v/>
      </c>
      <c r="D248" s="25">
        <f>SUM(D218:D247)</f>
        <v/>
      </c>
      <c r="E248" s="25">
        <f>SUM(E218:E247)</f>
        <v/>
      </c>
      <c r="F248" s="25">
        <f>SUM(F218:F247)</f>
        <v/>
      </c>
      <c r="G248" s="25">
        <f>SUM(G218:G247)</f>
        <v/>
      </c>
      <c r="H248" s="25">
        <f>SUM(H218:H247)</f>
        <v/>
      </c>
      <c r="I248" s="25">
        <f>SUM(I218:I247)</f>
        <v/>
      </c>
      <c r="J248" s="25">
        <f>SUM(J218:J247)</f>
        <v/>
      </c>
      <c r="K248" s="25">
        <f>SUM(K218:K247)</f>
        <v/>
      </c>
      <c r="L248" s="25">
        <f>SUM(L218:L247)</f>
        <v/>
      </c>
      <c r="M248" s="25">
        <f>SUM(M218:M247)</f>
        <v/>
      </c>
      <c r="N248" s="25">
        <f>SUM(N218:N247)</f>
        <v/>
      </c>
      <c r="O248" s="25">
        <f>SUM(O218:O247)</f>
        <v/>
      </c>
      <c r="P248" s="25">
        <f>SUM(P218:P247)</f>
        <v/>
      </c>
      <c r="Q248" s="25">
        <f>SUM(Q218:Q247)</f>
        <v/>
      </c>
      <c r="R248" s="25">
        <f>SUM(R218:R247)</f>
        <v/>
      </c>
      <c r="S248" s="25">
        <f>SUM(S218:S247)</f>
        <v/>
      </c>
      <c r="T248" s="25">
        <f>SUM(T218:T247)</f>
        <v/>
      </c>
      <c r="U248" s="25">
        <f>SUM(U218:U247)</f>
        <v/>
      </c>
      <c r="V248" s="25">
        <f>SUM(V218:V247)</f>
        <v/>
      </c>
      <c r="W248" s="25">
        <f>SUM(W218:W247)</f>
        <v/>
      </c>
      <c r="X248" s="25">
        <f>SUM(X218:X247)</f>
        <v/>
      </c>
      <c r="Y248" s="25">
        <f>SUM(Y218:Y247)</f>
        <v/>
      </c>
      <c r="Z248" s="25">
        <f>SUM(Z218:Z247)</f>
        <v/>
      </c>
      <c r="AA248" s="25">
        <f>SUM(AA218:AA247)</f>
        <v/>
      </c>
      <c r="AB248" s="25">
        <f>SUM(AB218:AB247)</f>
        <v/>
      </c>
      <c r="AC248" s="25">
        <f>SUM(AC218:AC247)</f>
        <v/>
      </c>
      <c r="AD248" s="25">
        <f>SUM(AD218:AD247)</f>
        <v/>
      </c>
      <c r="AE248" s="25">
        <f>SUM(AE218:AE247)</f>
        <v/>
      </c>
      <c r="AF248" s="25">
        <f>SUM(AF218:AF247)</f>
        <v/>
      </c>
    </row>
    <row r="250">
      <c r="A250" s="10" t="inlineStr">
        <is>
          <t>Singolo: ordini per coorte (righe = mese di acquisizione, colonne = mese di calendario)</t>
        </is>
      </c>
    </row>
    <row r="251">
      <c r="A251" s="4" t="inlineStr">
        <is>
          <t>Coorte del mese 1</t>
        </is>
      </c>
      <c r="C251" s="24">
        <f>$C$115*INDEX($C$97:$AL$97,1,1)</f>
        <v/>
      </c>
      <c r="D251" s="24">
        <f>$C$115*INDEX($C$97:$AL$97,1,2)</f>
        <v/>
      </c>
      <c r="E251" s="24">
        <f>$C$115*INDEX($C$97:$AL$97,1,3)</f>
        <v/>
      </c>
      <c r="F251" s="24">
        <f>$C$115*INDEX($C$97:$AL$97,1,4)</f>
        <v/>
      </c>
      <c r="G251" s="24">
        <f>$C$115*INDEX($C$97:$AL$97,1,5)</f>
        <v/>
      </c>
      <c r="H251" s="24">
        <f>$C$115*INDEX($C$97:$AL$97,1,6)</f>
        <v/>
      </c>
      <c r="I251" s="24">
        <f>$C$115*INDEX($C$97:$AL$97,1,7)</f>
        <v/>
      </c>
      <c r="J251" s="24">
        <f>$C$115*INDEX($C$97:$AL$97,1,8)</f>
        <v/>
      </c>
      <c r="K251" s="24">
        <f>$C$115*INDEX($C$97:$AL$97,1,9)</f>
        <v/>
      </c>
      <c r="L251" s="24">
        <f>$C$115*INDEX($C$97:$AL$97,1,10)</f>
        <v/>
      </c>
      <c r="M251" s="24">
        <f>$C$115*INDEX($C$97:$AL$97,1,11)</f>
        <v/>
      </c>
      <c r="N251" s="24">
        <f>$C$115*INDEX($C$97:$AL$97,1,12)</f>
        <v/>
      </c>
      <c r="O251" s="24">
        <f>$C$115*INDEX($C$97:$AL$97,1,13)</f>
        <v/>
      </c>
      <c r="P251" s="24">
        <f>$C$115*INDEX($C$97:$AL$97,1,14)</f>
        <v/>
      </c>
      <c r="Q251" s="24">
        <f>$C$115*INDEX($C$97:$AL$97,1,15)</f>
        <v/>
      </c>
      <c r="R251" s="24">
        <f>$C$115*INDEX($C$97:$AL$97,1,16)</f>
        <v/>
      </c>
      <c r="S251" s="24">
        <f>$C$115*INDEX($C$97:$AL$97,1,17)</f>
        <v/>
      </c>
      <c r="T251" s="24">
        <f>$C$115*INDEX($C$97:$AL$97,1,18)</f>
        <v/>
      </c>
      <c r="U251" s="24">
        <f>$C$115*INDEX($C$97:$AL$97,1,19)</f>
        <v/>
      </c>
      <c r="V251" s="24">
        <f>$C$115*INDEX($C$97:$AL$97,1,20)</f>
        <v/>
      </c>
      <c r="W251" s="24">
        <f>$C$115*INDEX($C$97:$AL$97,1,21)</f>
        <v/>
      </c>
      <c r="X251" s="24">
        <f>$C$115*INDEX($C$97:$AL$97,1,22)</f>
        <v/>
      </c>
      <c r="Y251" s="24">
        <f>$C$115*INDEX($C$97:$AL$97,1,23)</f>
        <v/>
      </c>
      <c r="Z251" s="24">
        <f>$C$115*INDEX($C$97:$AL$97,1,24)</f>
        <v/>
      </c>
      <c r="AA251" s="24">
        <f>$C$115*INDEX($C$97:$AL$97,1,25)</f>
        <v/>
      </c>
      <c r="AB251" s="24">
        <f>$C$115*INDEX($C$97:$AL$97,1,26)</f>
        <v/>
      </c>
      <c r="AC251" s="24">
        <f>$C$115*INDEX($C$97:$AL$97,1,27)</f>
        <v/>
      </c>
      <c r="AD251" s="24">
        <f>$C$115*INDEX($C$97:$AL$97,1,28)</f>
        <v/>
      </c>
      <c r="AE251" s="24">
        <f>$C$115*INDEX($C$97:$AL$97,1,29)</f>
        <v/>
      </c>
      <c r="AF251" s="24">
        <f>$C$115*INDEX($C$97:$AL$97,1,30)</f>
        <v/>
      </c>
    </row>
    <row r="252">
      <c r="A252" s="4" t="inlineStr">
        <is>
          <t>Coorte del mese 2</t>
        </is>
      </c>
      <c r="C252" s="24" t="n">
        <v>0</v>
      </c>
      <c r="D252" s="24">
        <f>$D$115*INDEX($C$97:$AL$97,1,1)</f>
        <v/>
      </c>
      <c r="E252" s="24">
        <f>$D$115*INDEX($C$97:$AL$97,1,2)</f>
        <v/>
      </c>
      <c r="F252" s="24">
        <f>$D$115*INDEX($C$97:$AL$97,1,3)</f>
        <v/>
      </c>
      <c r="G252" s="24">
        <f>$D$115*INDEX($C$97:$AL$97,1,4)</f>
        <v/>
      </c>
      <c r="H252" s="24">
        <f>$D$115*INDEX($C$97:$AL$97,1,5)</f>
        <v/>
      </c>
      <c r="I252" s="24">
        <f>$D$115*INDEX($C$97:$AL$97,1,6)</f>
        <v/>
      </c>
      <c r="J252" s="24">
        <f>$D$115*INDEX($C$97:$AL$97,1,7)</f>
        <v/>
      </c>
      <c r="K252" s="24">
        <f>$D$115*INDEX($C$97:$AL$97,1,8)</f>
        <v/>
      </c>
      <c r="L252" s="24">
        <f>$D$115*INDEX($C$97:$AL$97,1,9)</f>
        <v/>
      </c>
      <c r="M252" s="24">
        <f>$D$115*INDEX($C$97:$AL$97,1,10)</f>
        <v/>
      </c>
      <c r="N252" s="24">
        <f>$D$115*INDEX($C$97:$AL$97,1,11)</f>
        <v/>
      </c>
      <c r="O252" s="24">
        <f>$D$115*INDEX($C$97:$AL$97,1,12)</f>
        <v/>
      </c>
      <c r="P252" s="24">
        <f>$D$115*INDEX($C$97:$AL$97,1,13)</f>
        <v/>
      </c>
      <c r="Q252" s="24">
        <f>$D$115*INDEX($C$97:$AL$97,1,14)</f>
        <v/>
      </c>
      <c r="R252" s="24">
        <f>$D$115*INDEX($C$97:$AL$97,1,15)</f>
        <v/>
      </c>
      <c r="S252" s="24">
        <f>$D$115*INDEX($C$97:$AL$97,1,16)</f>
        <v/>
      </c>
      <c r="T252" s="24">
        <f>$D$115*INDEX($C$97:$AL$97,1,17)</f>
        <v/>
      </c>
      <c r="U252" s="24">
        <f>$D$115*INDEX($C$97:$AL$97,1,18)</f>
        <v/>
      </c>
      <c r="V252" s="24">
        <f>$D$115*INDEX($C$97:$AL$97,1,19)</f>
        <v/>
      </c>
      <c r="W252" s="24">
        <f>$D$115*INDEX($C$97:$AL$97,1,20)</f>
        <v/>
      </c>
      <c r="X252" s="24">
        <f>$D$115*INDEX($C$97:$AL$97,1,21)</f>
        <v/>
      </c>
      <c r="Y252" s="24">
        <f>$D$115*INDEX($C$97:$AL$97,1,22)</f>
        <v/>
      </c>
      <c r="Z252" s="24">
        <f>$D$115*INDEX($C$97:$AL$97,1,23)</f>
        <v/>
      </c>
      <c r="AA252" s="24">
        <f>$D$115*INDEX($C$97:$AL$97,1,24)</f>
        <v/>
      </c>
      <c r="AB252" s="24">
        <f>$D$115*INDEX($C$97:$AL$97,1,25)</f>
        <v/>
      </c>
      <c r="AC252" s="24">
        <f>$D$115*INDEX($C$97:$AL$97,1,26)</f>
        <v/>
      </c>
      <c r="AD252" s="24">
        <f>$D$115*INDEX($C$97:$AL$97,1,27)</f>
        <v/>
      </c>
      <c r="AE252" s="24">
        <f>$D$115*INDEX($C$97:$AL$97,1,28)</f>
        <v/>
      </c>
      <c r="AF252" s="24">
        <f>$D$115*INDEX($C$97:$AL$97,1,29)</f>
        <v/>
      </c>
    </row>
    <row r="253">
      <c r="A253" s="4" t="inlineStr">
        <is>
          <t>Coorte del mese 3</t>
        </is>
      </c>
      <c r="C253" s="24" t="n">
        <v>0</v>
      </c>
      <c r="D253" s="24" t="n">
        <v>0</v>
      </c>
      <c r="E253" s="24">
        <f>$E$115*INDEX($C$97:$AL$97,1,1)</f>
        <v/>
      </c>
      <c r="F253" s="24">
        <f>$E$115*INDEX($C$97:$AL$97,1,2)</f>
        <v/>
      </c>
      <c r="G253" s="24">
        <f>$E$115*INDEX($C$97:$AL$97,1,3)</f>
        <v/>
      </c>
      <c r="H253" s="24">
        <f>$E$115*INDEX($C$97:$AL$97,1,4)</f>
        <v/>
      </c>
      <c r="I253" s="24">
        <f>$E$115*INDEX($C$97:$AL$97,1,5)</f>
        <v/>
      </c>
      <c r="J253" s="24">
        <f>$E$115*INDEX($C$97:$AL$97,1,6)</f>
        <v/>
      </c>
      <c r="K253" s="24">
        <f>$E$115*INDEX($C$97:$AL$97,1,7)</f>
        <v/>
      </c>
      <c r="L253" s="24">
        <f>$E$115*INDEX($C$97:$AL$97,1,8)</f>
        <v/>
      </c>
      <c r="M253" s="24">
        <f>$E$115*INDEX($C$97:$AL$97,1,9)</f>
        <v/>
      </c>
      <c r="N253" s="24">
        <f>$E$115*INDEX($C$97:$AL$97,1,10)</f>
        <v/>
      </c>
      <c r="O253" s="24">
        <f>$E$115*INDEX($C$97:$AL$97,1,11)</f>
        <v/>
      </c>
      <c r="P253" s="24">
        <f>$E$115*INDEX($C$97:$AL$97,1,12)</f>
        <v/>
      </c>
      <c r="Q253" s="24">
        <f>$E$115*INDEX($C$97:$AL$97,1,13)</f>
        <v/>
      </c>
      <c r="R253" s="24">
        <f>$E$115*INDEX($C$97:$AL$97,1,14)</f>
        <v/>
      </c>
      <c r="S253" s="24">
        <f>$E$115*INDEX($C$97:$AL$97,1,15)</f>
        <v/>
      </c>
      <c r="T253" s="24">
        <f>$E$115*INDEX($C$97:$AL$97,1,16)</f>
        <v/>
      </c>
      <c r="U253" s="24">
        <f>$E$115*INDEX($C$97:$AL$97,1,17)</f>
        <v/>
      </c>
      <c r="V253" s="24">
        <f>$E$115*INDEX($C$97:$AL$97,1,18)</f>
        <v/>
      </c>
      <c r="W253" s="24">
        <f>$E$115*INDEX($C$97:$AL$97,1,19)</f>
        <v/>
      </c>
      <c r="X253" s="24">
        <f>$E$115*INDEX($C$97:$AL$97,1,20)</f>
        <v/>
      </c>
      <c r="Y253" s="24">
        <f>$E$115*INDEX($C$97:$AL$97,1,21)</f>
        <v/>
      </c>
      <c r="Z253" s="24">
        <f>$E$115*INDEX($C$97:$AL$97,1,22)</f>
        <v/>
      </c>
      <c r="AA253" s="24">
        <f>$E$115*INDEX($C$97:$AL$97,1,23)</f>
        <v/>
      </c>
      <c r="AB253" s="24">
        <f>$E$115*INDEX($C$97:$AL$97,1,24)</f>
        <v/>
      </c>
      <c r="AC253" s="24">
        <f>$E$115*INDEX($C$97:$AL$97,1,25)</f>
        <v/>
      </c>
      <c r="AD253" s="24">
        <f>$E$115*INDEX($C$97:$AL$97,1,26)</f>
        <v/>
      </c>
      <c r="AE253" s="24">
        <f>$E$115*INDEX($C$97:$AL$97,1,27)</f>
        <v/>
      </c>
      <c r="AF253" s="24">
        <f>$E$115*INDEX($C$97:$AL$97,1,28)</f>
        <v/>
      </c>
    </row>
    <row r="254">
      <c r="A254" s="4" t="inlineStr">
        <is>
          <t>Coorte del mese 4</t>
        </is>
      </c>
      <c r="C254" s="24" t="n">
        <v>0</v>
      </c>
      <c r="D254" s="24" t="n">
        <v>0</v>
      </c>
      <c r="E254" s="24" t="n">
        <v>0</v>
      </c>
      <c r="F254" s="24">
        <f>$F$115*INDEX($C$97:$AL$97,1,1)</f>
        <v/>
      </c>
      <c r="G254" s="24">
        <f>$F$115*INDEX($C$97:$AL$97,1,2)</f>
        <v/>
      </c>
      <c r="H254" s="24">
        <f>$F$115*INDEX($C$97:$AL$97,1,3)</f>
        <v/>
      </c>
      <c r="I254" s="24">
        <f>$F$115*INDEX($C$97:$AL$97,1,4)</f>
        <v/>
      </c>
      <c r="J254" s="24">
        <f>$F$115*INDEX($C$97:$AL$97,1,5)</f>
        <v/>
      </c>
      <c r="K254" s="24">
        <f>$F$115*INDEX($C$97:$AL$97,1,6)</f>
        <v/>
      </c>
      <c r="L254" s="24">
        <f>$F$115*INDEX($C$97:$AL$97,1,7)</f>
        <v/>
      </c>
      <c r="M254" s="24">
        <f>$F$115*INDEX($C$97:$AL$97,1,8)</f>
        <v/>
      </c>
      <c r="N254" s="24">
        <f>$F$115*INDEX($C$97:$AL$97,1,9)</f>
        <v/>
      </c>
      <c r="O254" s="24">
        <f>$F$115*INDEX($C$97:$AL$97,1,10)</f>
        <v/>
      </c>
      <c r="P254" s="24">
        <f>$F$115*INDEX($C$97:$AL$97,1,11)</f>
        <v/>
      </c>
      <c r="Q254" s="24">
        <f>$F$115*INDEX($C$97:$AL$97,1,12)</f>
        <v/>
      </c>
      <c r="R254" s="24">
        <f>$F$115*INDEX($C$97:$AL$97,1,13)</f>
        <v/>
      </c>
      <c r="S254" s="24">
        <f>$F$115*INDEX($C$97:$AL$97,1,14)</f>
        <v/>
      </c>
      <c r="T254" s="24">
        <f>$F$115*INDEX($C$97:$AL$97,1,15)</f>
        <v/>
      </c>
      <c r="U254" s="24">
        <f>$F$115*INDEX($C$97:$AL$97,1,16)</f>
        <v/>
      </c>
      <c r="V254" s="24">
        <f>$F$115*INDEX($C$97:$AL$97,1,17)</f>
        <v/>
      </c>
      <c r="W254" s="24">
        <f>$F$115*INDEX($C$97:$AL$97,1,18)</f>
        <v/>
      </c>
      <c r="X254" s="24">
        <f>$F$115*INDEX($C$97:$AL$97,1,19)</f>
        <v/>
      </c>
      <c r="Y254" s="24">
        <f>$F$115*INDEX($C$97:$AL$97,1,20)</f>
        <v/>
      </c>
      <c r="Z254" s="24">
        <f>$F$115*INDEX($C$97:$AL$97,1,21)</f>
        <v/>
      </c>
      <c r="AA254" s="24">
        <f>$F$115*INDEX($C$97:$AL$97,1,22)</f>
        <v/>
      </c>
      <c r="AB254" s="24">
        <f>$F$115*INDEX($C$97:$AL$97,1,23)</f>
        <v/>
      </c>
      <c r="AC254" s="24">
        <f>$F$115*INDEX($C$97:$AL$97,1,24)</f>
        <v/>
      </c>
      <c r="AD254" s="24">
        <f>$F$115*INDEX($C$97:$AL$97,1,25)</f>
        <v/>
      </c>
      <c r="AE254" s="24">
        <f>$F$115*INDEX($C$97:$AL$97,1,26)</f>
        <v/>
      </c>
      <c r="AF254" s="24">
        <f>$F$115*INDEX($C$97:$AL$97,1,27)</f>
        <v/>
      </c>
    </row>
    <row r="255">
      <c r="A255" s="4" t="inlineStr">
        <is>
          <t>Coorte del mese 5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>
        <f>$G$115*INDEX($C$97:$AL$97,1,1)</f>
        <v/>
      </c>
      <c r="H255" s="24">
        <f>$G$115*INDEX($C$97:$AL$97,1,2)</f>
        <v/>
      </c>
      <c r="I255" s="24">
        <f>$G$115*INDEX($C$97:$AL$97,1,3)</f>
        <v/>
      </c>
      <c r="J255" s="24">
        <f>$G$115*INDEX($C$97:$AL$97,1,4)</f>
        <v/>
      </c>
      <c r="K255" s="24">
        <f>$G$115*INDEX($C$97:$AL$97,1,5)</f>
        <v/>
      </c>
      <c r="L255" s="24">
        <f>$G$115*INDEX($C$97:$AL$97,1,6)</f>
        <v/>
      </c>
      <c r="M255" s="24">
        <f>$G$115*INDEX($C$97:$AL$97,1,7)</f>
        <v/>
      </c>
      <c r="N255" s="24">
        <f>$G$115*INDEX($C$97:$AL$97,1,8)</f>
        <v/>
      </c>
      <c r="O255" s="24">
        <f>$G$115*INDEX($C$97:$AL$97,1,9)</f>
        <v/>
      </c>
      <c r="P255" s="24">
        <f>$G$115*INDEX($C$97:$AL$97,1,10)</f>
        <v/>
      </c>
      <c r="Q255" s="24">
        <f>$G$115*INDEX($C$97:$AL$97,1,11)</f>
        <v/>
      </c>
      <c r="R255" s="24">
        <f>$G$115*INDEX($C$97:$AL$97,1,12)</f>
        <v/>
      </c>
      <c r="S255" s="24">
        <f>$G$115*INDEX($C$97:$AL$97,1,13)</f>
        <v/>
      </c>
      <c r="T255" s="24">
        <f>$G$115*INDEX($C$97:$AL$97,1,14)</f>
        <v/>
      </c>
      <c r="U255" s="24">
        <f>$G$115*INDEX($C$97:$AL$97,1,15)</f>
        <v/>
      </c>
      <c r="V255" s="24">
        <f>$G$115*INDEX($C$97:$AL$97,1,16)</f>
        <v/>
      </c>
      <c r="W255" s="24">
        <f>$G$115*INDEX($C$97:$AL$97,1,17)</f>
        <v/>
      </c>
      <c r="X255" s="24">
        <f>$G$115*INDEX($C$97:$AL$97,1,18)</f>
        <v/>
      </c>
      <c r="Y255" s="24">
        <f>$G$115*INDEX($C$97:$AL$97,1,19)</f>
        <v/>
      </c>
      <c r="Z255" s="24">
        <f>$G$115*INDEX($C$97:$AL$97,1,20)</f>
        <v/>
      </c>
      <c r="AA255" s="24">
        <f>$G$115*INDEX($C$97:$AL$97,1,21)</f>
        <v/>
      </c>
      <c r="AB255" s="24">
        <f>$G$115*INDEX($C$97:$AL$97,1,22)</f>
        <v/>
      </c>
      <c r="AC255" s="24">
        <f>$G$115*INDEX($C$97:$AL$97,1,23)</f>
        <v/>
      </c>
      <c r="AD255" s="24">
        <f>$G$115*INDEX($C$97:$AL$97,1,24)</f>
        <v/>
      </c>
      <c r="AE255" s="24">
        <f>$G$115*INDEX($C$97:$AL$97,1,25)</f>
        <v/>
      </c>
      <c r="AF255" s="24">
        <f>$G$115*INDEX($C$97:$AL$97,1,26)</f>
        <v/>
      </c>
    </row>
    <row r="256">
      <c r="A256" s="4" t="inlineStr">
        <is>
          <t>Coorte del mese 6</t>
        </is>
      </c>
      <c r="C256" s="24" t="n">
        <v>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$H$115*INDEX($C$97:$AL$97,1,1)</f>
        <v/>
      </c>
      <c r="I256" s="24">
        <f>$H$115*INDEX($C$97:$AL$97,1,2)</f>
        <v/>
      </c>
      <c r="J256" s="24">
        <f>$H$115*INDEX($C$97:$AL$97,1,3)</f>
        <v/>
      </c>
      <c r="K256" s="24">
        <f>$H$115*INDEX($C$97:$AL$97,1,4)</f>
        <v/>
      </c>
      <c r="L256" s="24">
        <f>$H$115*INDEX($C$97:$AL$97,1,5)</f>
        <v/>
      </c>
      <c r="M256" s="24">
        <f>$H$115*INDEX($C$97:$AL$97,1,6)</f>
        <v/>
      </c>
      <c r="N256" s="24">
        <f>$H$115*INDEX($C$97:$AL$97,1,7)</f>
        <v/>
      </c>
      <c r="O256" s="24">
        <f>$H$115*INDEX($C$97:$AL$97,1,8)</f>
        <v/>
      </c>
      <c r="P256" s="24">
        <f>$H$115*INDEX($C$97:$AL$97,1,9)</f>
        <v/>
      </c>
      <c r="Q256" s="24">
        <f>$H$115*INDEX($C$97:$AL$97,1,10)</f>
        <v/>
      </c>
      <c r="R256" s="24">
        <f>$H$115*INDEX($C$97:$AL$97,1,11)</f>
        <v/>
      </c>
      <c r="S256" s="24">
        <f>$H$115*INDEX($C$97:$AL$97,1,12)</f>
        <v/>
      </c>
      <c r="T256" s="24">
        <f>$H$115*INDEX($C$97:$AL$97,1,13)</f>
        <v/>
      </c>
      <c r="U256" s="24">
        <f>$H$115*INDEX($C$97:$AL$97,1,14)</f>
        <v/>
      </c>
      <c r="V256" s="24">
        <f>$H$115*INDEX($C$97:$AL$97,1,15)</f>
        <v/>
      </c>
      <c r="W256" s="24">
        <f>$H$115*INDEX($C$97:$AL$97,1,16)</f>
        <v/>
      </c>
      <c r="X256" s="24">
        <f>$H$115*INDEX($C$97:$AL$97,1,17)</f>
        <v/>
      </c>
      <c r="Y256" s="24">
        <f>$H$115*INDEX($C$97:$AL$97,1,18)</f>
        <v/>
      </c>
      <c r="Z256" s="24">
        <f>$H$115*INDEX($C$97:$AL$97,1,19)</f>
        <v/>
      </c>
      <c r="AA256" s="24">
        <f>$H$115*INDEX($C$97:$AL$97,1,20)</f>
        <v/>
      </c>
      <c r="AB256" s="24">
        <f>$H$115*INDEX($C$97:$AL$97,1,21)</f>
        <v/>
      </c>
      <c r="AC256" s="24">
        <f>$H$115*INDEX($C$97:$AL$97,1,22)</f>
        <v/>
      </c>
      <c r="AD256" s="24">
        <f>$H$115*INDEX($C$97:$AL$97,1,23)</f>
        <v/>
      </c>
      <c r="AE256" s="24">
        <f>$H$115*INDEX($C$97:$AL$97,1,24)</f>
        <v/>
      </c>
      <c r="AF256" s="24">
        <f>$H$115*INDEX($C$97:$AL$97,1,25)</f>
        <v/>
      </c>
    </row>
    <row r="257">
      <c r="A257" s="4" t="inlineStr">
        <is>
          <t>Coorte del mese 7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>
        <f>$I$115*INDEX($C$97:$AL$97,1,1)</f>
        <v/>
      </c>
      <c r="J257" s="24">
        <f>$I$115*INDEX($C$97:$AL$97,1,2)</f>
        <v/>
      </c>
      <c r="K257" s="24">
        <f>$I$115*INDEX($C$97:$AL$97,1,3)</f>
        <v/>
      </c>
      <c r="L257" s="24">
        <f>$I$115*INDEX($C$97:$AL$97,1,4)</f>
        <v/>
      </c>
      <c r="M257" s="24">
        <f>$I$115*INDEX($C$97:$AL$97,1,5)</f>
        <v/>
      </c>
      <c r="N257" s="24">
        <f>$I$115*INDEX($C$97:$AL$97,1,6)</f>
        <v/>
      </c>
      <c r="O257" s="24">
        <f>$I$115*INDEX($C$97:$AL$97,1,7)</f>
        <v/>
      </c>
      <c r="P257" s="24">
        <f>$I$115*INDEX($C$97:$AL$97,1,8)</f>
        <v/>
      </c>
      <c r="Q257" s="24">
        <f>$I$115*INDEX($C$97:$AL$97,1,9)</f>
        <v/>
      </c>
      <c r="R257" s="24">
        <f>$I$115*INDEX($C$97:$AL$97,1,10)</f>
        <v/>
      </c>
      <c r="S257" s="24">
        <f>$I$115*INDEX($C$97:$AL$97,1,11)</f>
        <v/>
      </c>
      <c r="T257" s="24">
        <f>$I$115*INDEX($C$97:$AL$97,1,12)</f>
        <v/>
      </c>
      <c r="U257" s="24">
        <f>$I$115*INDEX($C$97:$AL$97,1,13)</f>
        <v/>
      </c>
      <c r="V257" s="24">
        <f>$I$115*INDEX($C$97:$AL$97,1,14)</f>
        <v/>
      </c>
      <c r="W257" s="24">
        <f>$I$115*INDEX($C$97:$AL$97,1,15)</f>
        <v/>
      </c>
      <c r="X257" s="24">
        <f>$I$115*INDEX($C$97:$AL$97,1,16)</f>
        <v/>
      </c>
      <c r="Y257" s="24">
        <f>$I$115*INDEX($C$97:$AL$97,1,17)</f>
        <v/>
      </c>
      <c r="Z257" s="24">
        <f>$I$115*INDEX($C$97:$AL$97,1,18)</f>
        <v/>
      </c>
      <c r="AA257" s="24">
        <f>$I$115*INDEX($C$97:$AL$97,1,19)</f>
        <v/>
      </c>
      <c r="AB257" s="24">
        <f>$I$115*INDEX($C$97:$AL$97,1,20)</f>
        <v/>
      </c>
      <c r="AC257" s="24">
        <f>$I$115*INDEX($C$97:$AL$97,1,21)</f>
        <v/>
      </c>
      <c r="AD257" s="24">
        <f>$I$115*INDEX($C$97:$AL$97,1,22)</f>
        <v/>
      </c>
      <c r="AE257" s="24">
        <f>$I$115*INDEX($C$97:$AL$97,1,23)</f>
        <v/>
      </c>
      <c r="AF257" s="24">
        <f>$I$115*INDEX($C$97:$AL$97,1,24)</f>
        <v/>
      </c>
    </row>
    <row r="258">
      <c r="A258" s="4" t="inlineStr">
        <is>
          <t>Coorte del mese 8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>
        <f>$J$115*INDEX($C$97:$AL$97,1,1)</f>
        <v/>
      </c>
      <c r="K258" s="24">
        <f>$J$115*INDEX($C$97:$AL$97,1,2)</f>
        <v/>
      </c>
      <c r="L258" s="24">
        <f>$J$115*INDEX($C$97:$AL$97,1,3)</f>
        <v/>
      </c>
      <c r="M258" s="24">
        <f>$J$115*INDEX($C$97:$AL$97,1,4)</f>
        <v/>
      </c>
      <c r="N258" s="24">
        <f>$J$115*INDEX($C$97:$AL$97,1,5)</f>
        <v/>
      </c>
      <c r="O258" s="24">
        <f>$J$115*INDEX($C$97:$AL$97,1,6)</f>
        <v/>
      </c>
      <c r="P258" s="24">
        <f>$J$115*INDEX($C$97:$AL$97,1,7)</f>
        <v/>
      </c>
      <c r="Q258" s="24">
        <f>$J$115*INDEX($C$97:$AL$97,1,8)</f>
        <v/>
      </c>
      <c r="R258" s="24">
        <f>$J$115*INDEX($C$97:$AL$97,1,9)</f>
        <v/>
      </c>
      <c r="S258" s="24">
        <f>$J$115*INDEX($C$97:$AL$97,1,10)</f>
        <v/>
      </c>
      <c r="T258" s="24">
        <f>$J$115*INDEX($C$97:$AL$97,1,11)</f>
        <v/>
      </c>
      <c r="U258" s="24">
        <f>$J$115*INDEX($C$97:$AL$97,1,12)</f>
        <v/>
      </c>
      <c r="V258" s="24">
        <f>$J$115*INDEX($C$97:$AL$97,1,13)</f>
        <v/>
      </c>
      <c r="W258" s="24">
        <f>$J$115*INDEX($C$97:$AL$97,1,14)</f>
        <v/>
      </c>
      <c r="X258" s="24">
        <f>$J$115*INDEX($C$97:$AL$97,1,15)</f>
        <v/>
      </c>
      <c r="Y258" s="24">
        <f>$J$115*INDEX($C$97:$AL$97,1,16)</f>
        <v/>
      </c>
      <c r="Z258" s="24">
        <f>$J$115*INDEX($C$97:$AL$97,1,17)</f>
        <v/>
      </c>
      <c r="AA258" s="24">
        <f>$J$115*INDEX($C$97:$AL$97,1,18)</f>
        <v/>
      </c>
      <c r="AB258" s="24">
        <f>$J$115*INDEX($C$97:$AL$97,1,19)</f>
        <v/>
      </c>
      <c r="AC258" s="24">
        <f>$J$115*INDEX($C$97:$AL$97,1,20)</f>
        <v/>
      </c>
      <c r="AD258" s="24">
        <f>$J$115*INDEX($C$97:$AL$97,1,21)</f>
        <v/>
      </c>
      <c r="AE258" s="24">
        <f>$J$115*INDEX($C$97:$AL$97,1,22)</f>
        <v/>
      </c>
      <c r="AF258" s="24">
        <f>$J$115*INDEX($C$97:$AL$97,1,23)</f>
        <v/>
      </c>
    </row>
    <row r="259">
      <c r="A259" s="4" t="inlineStr">
        <is>
          <t>Coorte del mese 9</t>
        </is>
      </c>
      <c r="C259" s="24" t="n">
        <v>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>
        <f>$K$115*INDEX($C$97:$AL$97,1,1)</f>
        <v/>
      </c>
      <c r="L259" s="24">
        <f>$K$115*INDEX($C$97:$AL$97,1,2)</f>
        <v/>
      </c>
      <c r="M259" s="24">
        <f>$K$115*INDEX($C$97:$AL$97,1,3)</f>
        <v/>
      </c>
      <c r="N259" s="24">
        <f>$K$115*INDEX($C$97:$AL$97,1,4)</f>
        <v/>
      </c>
      <c r="O259" s="24">
        <f>$K$115*INDEX($C$97:$AL$97,1,5)</f>
        <v/>
      </c>
      <c r="P259" s="24">
        <f>$K$115*INDEX($C$97:$AL$97,1,6)</f>
        <v/>
      </c>
      <c r="Q259" s="24">
        <f>$K$115*INDEX($C$97:$AL$97,1,7)</f>
        <v/>
      </c>
      <c r="R259" s="24">
        <f>$K$115*INDEX($C$97:$AL$97,1,8)</f>
        <v/>
      </c>
      <c r="S259" s="24">
        <f>$K$115*INDEX($C$97:$AL$97,1,9)</f>
        <v/>
      </c>
      <c r="T259" s="24">
        <f>$K$115*INDEX($C$97:$AL$97,1,10)</f>
        <v/>
      </c>
      <c r="U259" s="24">
        <f>$K$115*INDEX($C$97:$AL$97,1,11)</f>
        <v/>
      </c>
      <c r="V259" s="24">
        <f>$K$115*INDEX($C$97:$AL$97,1,12)</f>
        <v/>
      </c>
      <c r="W259" s="24">
        <f>$K$115*INDEX($C$97:$AL$97,1,13)</f>
        <v/>
      </c>
      <c r="X259" s="24">
        <f>$K$115*INDEX($C$97:$AL$97,1,14)</f>
        <v/>
      </c>
      <c r="Y259" s="24">
        <f>$K$115*INDEX($C$97:$AL$97,1,15)</f>
        <v/>
      </c>
      <c r="Z259" s="24">
        <f>$K$115*INDEX($C$97:$AL$97,1,16)</f>
        <v/>
      </c>
      <c r="AA259" s="24">
        <f>$K$115*INDEX($C$97:$AL$97,1,17)</f>
        <v/>
      </c>
      <c r="AB259" s="24">
        <f>$K$115*INDEX($C$97:$AL$97,1,18)</f>
        <v/>
      </c>
      <c r="AC259" s="24">
        <f>$K$115*INDEX($C$97:$AL$97,1,19)</f>
        <v/>
      </c>
      <c r="AD259" s="24">
        <f>$K$115*INDEX($C$97:$AL$97,1,20)</f>
        <v/>
      </c>
      <c r="AE259" s="24">
        <f>$K$115*INDEX($C$97:$AL$97,1,21)</f>
        <v/>
      </c>
      <c r="AF259" s="24">
        <f>$K$115*INDEX($C$97:$AL$97,1,22)</f>
        <v/>
      </c>
    </row>
    <row r="260">
      <c r="A260" s="4" t="inlineStr">
        <is>
          <t>Coorte del mese 10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>
        <f>$L$115*INDEX($C$97:$AL$97,1,1)</f>
        <v/>
      </c>
      <c r="M260" s="24">
        <f>$L$115*INDEX($C$97:$AL$97,1,2)</f>
        <v/>
      </c>
      <c r="N260" s="24">
        <f>$L$115*INDEX($C$97:$AL$97,1,3)</f>
        <v/>
      </c>
      <c r="O260" s="24">
        <f>$L$115*INDEX($C$97:$AL$97,1,4)</f>
        <v/>
      </c>
      <c r="P260" s="24">
        <f>$L$115*INDEX($C$97:$AL$97,1,5)</f>
        <v/>
      </c>
      <c r="Q260" s="24">
        <f>$L$115*INDEX($C$97:$AL$97,1,6)</f>
        <v/>
      </c>
      <c r="R260" s="24">
        <f>$L$115*INDEX($C$97:$AL$97,1,7)</f>
        <v/>
      </c>
      <c r="S260" s="24">
        <f>$L$115*INDEX($C$97:$AL$97,1,8)</f>
        <v/>
      </c>
      <c r="T260" s="24">
        <f>$L$115*INDEX($C$97:$AL$97,1,9)</f>
        <v/>
      </c>
      <c r="U260" s="24">
        <f>$L$115*INDEX($C$97:$AL$97,1,10)</f>
        <v/>
      </c>
      <c r="V260" s="24">
        <f>$L$115*INDEX($C$97:$AL$97,1,11)</f>
        <v/>
      </c>
      <c r="W260" s="24">
        <f>$L$115*INDEX($C$97:$AL$97,1,12)</f>
        <v/>
      </c>
      <c r="X260" s="24">
        <f>$L$115*INDEX($C$97:$AL$97,1,13)</f>
        <v/>
      </c>
      <c r="Y260" s="24">
        <f>$L$115*INDEX($C$97:$AL$97,1,14)</f>
        <v/>
      </c>
      <c r="Z260" s="24">
        <f>$L$115*INDEX($C$97:$AL$97,1,15)</f>
        <v/>
      </c>
      <c r="AA260" s="24">
        <f>$L$115*INDEX($C$97:$AL$97,1,16)</f>
        <v/>
      </c>
      <c r="AB260" s="24">
        <f>$L$115*INDEX($C$97:$AL$97,1,17)</f>
        <v/>
      </c>
      <c r="AC260" s="24">
        <f>$L$115*INDEX($C$97:$AL$97,1,18)</f>
        <v/>
      </c>
      <c r="AD260" s="24">
        <f>$L$115*INDEX($C$97:$AL$97,1,19)</f>
        <v/>
      </c>
      <c r="AE260" s="24">
        <f>$L$115*INDEX($C$97:$AL$97,1,20)</f>
        <v/>
      </c>
      <c r="AF260" s="24">
        <f>$L$115*INDEX($C$97:$AL$97,1,21)</f>
        <v/>
      </c>
    </row>
    <row r="261">
      <c r="A261" s="4" t="inlineStr">
        <is>
          <t>Coorte del mese 11</t>
        </is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4">
        <f>$M$115*INDEX($C$97:$AL$97,1,1)</f>
        <v/>
      </c>
      <c r="N261" s="24">
        <f>$M$115*INDEX($C$97:$AL$97,1,2)</f>
        <v/>
      </c>
      <c r="O261" s="24">
        <f>$M$115*INDEX($C$97:$AL$97,1,3)</f>
        <v/>
      </c>
      <c r="P261" s="24">
        <f>$M$115*INDEX($C$97:$AL$97,1,4)</f>
        <v/>
      </c>
      <c r="Q261" s="24">
        <f>$M$115*INDEX($C$97:$AL$97,1,5)</f>
        <v/>
      </c>
      <c r="R261" s="24">
        <f>$M$115*INDEX($C$97:$AL$97,1,6)</f>
        <v/>
      </c>
      <c r="S261" s="24">
        <f>$M$115*INDEX($C$97:$AL$97,1,7)</f>
        <v/>
      </c>
      <c r="T261" s="24">
        <f>$M$115*INDEX($C$97:$AL$97,1,8)</f>
        <v/>
      </c>
      <c r="U261" s="24">
        <f>$M$115*INDEX($C$97:$AL$97,1,9)</f>
        <v/>
      </c>
      <c r="V261" s="24">
        <f>$M$115*INDEX($C$97:$AL$97,1,10)</f>
        <v/>
      </c>
      <c r="W261" s="24">
        <f>$M$115*INDEX($C$97:$AL$97,1,11)</f>
        <v/>
      </c>
      <c r="X261" s="24">
        <f>$M$115*INDEX($C$97:$AL$97,1,12)</f>
        <v/>
      </c>
      <c r="Y261" s="24">
        <f>$M$115*INDEX($C$97:$AL$97,1,13)</f>
        <v/>
      </c>
      <c r="Z261" s="24">
        <f>$M$115*INDEX($C$97:$AL$97,1,14)</f>
        <v/>
      </c>
      <c r="AA261" s="24">
        <f>$M$115*INDEX($C$97:$AL$97,1,15)</f>
        <v/>
      </c>
      <c r="AB261" s="24">
        <f>$M$115*INDEX($C$97:$AL$97,1,16)</f>
        <v/>
      </c>
      <c r="AC261" s="24">
        <f>$M$115*INDEX($C$97:$AL$97,1,17)</f>
        <v/>
      </c>
      <c r="AD261" s="24">
        <f>$M$115*INDEX($C$97:$AL$97,1,18)</f>
        <v/>
      </c>
      <c r="AE261" s="24">
        <f>$M$115*INDEX($C$97:$AL$97,1,19)</f>
        <v/>
      </c>
      <c r="AF261" s="24">
        <f>$M$115*INDEX($C$97:$AL$97,1,20)</f>
        <v/>
      </c>
    </row>
    <row r="262">
      <c r="A262" s="4" t="inlineStr">
        <is>
          <t>Coorte del mese 12</t>
        </is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>
        <f>$N$115*INDEX($C$97:$AL$97,1,1)</f>
        <v/>
      </c>
      <c r="O262" s="24">
        <f>$N$115*INDEX($C$97:$AL$97,1,2)</f>
        <v/>
      </c>
      <c r="P262" s="24">
        <f>$N$115*INDEX($C$97:$AL$97,1,3)</f>
        <v/>
      </c>
      <c r="Q262" s="24">
        <f>$N$115*INDEX($C$97:$AL$97,1,4)</f>
        <v/>
      </c>
      <c r="R262" s="24">
        <f>$N$115*INDEX($C$97:$AL$97,1,5)</f>
        <v/>
      </c>
      <c r="S262" s="24">
        <f>$N$115*INDEX($C$97:$AL$97,1,6)</f>
        <v/>
      </c>
      <c r="T262" s="24">
        <f>$N$115*INDEX($C$97:$AL$97,1,7)</f>
        <v/>
      </c>
      <c r="U262" s="24">
        <f>$N$115*INDEX($C$97:$AL$97,1,8)</f>
        <v/>
      </c>
      <c r="V262" s="24">
        <f>$N$115*INDEX($C$97:$AL$97,1,9)</f>
        <v/>
      </c>
      <c r="W262" s="24">
        <f>$N$115*INDEX($C$97:$AL$97,1,10)</f>
        <v/>
      </c>
      <c r="X262" s="24">
        <f>$N$115*INDEX($C$97:$AL$97,1,11)</f>
        <v/>
      </c>
      <c r="Y262" s="24">
        <f>$N$115*INDEX($C$97:$AL$97,1,12)</f>
        <v/>
      </c>
      <c r="Z262" s="24">
        <f>$N$115*INDEX($C$97:$AL$97,1,13)</f>
        <v/>
      </c>
      <c r="AA262" s="24">
        <f>$N$115*INDEX($C$97:$AL$97,1,14)</f>
        <v/>
      </c>
      <c r="AB262" s="24">
        <f>$N$115*INDEX($C$97:$AL$97,1,15)</f>
        <v/>
      </c>
      <c r="AC262" s="24">
        <f>$N$115*INDEX($C$97:$AL$97,1,16)</f>
        <v/>
      </c>
      <c r="AD262" s="24">
        <f>$N$115*INDEX($C$97:$AL$97,1,17)</f>
        <v/>
      </c>
      <c r="AE262" s="24">
        <f>$N$115*INDEX($C$97:$AL$97,1,18)</f>
        <v/>
      </c>
      <c r="AF262" s="24">
        <f>$N$115*INDEX($C$97:$AL$97,1,19)</f>
        <v/>
      </c>
    </row>
    <row r="263">
      <c r="A263" s="4" t="inlineStr">
        <is>
          <t>Coorte del mese 13</t>
        </is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>
        <f>$O$115*INDEX($C$97:$AL$97,1,1)</f>
        <v/>
      </c>
      <c r="P263" s="24">
        <f>$O$115*INDEX($C$97:$AL$97,1,2)</f>
        <v/>
      </c>
      <c r="Q263" s="24">
        <f>$O$115*INDEX($C$97:$AL$97,1,3)</f>
        <v/>
      </c>
      <c r="R263" s="24">
        <f>$O$115*INDEX($C$97:$AL$97,1,4)</f>
        <v/>
      </c>
      <c r="S263" s="24">
        <f>$O$115*INDEX($C$97:$AL$97,1,5)</f>
        <v/>
      </c>
      <c r="T263" s="24">
        <f>$O$115*INDEX($C$97:$AL$97,1,6)</f>
        <v/>
      </c>
      <c r="U263" s="24">
        <f>$O$115*INDEX($C$97:$AL$97,1,7)</f>
        <v/>
      </c>
      <c r="V263" s="24">
        <f>$O$115*INDEX($C$97:$AL$97,1,8)</f>
        <v/>
      </c>
      <c r="W263" s="24">
        <f>$O$115*INDEX($C$97:$AL$97,1,9)</f>
        <v/>
      </c>
      <c r="X263" s="24">
        <f>$O$115*INDEX($C$97:$AL$97,1,10)</f>
        <v/>
      </c>
      <c r="Y263" s="24">
        <f>$O$115*INDEX($C$97:$AL$97,1,11)</f>
        <v/>
      </c>
      <c r="Z263" s="24">
        <f>$O$115*INDEX($C$97:$AL$97,1,12)</f>
        <v/>
      </c>
      <c r="AA263" s="24">
        <f>$O$115*INDEX($C$97:$AL$97,1,13)</f>
        <v/>
      </c>
      <c r="AB263" s="24">
        <f>$O$115*INDEX($C$97:$AL$97,1,14)</f>
        <v/>
      </c>
      <c r="AC263" s="24">
        <f>$O$115*INDEX($C$97:$AL$97,1,15)</f>
        <v/>
      </c>
      <c r="AD263" s="24">
        <f>$O$115*INDEX($C$97:$AL$97,1,16)</f>
        <v/>
      </c>
      <c r="AE263" s="24">
        <f>$O$115*INDEX($C$97:$AL$97,1,17)</f>
        <v/>
      </c>
      <c r="AF263" s="24">
        <f>$O$115*INDEX($C$97:$AL$97,1,18)</f>
        <v/>
      </c>
    </row>
    <row r="264">
      <c r="A264" s="4" t="inlineStr">
        <is>
          <t>Coorte del mese 14</t>
        </is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>
        <f>$P$115*INDEX($C$97:$AL$97,1,1)</f>
        <v/>
      </c>
      <c r="Q264" s="24">
        <f>$P$115*INDEX($C$97:$AL$97,1,2)</f>
        <v/>
      </c>
      <c r="R264" s="24">
        <f>$P$115*INDEX($C$97:$AL$97,1,3)</f>
        <v/>
      </c>
      <c r="S264" s="24">
        <f>$P$115*INDEX($C$97:$AL$97,1,4)</f>
        <v/>
      </c>
      <c r="T264" s="24">
        <f>$P$115*INDEX($C$97:$AL$97,1,5)</f>
        <v/>
      </c>
      <c r="U264" s="24">
        <f>$P$115*INDEX($C$97:$AL$97,1,6)</f>
        <v/>
      </c>
      <c r="V264" s="24">
        <f>$P$115*INDEX($C$97:$AL$97,1,7)</f>
        <v/>
      </c>
      <c r="W264" s="24">
        <f>$P$115*INDEX($C$97:$AL$97,1,8)</f>
        <v/>
      </c>
      <c r="X264" s="24">
        <f>$P$115*INDEX($C$97:$AL$97,1,9)</f>
        <v/>
      </c>
      <c r="Y264" s="24">
        <f>$P$115*INDEX($C$97:$AL$97,1,10)</f>
        <v/>
      </c>
      <c r="Z264" s="24">
        <f>$P$115*INDEX($C$97:$AL$97,1,11)</f>
        <v/>
      </c>
      <c r="AA264" s="24">
        <f>$P$115*INDEX($C$97:$AL$97,1,12)</f>
        <v/>
      </c>
      <c r="AB264" s="24">
        <f>$P$115*INDEX($C$97:$AL$97,1,13)</f>
        <v/>
      </c>
      <c r="AC264" s="24">
        <f>$P$115*INDEX($C$97:$AL$97,1,14)</f>
        <v/>
      </c>
      <c r="AD264" s="24">
        <f>$P$115*INDEX($C$97:$AL$97,1,15)</f>
        <v/>
      </c>
      <c r="AE264" s="24">
        <f>$P$115*INDEX($C$97:$AL$97,1,16)</f>
        <v/>
      </c>
      <c r="AF264" s="24">
        <f>$P$115*INDEX($C$97:$AL$97,1,17)</f>
        <v/>
      </c>
    </row>
    <row r="265">
      <c r="A265" s="4" t="inlineStr">
        <is>
          <t>Coorte del mese 15</t>
        </is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>
        <f>$Q$115*INDEX($C$97:$AL$97,1,1)</f>
        <v/>
      </c>
      <c r="R265" s="24">
        <f>$Q$115*INDEX($C$97:$AL$97,1,2)</f>
        <v/>
      </c>
      <c r="S265" s="24">
        <f>$Q$115*INDEX($C$97:$AL$97,1,3)</f>
        <v/>
      </c>
      <c r="T265" s="24">
        <f>$Q$115*INDEX($C$97:$AL$97,1,4)</f>
        <v/>
      </c>
      <c r="U265" s="24">
        <f>$Q$115*INDEX($C$97:$AL$97,1,5)</f>
        <v/>
      </c>
      <c r="V265" s="24">
        <f>$Q$115*INDEX($C$97:$AL$97,1,6)</f>
        <v/>
      </c>
      <c r="W265" s="24">
        <f>$Q$115*INDEX($C$97:$AL$97,1,7)</f>
        <v/>
      </c>
      <c r="X265" s="24">
        <f>$Q$115*INDEX($C$97:$AL$97,1,8)</f>
        <v/>
      </c>
      <c r="Y265" s="24">
        <f>$Q$115*INDEX($C$97:$AL$97,1,9)</f>
        <v/>
      </c>
      <c r="Z265" s="24">
        <f>$Q$115*INDEX($C$97:$AL$97,1,10)</f>
        <v/>
      </c>
      <c r="AA265" s="24">
        <f>$Q$115*INDEX($C$97:$AL$97,1,11)</f>
        <v/>
      </c>
      <c r="AB265" s="24">
        <f>$Q$115*INDEX($C$97:$AL$97,1,12)</f>
        <v/>
      </c>
      <c r="AC265" s="24">
        <f>$Q$115*INDEX($C$97:$AL$97,1,13)</f>
        <v/>
      </c>
      <c r="AD265" s="24">
        <f>$Q$115*INDEX($C$97:$AL$97,1,14)</f>
        <v/>
      </c>
      <c r="AE265" s="24">
        <f>$Q$115*INDEX($C$97:$AL$97,1,15)</f>
        <v/>
      </c>
      <c r="AF265" s="24">
        <f>$Q$115*INDEX($C$97:$AL$97,1,16)</f>
        <v/>
      </c>
    </row>
    <row r="266">
      <c r="A266" s="4" t="inlineStr">
        <is>
          <t>Coorte del mese 16</t>
        </is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>
        <f>$R$115*INDEX($C$97:$AL$97,1,1)</f>
        <v/>
      </c>
      <c r="S266" s="24">
        <f>$R$115*INDEX($C$97:$AL$97,1,2)</f>
        <v/>
      </c>
      <c r="T266" s="24">
        <f>$R$115*INDEX($C$97:$AL$97,1,3)</f>
        <v/>
      </c>
      <c r="U266" s="24">
        <f>$R$115*INDEX($C$97:$AL$97,1,4)</f>
        <v/>
      </c>
      <c r="V266" s="24">
        <f>$R$115*INDEX($C$97:$AL$97,1,5)</f>
        <v/>
      </c>
      <c r="W266" s="24">
        <f>$R$115*INDEX($C$97:$AL$97,1,6)</f>
        <v/>
      </c>
      <c r="X266" s="24">
        <f>$R$115*INDEX($C$97:$AL$97,1,7)</f>
        <v/>
      </c>
      <c r="Y266" s="24">
        <f>$R$115*INDEX($C$97:$AL$97,1,8)</f>
        <v/>
      </c>
      <c r="Z266" s="24">
        <f>$R$115*INDEX($C$97:$AL$97,1,9)</f>
        <v/>
      </c>
      <c r="AA266" s="24">
        <f>$R$115*INDEX($C$97:$AL$97,1,10)</f>
        <v/>
      </c>
      <c r="AB266" s="24">
        <f>$R$115*INDEX($C$97:$AL$97,1,11)</f>
        <v/>
      </c>
      <c r="AC266" s="24">
        <f>$R$115*INDEX($C$97:$AL$97,1,12)</f>
        <v/>
      </c>
      <c r="AD266" s="24">
        <f>$R$115*INDEX($C$97:$AL$97,1,13)</f>
        <v/>
      </c>
      <c r="AE266" s="24">
        <f>$R$115*INDEX($C$97:$AL$97,1,14)</f>
        <v/>
      </c>
      <c r="AF266" s="24">
        <f>$R$115*INDEX($C$97:$AL$97,1,15)</f>
        <v/>
      </c>
    </row>
    <row r="267">
      <c r="A267" s="4" t="inlineStr">
        <is>
          <t>Coorte del mese 17</t>
        </is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>
        <f>$S$115*INDEX($C$97:$AL$97,1,1)</f>
        <v/>
      </c>
      <c r="T267" s="24">
        <f>$S$115*INDEX($C$97:$AL$97,1,2)</f>
        <v/>
      </c>
      <c r="U267" s="24">
        <f>$S$115*INDEX($C$97:$AL$97,1,3)</f>
        <v/>
      </c>
      <c r="V267" s="24">
        <f>$S$115*INDEX($C$97:$AL$97,1,4)</f>
        <v/>
      </c>
      <c r="W267" s="24">
        <f>$S$115*INDEX($C$97:$AL$97,1,5)</f>
        <v/>
      </c>
      <c r="X267" s="24">
        <f>$S$115*INDEX($C$97:$AL$97,1,6)</f>
        <v/>
      </c>
      <c r="Y267" s="24">
        <f>$S$115*INDEX($C$97:$AL$97,1,7)</f>
        <v/>
      </c>
      <c r="Z267" s="24">
        <f>$S$115*INDEX($C$97:$AL$97,1,8)</f>
        <v/>
      </c>
      <c r="AA267" s="24">
        <f>$S$115*INDEX($C$97:$AL$97,1,9)</f>
        <v/>
      </c>
      <c r="AB267" s="24">
        <f>$S$115*INDEX($C$97:$AL$97,1,10)</f>
        <v/>
      </c>
      <c r="AC267" s="24">
        <f>$S$115*INDEX($C$97:$AL$97,1,11)</f>
        <v/>
      </c>
      <c r="AD267" s="24">
        <f>$S$115*INDEX($C$97:$AL$97,1,12)</f>
        <v/>
      </c>
      <c r="AE267" s="24">
        <f>$S$115*INDEX($C$97:$AL$97,1,13)</f>
        <v/>
      </c>
      <c r="AF267" s="24">
        <f>$S$115*INDEX($C$97:$AL$97,1,14)</f>
        <v/>
      </c>
    </row>
    <row r="268">
      <c r="A268" s="4" t="inlineStr">
        <is>
          <t>Coorte del mese 18</t>
        </is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>
        <f>$T$115*INDEX($C$97:$AL$97,1,1)</f>
        <v/>
      </c>
      <c r="U268" s="24">
        <f>$T$115*INDEX($C$97:$AL$97,1,2)</f>
        <v/>
      </c>
      <c r="V268" s="24">
        <f>$T$115*INDEX($C$97:$AL$97,1,3)</f>
        <v/>
      </c>
      <c r="W268" s="24">
        <f>$T$115*INDEX($C$97:$AL$97,1,4)</f>
        <v/>
      </c>
      <c r="X268" s="24">
        <f>$T$115*INDEX($C$97:$AL$97,1,5)</f>
        <v/>
      </c>
      <c r="Y268" s="24">
        <f>$T$115*INDEX($C$97:$AL$97,1,6)</f>
        <v/>
      </c>
      <c r="Z268" s="24">
        <f>$T$115*INDEX($C$97:$AL$97,1,7)</f>
        <v/>
      </c>
      <c r="AA268" s="24">
        <f>$T$115*INDEX($C$97:$AL$97,1,8)</f>
        <v/>
      </c>
      <c r="AB268" s="24">
        <f>$T$115*INDEX($C$97:$AL$97,1,9)</f>
        <v/>
      </c>
      <c r="AC268" s="24">
        <f>$T$115*INDEX($C$97:$AL$97,1,10)</f>
        <v/>
      </c>
      <c r="AD268" s="24">
        <f>$T$115*INDEX($C$97:$AL$97,1,11)</f>
        <v/>
      </c>
      <c r="AE268" s="24">
        <f>$T$115*INDEX($C$97:$AL$97,1,12)</f>
        <v/>
      </c>
      <c r="AF268" s="24">
        <f>$T$115*INDEX($C$97:$AL$97,1,13)</f>
        <v/>
      </c>
    </row>
    <row r="269">
      <c r="A269" s="4" t="inlineStr">
        <is>
          <t>Coorte del mese 19</t>
        </is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>
        <f>$U$115*INDEX($C$97:$AL$97,1,1)</f>
        <v/>
      </c>
      <c r="V269" s="24">
        <f>$U$115*INDEX($C$97:$AL$97,1,2)</f>
        <v/>
      </c>
      <c r="W269" s="24">
        <f>$U$115*INDEX($C$97:$AL$97,1,3)</f>
        <v/>
      </c>
      <c r="X269" s="24">
        <f>$U$115*INDEX($C$97:$AL$97,1,4)</f>
        <v/>
      </c>
      <c r="Y269" s="24">
        <f>$U$115*INDEX($C$97:$AL$97,1,5)</f>
        <v/>
      </c>
      <c r="Z269" s="24">
        <f>$U$115*INDEX($C$97:$AL$97,1,6)</f>
        <v/>
      </c>
      <c r="AA269" s="24">
        <f>$U$115*INDEX($C$97:$AL$97,1,7)</f>
        <v/>
      </c>
      <c r="AB269" s="24">
        <f>$U$115*INDEX($C$97:$AL$97,1,8)</f>
        <v/>
      </c>
      <c r="AC269" s="24">
        <f>$U$115*INDEX($C$97:$AL$97,1,9)</f>
        <v/>
      </c>
      <c r="AD269" s="24">
        <f>$U$115*INDEX($C$97:$AL$97,1,10)</f>
        <v/>
      </c>
      <c r="AE269" s="24">
        <f>$U$115*INDEX($C$97:$AL$97,1,11)</f>
        <v/>
      </c>
      <c r="AF269" s="24">
        <f>$U$115*INDEX($C$97:$AL$97,1,12)</f>
        <v/>
      </c>
    </row>
    <row r="270">
      <c r="A270" s="4" t="inlineStr">
        <is>
          <t>Coorte del mese 20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>
        <f>$V$115*INDEX($C$97:$AL$97,1,1)</f>
        <v/>
      </c>
      <c r="W270" s="24">
        <f>$V$115*INDEX($C$97:$AL$97,1,2)</f>
        <v/>
      </c>
      <c r="X270" s="24">
        <f>$V$115*INDEX($C$97:$AL$97,1,3)</f>
        <v/>
      </c>
      <c r="Y270" s="24">
        <f>$V$115*INDEX($C$97:$AL$97,1,4)</f>
        <v/>
      </c>
      <c r="Z270" s="24">
        <f>$V$115*INDEX($C$97:$AL$97,1,5)</f>
        <v/>
      </c>
      <c r="AA270" s="24">
        <f>$V$115*INDEX($C$97:$AL$97,1,6)</f>
        <v/>
      </c>
      <c r="AB270" s="24">
        <f>$V$115*INDEX($C$97:$AL$97,1,7)</f>
        <v/>
      </c>
      <c r="AC270" s="24">
        <f>$V$115*INDEX($C$97:$AL$97,1,8)</f>
        <v/>
      </c>
      <c r="AD270" s="24">
        <f>$V$115*INDEX($C$97:$AL$97,1,9)</f>
        <v/>
      </c>
      <c r="AE270" s="24">
        <f>$V$115*INDEX($C$97:$AL$97,1,10)</f>
        <v/>
      </c>
      <c r="AF270" s="24">
        <f>$V$115*INDEX($C$97:$AL$97,1,11)</f>
        <v/>
      </c>
    </row>
    <row r="271">
      <c r="A271" s="4" t="inlineStr">
        <is>
          <t>Coorte del mese 21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>
        <f>$W$115*INDEX($C$97:$AL$97,1,1)</f>
        <v/>
      </c>
      <c r="X271" s="24">
        <f>$W$115*INDEX($C$97:$AL$97,1,2)</f>
        <v/>
      </c>
      <c r="Y271" s="24">
        <f>$W$115*INDEX($C$97:$AL$97,1,3)</f>
        <v/>
      </c>
      <c r="Z271" s="24">
        <f>$W$115*INDEX($C$97:$AL$97,1,4)</f>
        <v/>
      </c>
      <c r="AA271" s="24">
        <f>$W$115*INDEX($C$97:$AL$97,1,5)</f>
        <v/>
      </c>
      <c r="AB271" s="24">
        <f>$W$115*INDEX($C$97:$AL$97,1,6)</f>
        <v/>
      </c>
      <c r="AC271" s="24">
        <f>$W$115*INDEX($C$97:$AL$97,1,7)</f>
        <v/>
      </c>
      <c r="AD271" s="24">
        <f>$W$115*INDEX($C$97:$AL$97,1,8)</f>
        <v/>
      </c>
      <c r="AE271" s="24">
        <f>$W$115*INDEX($C$97:$AL$97,1,9)</f>
        <v/>
      </c>
      <c r="AF271" s="24">
        <f>$W$115*INDEX($C$97:$AL$97,1,10)</f>
        <v/>
      </c>
    </row>
    <row r="272">
      <c r="A272" s="4" t="inlineStr">
        <is>
          <t>Coorte del mese 22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>
        <f>$X$115*INDEX($C$97:$AL$97,1,1)</f>
        <v/>
      </c>
      <c r="Y272" s="24">
        <f>$X$115*INDEX($C$97:$AL$97,1,2)</f>
        <v/>
      </c>
      <c r="Z272" s="24">
        <f>$X$115*INDEX($C$97:$AL$97,1,3)</f>
        <v/>
      </c>
      <c r="AA272" s="24">
        <f>$X$115*INDEX($C$97:$AL$97,1,4)</f>
        <v/>
      </c>
      <c r="AB272" s="24">
        <f>$X$115*INDEX($C$97:$AL$97,1,5)</f>
        <v/>
      </c>
      <c r="AC272" s="24">
        <f>$X$115*INDEX($C$97:$AL$97,1,6)</f>
        <v/>
      </c>
      <c r="AD272" s="24">
        <f>$X$115*INDEX($C$97:$AL$97,1,7)</f>
        <v/>
      </c>
      <c r="AE272" s="24">
        <f>$X$115*INDEX($C$97:$AL$97,1,8)</f>
        <v/>
      </c>
      <c r="AF272" s="24">
        <f>$X$115*INDEX($C$97:$AL$97,1,9)</f>
        <v/>
      </c>
    </row>
    <row r="273">
      <c r="A273" s="4" t="inlineStr">
        <is>
          <t>Coorte del mese 23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>
        <f>$Y$115*INDEX($C$97:$AL$97,1,1)</f>
        <v/>
      </c>
      <c r="Z273" s="24">
        <f>$Y$115*INDEX($C$97:$AL$97,1,2)</f>
        <v/>
      </c>
      <c r="AA273" s="24">
        <f>$Y$115*INDEX($C$97:$AL$97,1,3)</f>
        <v/>
      </c>
      <c r="AB273" s="24">
        <f>$Y$115*INDEX($C$97:$AL$97,1,4)</f>
        <v/>
      </c>
      <c r="AC273" s="24">
        <f>$Y$115*INDEX($C$97:$AL$97,1,5)</f>
        <v/>
      </c>
      <c r="AD273" s="24">
        <f>$Y$115*INDEX($C$97:$AL$97,1,6)</f>
        <v/>
      </c>
      <c r="AE273" s="24">
        <f>$Y$115*INDEX($C$97:$AL$97,1,7)</f>
        <v/>
      </c>
      <c r="AF273" s="24">
        <f>$Y$115*INDEX($C$97:$AL$97,1,8)</f>
        <v/>
      </c>
    </row>
    <row r="274">
      <c r="A274" s="4" t="inlineStr">
        <is>
          <t>Coorte del mese 24</t>
        </is>
      </c>
      <c r="C274" s="24" t="n">
        <v>0</v>
      </c>
      <c r="D274" s="24" t="n">
        <v>0</v>
      </c>
      <c r="E274" s="24" t="n">
        <v>0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24">
        <f>$Z$115*INDEX($C$97:$AL$97,1,1)</f>
        <v/>
      </c>
      <c r="AA274" s="24">
        <f>$Z$115*INDEX($C$97:$AL$97,1,2)</f>
        <v/>
      </c>
      <c r="AB274" s="24">
        <f>$Z$115*INDEX($C$97:$AL$97,1,3)</f>
        <v/>
      </c>
      <c r="AC274" s="24">
        <f>$Z$115*INDEX($C$97:$AL$97,1,4)</f>
        <v/>
      </c>
      <c r="AD274" s="24">
        <f>$Z$115*INDEX($C$97:$AL$97,1,5)</f>
        <v/>
      </c>
      <c r="AE274" s="24">
        <f>$Z$115*INDEX($C$97:$AL$97,1,6)</f>
        <v/>
      </c>
      <c r="AF274" s="24">
        <f>$Z$115*INDEX($C$97:$AL$97,1,7)</f>
        <v/>
      </c>
    </row>
    <row r="275">
      <c r="A275" s="4" t="inlineStr">
        <is>
          <t>Coorte del mese 25</t>
        </is>
      </c>
      <c r="C275" s="24" t="n">
        <v>0</v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>
        <f>$AA$115*INDEX($C$97:$AL$97,1,1)</f>
        <v/>
      </c>
      <c r="AB275" s="24">
        <f>$AA$115*INDEX($C$97:$AL$97,1,2)</f>
        <v/>
      </c>
      <c r="AC275" s="24">
        <f>$AA$115*INDEX($C$97:$AL$97,1,3)</f>
        <v/>
      </c>
      <c r="AD275" s="24">
        <f>$AA$115*INDEX($C$97:$AL$97,1,4)</f>
        <v/>
      </c>
      <c r="AE275" s="24">
        <f>$AA$115*INDEX($C$97:$AL$97,1,5)</f>
        <v/>
      </c>
      <c r="AF275" s="24">
        <f>$AA$115*INDEX($C$97:$AL$97,1,6)</f>
        <v/>
      </c>
    </row>
    <row r="276">
      <c r="A276" s="4" t="inlineStr">
        <is>
          <t>Coorte del mese 26</t>
        </is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24" t="n">
        <v>0</v>
      </c>
      <c r="AA276" s="24" t="n">
        <v>0</v>
      </c>
      <c r="AB276" s="24">
        <f>$AB$115*INDEX($C$97:$AL$97,1,1)</f>
        <v/>
      </c>
      <c r="AC276" s="24">
        <f>$AB$115*INDEX($C$97:$AL$97,1,2)</f>
        <v/>
      </c>
      <c r="AD276" s="24">
        <f>$AB$115*INDEX($C$97:$AL$97,1,3)</f>
        <v/>
      </c>
      <c r="AE276" s="24">
        <f>$AB$115*INDEX($C$97:$AL$97,1,4)</f>
        <v/>
      </c>
      <c r="AF276" s="24">
        <f>$AB$115*INDEX($C$97:$AL$97,1,5)</f>
        <v/>
      </c>
    </row>
    <row r="277">
      <c r="A277" s="4" t="inlineStr">
        <is>
          <t>Coorte del mese 27</t>
        </is>
      </c>
      <c r="C277" s="24" t="n">
        <v>0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>
        <f>$AC$115*INDEX($C$97:$AL$97,1,1)</f>
        <v/>
      </c>
      <c r="AD277" s="24">
        <f>$AC$115*INDEX($C$97:$AL$97,1,2)</f>
        <v/>
      </c>
      <c r="AE277" s="24">
        <f>$AC$115*INDEX($C$97:$AL$97,1,3)</f>
        <v/>
      </c>
      <c r="AF277" s="24">
        <f>$AC$115*INDEX($C$97:$AL$97,1,4)</f>
        <v/>
      </c>
    </row>
    <row r="278">
      <c r="A278" s="4" t="inlineStr">
        <is>
          <t>Coorte del mese 28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>
        <f>$AD$115*INDEX($C$97:$AL$97,1,1)</f>
        <v/>
      </c>
      <c r="AE278" s="24">
        <f>$AD$115*INDEX($C$97:$AL$97,1,2)</f>
        <v/>
      </c>
      <c r="AF278" s="24">
        <f>$AD$115*INDEX($C$97:$AL$97,1,3)</f>
        <v/>
      </c>
    </row>
    <row r="279">
      <c r="A279" s="4" t="inlineStr">
        <is>
          <t>Coorte del mese 29</t>
        </is>
      </c>
      <c r="C279" s="24" t="n">
        <v>0</v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>
        <f>$AE$115*INDEX($C$97:$AL$97,1,1)</f>
        <v/>
      </c>
      <c r="AF279" s="24">
        <f>$AE$115*INDEX($C$97:$AL$97,1,2)</f>
        <v/>
      </c>
    </row>
    <row r="280">
      <c r="A280" s="4" t="inlineStr">
        <is>
          <t>Coorte del mese 30</t>
        </is>
      </c>
      <c r="C280" s="24" t="n">
        <v>0</v>
      </c>
      <c r="D280" s="24" t="n">
        <v>0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24" t="n">
        <v>0</v>
      </c>
      <c r="AA280" s="24" t="n">
        <v>0</v>
      </c>
      <c r="AB280" s="24" t="n">
        <v>0</v>
      </c>
      <c r="AC280" s="24" t="n">
        <v>0</v>
      </c>
      <c r="AD280" s="24" t="n">
        <v>0</v>
      </c>
      <c r="AE280" s="24" t="n">
        <v>0</v>
      </c>
      <c r="AF280" s="24">
        <f>$AF$115*INDEX($C$97:$AL$97,1,1)</f>
        <v/>
      </c>
    </row>
    <row r="281">
      <c r="A281" s="3" t="inlineStr">
        <is>
          <t>Totale singolo: ordini</t>
        </is>
      </c>
      <c r="C281" s="25">
        <f>SUM(C251:C280)</f>
        <v/>
      </c>
      <c r="D281" s="25">
        <f>SUM(D251:D280)</f>
        <v/>
      </c>
      <c r="E281" s="25">
        <f>SUM(E251:E280)</f>
        <v/>
      </c>
      <c r="F281" s="25">
        <f>SUM(F251:F280)</f>
        <v/>
      </c>
      <c r="G281" s="25">
        <f>SUM(G251:G280)</f>
        <v/>
      </c>
      <c r="H281" s="25">
        <f>SUM(H251:H280)</f>
        <v/>
      </c>
      <c r="I281" s="25">
        <f>SUM(I251:I280)</f>
        <v/>
      </c>
      <c r="J281" s="25">
        <f>SUM(J251:J280)</f>
        <v/>
      </c>
      <c r="K281" s="25">
        <f>SUM(K251:K280)</f>
        <v/>
      </c>
      <c r="L281" s="25">
        <f>SUM(L251:L280)</f>
        <v/>
      </c>
      <c r="M281" s="25">
        <f>SUM(M251:M280)</f>
        <v/>
      </c>
      <c r="N281" s="25">
        <f>SUM(N251:N280)</f>
        <v/>
      </c>
      <c r="O281" s="25">
        <f>SUM(O251:O280)</f>
        <v/>
      </c>
      <c r="P281" s="25">
        <f>SUM(P251:P280)</f>
        <v/>
      </c>
      <c r="Q281" s="25">
        <f>SUM(Q251:Q280)</f>
        <v/>
      </c>
      <c r="R281" s="25">
        <f>SUM(R251:R280)</f>
        <v/>
      </c>
      <c r="S281" s="25">
        <f>SUM(S251:S280)</f>
        <v/>
      </c>
      <c r="T281" s="25">
        <f>SUM(T251:T280)</f>
        <v/>
      </c>
      <c r="U281" s="25">
        <f>SUM(U251:U280)</f>
        <v/>
      </c>
      <c r="V281" s="25">
        <f>SUM(V251:V280)</f>
        <v/>
      </c>
      <c r="W281" s="25">
        <f>SUM(W251:W280)</f>
        <v/>
      </c>
      <c r="X281" s="25">
        <f>SUM(X251:X280)</f>
        <v/>
      </c>
      <c r="Y281" s="25">
        <f>SUM(Y251:Y280)</f>
        <v/>
      </c>
      <c r="Z281" s="25">
        <f>SUM(Z251:Z280)</f>
        <v/>
      </c>
      <c r="AA281" s="25">
        <f>SUM(AA251:AA280)</f>
        <v/>
      </c>
      <c r="AB281" s="25">
        <f>SUM(AB251:AB280)</f>
        <v/>
      </c>
      <c r="AC281" s="25">
        <f>SUM(AC251:AC280)</f>
        <v/>
      </c>
      <c r="AD281" s="25">
        <f>SUM(AD251:AD280)</f>
        <v/>
      </c>
      <c r="AE281" s="25">
        <f>SUM(AE251:AE280)</f>
        <v/>
      </c>
      <c r="AF281" s="25">
        <f>SUM(AF251:AF280)</f>
        <v/>
      </c>
    </row>
    <row r="283">
      <c r="A283" s="10" t="inlineStr">
        <is>
          <t>Vendite e costi variabili per mese</t>
        </is>
      </c>
    </row>
    <row r="284">
      <c r="A284" s="3" t="inlineStr">
        <is>
          <t>Incassi lordi (IVA incl.)</t>
        </is>
      </c>
      <c r="B284" s="4" t="inlineStr">
        <is>
          <t>€</t>
        </is>
      </c>
      <c r="C284" s="20">
        <f>C112*$H$76+(C149-C112)*$C$76+C113*$I$76+(C215-C113)*$D$76+C114*$J$76+(C248-C114)*$E$76+C115*$K$76+(C281-C115)*$F$76</f>
        <v/>
      </c>
      <c r="D284" s="20">
        <f>D112*$H$76+(D149-D112)*$C$76+D113*$I$76+(D215-D113)*$D$76+D114*$J$76+(D248-D114)*$E$76+D115*$K$76+(D281-D115)*$F$76</f>
        <v/>
      </c>
      <c r="E284" s="20">
        <f>E112*$H$76+(E149-E112)*$C$76+E113*$I$76+(E215-E113)*$D$76+E114*$J$76+(E248-E114)*$E$76+E115*$K$76+(E281-E115)*$F$76</f>
        <v/>
      </c>
      <c r="F284" s="20">
        <f>F112*$H$76+(F149-F112)*$C$76+F113*$I$76+(F215-F113)*$D$76+F114*$J$76+(F248-F114)*$E$76+F115*$K$76+(F281-F115)*$F$76</f>
        <v/>
      </c>
      <c r="G284" s="20">
        <f>G112*$H$76+(G149-G112)*$C$76+G113*$I$76+(G215-G113)*$D$76+G114*$J$76+(G248-G114)*$E$76+G115*$K$76+(G281-G115)*$F$76</f>
        <v/>
      </c>
      <c r="H284" s="20">
        <f>H112*$H$76+(H149-H112)*$C$76+H113*$I$76+(H215-H113)*$D$76+H114*$J$76+(H248-H114)*$E$76+H115*$K$76+(H281-H115)*$F$76</f>
        <v/>
      </c>
      <c r="I284" s="20">
        <f>I112*$H$76+(I149-I112)*$C$76+I113*$I$76+(I215-I113)*$D$76+I114*$J$76+(I248-I114)*$E$76+I115*$K$76+(I281-I115)*$F$76</f>
        <v/>
      </c>
      <c r="J284" s="20">
        <f>J112*$H$76+(J149-J112)*$C$76+J113*$I$76+(J215-J113)*$D$76+J114*$J$76+(J248-J114)*$E$76+J115*$K$76+(J281-J115)*$F$76</f>
        <v/>
      </c>
      <c r="K284" s="20">
        <f>K112*$H$76+(K149-K112)*$C$76+K113*$I$76+(K215-K113)*$D$76+K114*$J$76+(K248-K114)*$E$76+K115*$K$76+(K281-K115)*$F$76</f>
        <v/>
      </c>
      <c r="L284" s="20">
        <f>L112*$H$76+(L149-L112)*$C$76+L113*$I$76+(L215-L113)*$D$76+L114*$J$76+(L248-L114)*$E$76+L115*$K$76+(L281-L115)*$F$76</f>
        <v/>
      </c>
      <c r="M284" s="20">
        <f>M112*$H$76+(M149-M112)*$C$76+M113*$I$76+(M215-M113)*$D$76+M114*$J$76+(M248-M114)*$E$76+M115*$K$76+(M281-M115)*$F$76</f>
        <v/>
      </c>
      <c r="N284" s="20">
        <f>N112*$H$76+(N149-N112)*$C$76+N113*$I$76+(N215-N113)*$D$76+N114*$J$76+(N248-N114)*$E$76+N115*$K$76+(N281-N115)*$F$76</f>
        <v/>
      </c>
      <c r="O284" s="20">
        <f>O112*$H$76+(O149-O112)*$C$76+O113*$I$76+(O215-O113)*$D$76+O114*$J$76+(O248-O114)*$E$76+O115*$K$76+(O281-O115)*$F$76</f>
        <v/>
      </c>
      <c r="P284" s="20">
        <f>P112*$H$76+(P149-P112)*$C$76+P113*$I$76+(P215-P113)*$D$76+P114*$J$76+(P248-P114)*$E$76+P115*$K$76+(P281-P115)*$F$76</f>
        <v/>
      </c>
      <c r="Q284" s="20">
        <f>Q112*$H$76+(Q149-Q112)*$C$76+Q113*$I$76+(Q215-Q113)*$D$76+Q114*$J$76+(Q248-Q114)*$E$76+Q115*$K$76+(Q281-Q115)*$F$76</f>
        <v/>
      </c>
      <c r="R284" s="20">
        <f>R112*$H$76+(R149-R112)*$C$76+R113*$I$76+(R215-R113)*$D$76+R114*$J$76+(R248-R114)*$E$76+R115*$K$76+(R281-R115)*$F$76</f>
        <v/>
      </c>
      <c r="S284" s="20">
        <f>S112*$H$76+(S149-S112)*$C$76+S113*$I$76+(S215-S113)*$D$76+S114*$J$76+(S248-S114)*$E$76+S115*$K$76+(S281-S115)*$F$76</f>
        <v/>
      </c>
      <c r="T284" s="20">
        <f>T112*$H$76+(T149-T112)*$C$76+T113*$I$76+(T215-T113)*$D$76+T114*$J$76+(T248-T114)*$E$76+T115*$K$76+(T281-T115)*$F$76</f>
        <v/>
      </c>
      <c r="U284" s="20">
        <f>U112*$H$76+(U149-U112)*$C$76+U113*$I$76+(U215-U113)*$D$76+U114*$J$76+(U248-U114)*$E$76+U115*$K$76+(U281-U115)*$F$76</f>
        <v/>
      </c>
      <c r="V284" s="20">
        <f>V112*$H$76+(V149-V112)*$C$76+V113*$I$76+(V215-V113)*$D$76+V114*$J$76+(V248-V114)*$E$76+V115*$K$76+(V281-V115)*$F$76</f>
        <v/>
      </c>
      <c r="W284" s="20">
        <f>W112*$H$76+(W149-W112)*$C$76+W113*$I$76+(W215-W113)*$D$76+W114*$J$76+(W248-W114)*$E$76+W115*$K$76+(W281-W115)*$F$76</f>
        <v/>
      </c>
      <c r="X284" s="20">
        <f>X112*$H$76+(X149-X112)*$C$76+X113*$I$76+(X215-X113)*$D$76+X114*$J$76+(X248-X114)*$E$76+X115*$K$76+(X281-X115)*$F$76</f>
        <v/>
      </c>
      <c r="Y284" s="20">
        <f>Y112*$H$76+(Y149-Y112)*$C$76+Y113*$I$76+(Y215-Y113)*$D$76+Y114*$J$76+(Y248-Y114)*$E$76+Y115*$K$76+(Y281-Y115)*$F$76</f>
        <v/>
      </c>
      <c r="Z284" s="20">
        <f>Z112*$H$76+(Z149-Z112)*$C$76+Z113*$I$76+(Z215-Z113)*$D$76+Z114*$J$76+(Z248-Z114)*$E$76+Z115*$K$76+(Z281-Z115)*$F$76</f>
        <v/>
      </c>
      <c r="AA284" s="20">
        <f>AA112*$H$76+(AA149-AA112)*$C$76+AA113*$I$76+(AA215-AA113)*$D$76+AA114*$J$76+(AA248-AA114)*$E$76+AA115*$K$76+(AA281-AA115)*$F$76</f>
        <v/>
      </c>
      <c r="AB284" s="20">
        <f>AB112*$H$76+(AB149-AB112)*$C$76+AB113*$I$76+(AB215-AB113)*$D$76+AB114*$J$76+(AB248-AB114)*$E$76+AB115*$K$76+(AB281-AB115)*$F$76</f>
        <v/>
      </c>
      <c r="AC284" s="20">
        <f>AC112*$H$76+(AC149-AC112)*$C$76+AC113*$I$76+(AC215-AC113)*$D$76+AC114*$J$76+(AC248-AC114)*$E$76+AC115*$K$76+(AC281-AC115)*$F$76</f>
        <v/>
      </c>
      <c r="AD284" s="20">
        <f>AD112*$H$76+(AD149-AD112)*$C$76+AD113*$I$76+(AD215-AD113)*$D$76+AD114*$J$76+(AD248-AD114)*$E$76+AD115*$K$76+(AD281-AD115)*$F$76</f>
        <v/>
      </c>
      <c r="AE284" s="20">
        <f>AE112*$H$76+(AE149-AE112)*$C$76+AE113*$I$76+(AE215-AE113)*$D$76+AE114*$J$76+(AE248-AE114)*$E$76+AE115*$K$76+(AE281-AE115)*$F$76</f>
        <v/>
      </c>
      <c r="AF284" s="20">
        <f>AF112*$H$76+(AF149-AF112)*$C$76+AF113*$I$76+(AF215-AF113)*$D$76+AF114*$J$76+(AF248-AF114)*$E$76+AF115*$K$76+(AF281-AF115)*$F$76</f>
        <v/>
      </c>
    </row>
    <row r="285">
      <c r="A285" s="3" t="inlineStr">
        <is>
          <t>Ricavi netti IVA</t>
        </is>
      </c>
      <c r="B285" s="4" t="inlineStr">
        <is>
          <t>€</t>
        </is>
      </c>
      <c r="C285" s="20">
        <f>C112*$H$77+(C149-C112)*$C$77+C113*$I$77+(C215-C113)*$D$77+C114*$J$77+(C248-C114)*$E$77+C115*$K$77+(C281-C115)*$F$77</f>
        <v/>
      </c>
      <c r="D285" s="20">
        <f>D112*$H$77+(D149-D112)*$C$77+D113*$I$77+(D215-D113)*$D$77+D114*$J$77+(D248-D114)*$E$77+D115*$K$77+(D281-D115)*$F$77</f>
        <v/>
      </c>
      <c r="E285" s="20">
        <f>E112*$H$77+(E149-E112)*$C$77+E113*$I$77+(E215-E113)*$D$77+E114*$J$77+(E248-E114)*$E$77+E115*$K$77+(E281-E115)*$F$77</f>
        <v/>
      </c>
      <c r="F285" s="20">
        <f>F112*$H$77+(F149-F112)*$C$77+F113*$I$77+(F215-F113)*$D$77+F114*$J$77+(F248-F114)*$E$77+F115*$K$77+(F281-F115)*$F$77</f>
        <v/>
      </c>
      <c r="G285" s="20">
        <f>G112*$H$77+(G149-G112)*$C$77+G113*$I$77+(G215-G113)*$D$77+G114*$J$77+(G248-G114)*$E$77+G115*$K$77+(G281-G115)*$F$77</f>
        <v/>
      </c>
      <c r="H285" s="20">
        <f>H112*$H$77+(H149-H112)*$C$77+H113*$I$77+(H215-H113)*$D$77+H114*$J$77+(H248-H114)*$E$77+H115*$K$77+(H281-H115)*$F$77</f>
        <v/>
      </c>
      <c r="I285" s="20">
        <f>I112*$H$77+(I149-I112)*$C$77+I113*$I$77+(I215-I113)*$D$77+I114*$J$77+(I248-I114)*$E$77+I115*$K$77+(I281-I115)*$F$77</f>
        <v/>
      </c>
      <c r="J285" s="20">
        <f>J112*$H$77+(J149-J112)*$C$77+J113*$I$77+(J215-J113)*$D$77+J114*$J$77+(J248-J114)*$E$77+J115*$K$77+(J281-J115)*$F$77</f>
        <v/>
      </c>
      <c r="K285" s="20">
        <f>K112*$H$77+(K149-K112)*$C$77+K113*$I$77+(K215-K113)*$D$77+K114*$J$77+(K248-K114)*$E$77+K115*$K$77+(K281-K115)*$F$77</f>
        <v/>
      </c>
      <c r="L285" s="20">
        <f>L112*$H$77+(L149-L112)*$C$77+L113*$I$77+(L215-L113)*$D$77+L114*$J$77+(L248-L114)*$E$77+L115*$K$77+(L281-L115)*$F$77</f>
        <v/>
      </c>
      <c r="M285" s="20">
        <f>M112*$H$77+(M149-M112)*$C$77+M113*$I$77+(M215-M113)*$D$77+M114*$J$77+(M248-M114)*$E$77+M115*$K$77+(M281-M115)*$F$77</f>
        <v/>
      </c>
      <c r="N285" s="20">
        <f>N112*$H$77+(N149-N112)*$C$77+N113*$I$77+(N215-N113)*$D$77+N114*$J$77+(N248-N114)*$E$77+N115*$K$77+(N281-N115)*$F$77</f>
        <v/>
      </c>
      <c r="O285" s="20">
        <f>O112*$H$77+(O149-O112)*$C$77+O113*$I$77+(O215-O113)*$D$77+O114*$J$77+(O248-O114)*$E$77+O115*$K$77+(O281-O115)*$F$77</f>
        <v/>
      </c>
      <c r="P285" s="20">
        <f>P112*$H$77+(P149-P112)*$C$77+P113*$I$77+(P215-P113)*$D$77+P114*$J$77+(P248-P114)*$E$77+P115*$K$77+(P281-P115)*$F$77</f>
        <v/>
      </c>
      <c r="Q285" s="20">
        <f>Q112*$H$77+(Q149-Q112)*$C$77+Q113*$I$77+(Q215-Q113)*$D$77+Q114*$J$77+(Q248-Q114)*$E$77+Q115*$K$77+(Q281-Q115)*$F$77</f>
        <v/>
      </c>
      <c r="R285" s="20">
        <f>R112*$H$77+(R149-R112)*$C$77+R113*$I$77+(R215-R113)*$D$77+R114*$J$77+(R248-R114)*$E$77+R115*$K$77+(R281-R115)*$F$77</f>
        <v/>
      </c>
      <c r="S285" s="20">
        <f>S112*$H$77+(S149-S112)*$C$77+S113*$I$77+(S215-S113)*$D$77+S114*$J$77+(S248-S114)*$E$77+S115*$K$77+(S281-S115)*$F$77</f>
        <v/>
      </c>
      <c r="T285" s="20">
        <f>T112*$H$77+(T149-T112)*$C$77+T113*$I$77+(T215-T113)*$D$77+T114*$J$77+(T248-T114)*$E$77+T115*$K$77+(T281-T115)*$F$77</f>
        <v/>
      </c>
      <c r="U285" s="20">
        <f>U112*$H$77+(U149-U112)*$C$77+U113*$I$77+(U215-U113)*$D$77+U114*$J$77+(U248-U114)*$E$77+U115*$K$77+(U281-U115)*$F$77</f>
        <v/>
      </c>
      <c r="V285" s="20">
        <f>V112*$H$77+(V149-V112)*$C$77+V113*$I$77+(V215-V113)*$D$77+V114*$J$77+(V248-V114)*$E$77+V115*$K$77+(V281-V115)*$F$77</f>
        <v/>
      </c>
      <c r="W285" s="20">
        <f>W112*$H$77+(W149-W112)*$C$77+W113*$I$77+(W215-W113)*$D$77+W114*$J$77+(W248-W114)*$E$77+W115*$K$77+(W281-W115)*$F$77</f>
        <v/>
      </c>
      <c r="X285" s="20">
        <f>X112*$H$77+(X149-X112)*$C$77+X113*$I$77+(X215-X113)*$D$77+X114*$J$77+(X248-X114)*$E$77+X115*$K$77+(X281-X115)*$F$77</f>
        <v/>
      </c>
      <c r="Y285" s="20">
        <f>Y112*$H$77+(Y149-Y112)*$C$77+Y113*$I$77+(Y215-Y113)*$D$77+Y114*$J$77+(Y248-Y114)*$E$77+Y115*$K$77+(Y281-Y115)*$F$77</f>
        <v/>
      </c>
      <c r="Z285" s="20">
        <f>Z112*$H$77+(Z149-Z112)*$C$77+Z113*$I$77+(Z215-Z113)*$D$77+Z114*$J$77+(Z248-Z114)*$E$77+Z115*$K$77+(Z281-Z115)*$F$77</f>
        <v/>
      </c>
      <c r="AA285" s="20">
        <f>AA112*$H$77+(AA149-AA112)*$C$77+AA113*$I$77+(AA215-AA113)*$D$77+AA114*$J$77+(AA248-AA114)*$E$77+AA115*$K$77+(AA281-AA115)*$F$77</f>
        <v/>
      </c>
      <c r="AB285" s="20">
        <f>AB112*$H$77+(AB149-AB112)*$C$77+AB113*$I$77+(AB215-AB113)*$D$77+AB114*$J$77+(AB248-AB114)*$E$77+AB115*$K$77+(AB281-AB115)*$F$77</f>
        <v/>
      </c>
      <c r="AC285" s="20">
        <f>AC112*$H$77+(AC149-AC112)*$C$77+AC113*$I$77+(AC215-AC113)*$D$77+AC114*$J$77+(AC248-AC114)*$E$77+AC115*$K$77+(AC281-AC115)*$F$77</f>
        <v/>
      </c>
      <c r="AD285" s="20">
        <f>AD112*$H$77+(AD149-AD112)*$C$77+AD113*$I$77+(AD215-AD113)*$D$77+AD114*$J$77+(AD248-AD114)*$E$77+AD115*$K$77+(AD281-AD115)*$F$77</f>
        <v/>
      </c>
      <c r="AE285" s="20">
        <f>AE112*$H$77+(AE149-AE112)*$C$77+AE113*$I$77+(AE215-AE113)*$D$77+AE114*$J$77+(AE248-AE114)*$E$77+AE115*$K$77+(AE281-AE115)*$F$77</f>
        <v/>
      </c>
      <c r="AF285" s="20">
        <f>AF112*$H$77+(AF149-AF112)*$C$77+AF113*$I$77+(AF215-AF113)*$D$77+AF114*$J$77+(AF248-AF114)*$E$77+AF115*$K$77+(AF281-AF115)*$F$77</f>
        <v/>
      </c>
    </row>
    <row r="286">
      <c r="A286" s="3" t="inlineStr">
        <is>
          <t>IVA sulle vendite</t>
        </is>
      </c>
      <c r="B286" s="4" t="inlineStr">
        <is>
          <t>€</t>
        </is>
      </c>
      <c r="C286" s="20">
        <f>C284-C285</f>
        <v/>
      </c>
      <c r="D286" s="20">
        <f>D284-D285</f>
        <v/>
      </c>
      <c r="E286" s="20">
        <f>E284-E285</f>
        <v/>
      </c>
      <c r="F286" s="20">
        <f>F284-F285</f>
        <v/>
      </c>
      <c r="G286" s="20">
        <f>G284-G285</f>
        <v/>
      </c>
      <c r="H286" s="20">
        <f>H284-H285</f>
        <v/>
      </c>
      <c r="I286" s="20">
        <f>I284-I285</f>
        <v/>
      </c>
      <c r="J286" s="20">
        <f>J284-J285</f>
        <v/>
      </c>
      <c r="K286" s="20">
        <f>K284-K285</f>
        <v/>
      </c>
      <c r="L286" s="20">
        <f>L284-L285</f>
        <v/>
      </c>
      <c r="M286" s="20">
        <f>M284-M285</f>
        <v/>
      </c>
      <c r="N286" s="20">
        <f>N284-N285</f>
        <v/>
      </c>
      <c r="O286" s="20">
        <f>O284-O285</f>
        <v/>
      </c>
      <c r="P286" s="20">
        <f>P284-P285</f>
        <v/>
      </c>
      <c r="Q286" s="20">
        <f>Q284-Q285</f>
        <v/>
      </c>
      <c r="R286" s="20">
        <f>R284-R285</f>
        <v/>
      </c>
      <c r="S286" s="20">
        <f>S284-S285</f>
        <v/>
      </c>
      <c r="T286" s="20">
        <f>T284-T285</f>
        <v/>
      </c>
      <c r="U286" s="20">
        <f>U284-U285</f>
        <v/>
      </c>
      <c r="V286" s="20">
        <f>V284-V285</f>
        <v/>
      </c>
      <c r="W286" s="20">
        <f>W284-W285</f>
        <v/>
      </c>
      <c r="X286" s="20">
        <f>X284-X285</f>
        <v/>
      </c>
      <c r="Y286" s="20">
        <f>Y284-Y285</f>
        <v/>
      </c>
      <c r="Z286" s="20">
        <f>Z284-Z285</f>
        <v/>
      </c>
      <c r="AA286" s="20">
        <f>AA284-AA285</f>
        <v/>
      </c>
      <c r="AB286" s="20">
        <f>AB284-AB285</f>
        <v/>
      </c>
      <c r="AC286" s="20">
        <f>AC284-AC285</f>
        <v/>
      </c>
      <c r="AD286" s="20">
        <f>AD284-AD285</f>
        <v/>
      </c>
      <c r="AE286" s="20">
        <f>AE284-AE285</f>
        <v/>
      </c>
      <c r="AF286" s="20">
        <f>AF284-AF285</f>
        <v/>
      </c>
    </row>
    <row r="287">
      <c r="A287" s="3" t="inlineStr">
        <is>
          <t>Rimborsi di garanzia pagati (lordi)</t>
        </is>
      </c>
      <c r="B287" s="4" t="inlineStr">
        <is>
          <t>€</t>
        </is>
      </c>
      <c r="C287" s="20">
        <f>C182*$H$76</f>
        <v/>
      </c>
      <c r="D287" s="20">
        <f>D182*$H$76</f>
        <v/>
      </c>
      <c r="E287" s="20">
        <f>E182*$H$76</f>
        <v/>
      </c>
      <c r="F287" s="20">
        <f>F182*$H$76</f>
        <v/>
      </c>
      <c r="G287" s="20">
        <f>G182*$H$76</f>
        <v/>
      </c>
      <c r="H287" s="20">
        <f>H182*$H$76</f>
        <v/>
      </c>
      <c r="I287" s="20">
        <f>I182*$H$76</f>
        <v/>
      </c>
      <c r="J287" s="20">
        <f>J182*$H$76</f>
        <v/>
      </c>
      <c r="K287" s="20">
        <f>K182*$H$76</f>
        <v/>
      </c>
      <c r="L287" s="20">
        <f>L182*$H$76</f>
        <v/>
      </c>
      <c r="M287" s="20">
        <f>M182*$H$76</f>
        <v/>
      </c>
      <c r="N287" s="20">
        <f>N182*$H$76</f>
        <v/>
      </c>
      <c r="O287" s="20">
        <f>O182*$H$76</f>
        <v/>
      </c>
      <c r="P287" s="20">
        <f>P182*$H$76</f>
        <v/>
      </c>
      <c r="Q287" s="20">
        <f>Q182*$H$76</f>
        <v/>
      </c>
      <c r="R287" s="20">
        <f>R182*$H$76</f>
        <v/>
      </c>
      <c r="S287" s="20">
        <f>S182*$H$76</f>
        <v/>
      </c>
      <c r="T287" s="20">
        <f>T182*$H$76</f>
        <v/>
      </c>
      <c r="U287" s="20">
        <f>U182*$H$76</f>
        <v/>
      </c>
      <c r="V287" s="20">
        <f>V182*$H$76</f>
        <v/>
      </c>
      <c r="W287" s="20">
        <f>W182*$H$76</f>
        <v/>
      </c>
      <c r="X287" s="20">
        <f>X182*$H$76</f>
        <v/>
      </c>
      <c r="Y287" s="20">
        <f>Y182*$H$76</f>
        <v/>
      </c>
      <c r="Z287" s="20">
        <f>Z182*$H$76</f>
        <v/>
      </c>
      <c r="AA287" s="20">
        <f>AA182*$H$76</f>
        <v/>
      </c>
      <c r="AB287" s="20">
        <f>AB182*$H$76</f>
        <v/>
      </c>
      <c r="AC287" s="20">
        <f>AC182*$H$76</f>
        <v/>
      </c>
      <c r="AD287" s="20">
        <f>AD182*$H$76</f>
        <v/>
      </c>
      <c r="AE287" s="20">
        <f>AE182*$H$76</f>
        <v/>
      </c>
      <c r="AF287" s="20">
        <f>AF182*$H$76</f>
        <v/>
      </c>
    </row>
    <row r="288">
      <c r="A288" s="3" t="inlineStr">
        <is>
          <t>IVA recuperata sui rimborsi</t>
        </is>
      </c>
      <c r="B288" s="4" t="inlineStr">
        <is>
          <t>€</t>
        </is>
      </c>
      <c r="C288" s="20">
        <f>C182*($H$76-$H$77)</f>
        <v/>
      </c>
      <c r="D288" s="20">
        <f>D182*($H$76-$H$77)</f>
        <v/>
      </c>
      <c r="E288" s="20">
        <f>E182*($H$76-$H$77)</f>
        <v/>
      </c>
      <c r="F288" s="20">
        <f>F182*($H$76-$H$77)</f>
        <v/>
      </c>
      <c r="G288" s="20">
        <f>G182*($H$76-$H$77)</f>
        <v/>
      </c>
      <c r="H288" s="20">
        <f>H182*($H$76-$H$77)</f>
        <v/>
      </c>
      <c r="I288" s="20">
        <f>I182*($H$76-$H$77)</f>
        <v/>
      </c>
      <c r="J288" s="20">
        <f>J182*($H$76-$H$77)</f>
        <v/>
      </c>
      <c r="K288" s="20">
        <f>K182*($H$76-$H$77)</f>
        <v/>
      </c>
      <c r="L288" s="20">
        <f>L182*($H$76-$H$77)</f>
        <v/>
      </c>
      <c r="M288" s="20">
        <f>M182*($H$76-$H$77)</f>
        <v/>
      </c>
      <c r="N288" s="20">
        <f>N182*($H$76-$H$77)</f>
        <v/>
      </c>
      <c r="O288" s="20">
        <f>O182*($H$76-$H$77)</f>
        <v/>
      </c>
      <c r="P288" s="20">
        <f>P182*($H$76-$H$77)</f>
        <v/>
      </c>
      <c r="Q288" s="20">
        <f>Q182*($H$76-$H$77)</f>
        <v/>
      </c>
      <c r="R288" s="20">
        <f>R182*($H$76-$H$77)</f>
        <v/>
      </c>
      <c r="S288" s="20">
        <f>S182*($H$76-$H$77)</f>
        <v/>
      </c>
      <c r="T288" s="20">
        <f>T182*($H$76-$H$77)</f>
        <v/>
      </c>
      <c r="U288" s="20">
        <f>U182*($H$76-$H$77)</f>
        <v/>
      </c>
      <c r="V288" s="20">
        <f>V182*($H$76-$H$77)</f>
        <v/>
      </c>
      <c r="W288" s="20">
        <f>W182*($H$76-$H$77)</f>
        <v/>
      </c>
      <c r="X288" s="20">
        <f>X182*($H$76-$H$77)</f>
        <v/>
      </c>
      <c r="Y288" s="20">
        <f>Y182*($H$76-$H$77)</f>
        <v/>
      </c>
      <c r="Z288" s="20">
        <f>Z182*($H$76-$H$77)</f>
        <v/>
      </c>
      <c r="AA288" s="20">
        <f>AA182*($H$76-$H$77)</f>
        <v/>
      </c>
      <c r="AB288" s="20">
        <f>AB182*($H$76-$H$77)</f>
        <v/>
      </c>
      <c r="AC288" s="20">
        <f>AC182*($H$76-$H$77)</f>
        <v/>
      </c>
      <c r="AD288" s="20">
        <f>AD182*($H$76-$H$77)</f>
        <v/>
      </c>
      <c r="AE288" s="20">
        <f>AE182*($H$76-$H$77)</f>
        <v/>
      </c>
      <c r="AF288" s="20">
        <f>AF182*($H$76-$H$77)</f>
        <v/>
      </c>
    </row>
    <row r="289">
      <c r="A289" s="3" t="inlineStr">
        <is>
          <t>Logistica (netto IVA)</t>
        </is>
      </c>
      <c r="B289" s="4" t="inlineStr">
        <is>
          <t>€</t>
        </is>
      </c>
      <c r="C289" s="20">
        <f>C112*$H$79+(C149-C112)*$C$79+C113*$I$79+(C215-C113)*$D$79+C114*$J$79+(C248-C114)*$E$79+C115*$K$79+(C281-C115)*$F$79</f>
        <v/>
      </c>
      <c r="D289" s="20">
        <f>D112*$H$79+(D149-D112)*$C$79+D113*$I$79+(D215-D113)*$D$79+D114*$J$79+(D248-D114)*$E$79+D115*$K$79+(D281-D115)*$F$79</f>
        <v/>
      </c>
      <c r="E289" s="20">
        <f>E112*$H$79+(E149-E112)*$C$79+E113*$I$79+(E215-E113)*$D$79+E114*$J$79+(E248-E114)*$E$79+E115*$K$79+(E281-E115)*$F$79</f>
        <v/>
      </c>
      <c r="F289" s="20">
        <f>F112*$H$79+(F149-F112)*$C$79+F113*$I$79+(F215-F113)*$D$79+F114*$J$79+(F248-F114)*$E$79+F115*$K$79+(F281-F115)*$F$79</f>
        <v/>
      </c>
      <c r="G289" s="20">
        <f>G112*$H$79+(G149-G112)*$C$79+G113*$I$79+(G215-G113)*$D$79+G114*$J$79+(G248-G114)*$E$79+G115*$K$79+(G281-G115)*$F$79</f>
        <v/>
      </c>
      <c r="H289" s="20">
        <f>H112*$H$79+(H149-H112)*$C$79+H113*$I$79+(H215-H113)*$D$79+H114*$J$79+(H248-H114)*$E$79+H115*$K$79+(H281-H115)*$F$79</f>
        <v/>
      </c>
      <c r="I289" s="20">
        <f>I112*$H$79+(I149-I112)*$C$79+I113*$I$79+(I215-I113)*$D$79+I114*$J$79+(I248-I114)*$E$79+I115*$K$79+(I281-I115)*$F$79</f>
        <v/>
      </c>
      <c r="J289" s="20">
        <f>J112*$H$79+(J149-J112)*$C$79+J113*$I$79+(J215-J113)*$D$79+J114*$J$79+(J248-J114)*$E$79+J115*$K$79+(J281-J115)*$F$79</f>
        <v/>
      </c>
      <c r="K289" s="20">
        <f>K112*$H$79+(K149-K112)*$C$79+K113*$I$79+(K215-K113)*$D$79+K114*$J$79+(K248-K114)*$E$79+K115*$K$79+(K281-K115)*$F$79</f>
        <v/>
      </c>
      <c r="L289" s="20">
        <f>L112*$H$79+(L149-L112)*$C$79+L113*$I$79+(L215-L113)*$D$79+L114*$J$79+(L248-L114)*$E$79+L115*$K$79+(L281-L115)*$F$79</f>
        <v/>
      </c>
      <c r="M289" s="20">
        <f>M112*$H$79+(M149-M112)*$C$79+M113*$I$79+(M215-M113)*$D$79+M114*$J$79+(M248-M114)*$E$79+M115*$K$79+(M281-M115)*$F$79</f>
        <v/>
      </c>
      <c r="N289" s="20">
        <f>N112*$H$79+(N149-N112)*$C$79+N113*$I$79+(N215-N113)*$D$79+N114*$J$79+(N248-N114)*$E$79+N115*$K$79+(N281-N115)*$F$79</f>
        <v/>
      </c>
      <c r="O289" s="20">
        <f>O112*$H$79+(O149-O112)*$C$79+O113*$I$79+(O215-O113)*$D$79+O114*$J$79+(O248-O114)*$E$79+O115*$K$79+(O281-O115)*$F$79</f>
        <v/>
      </c>
      <c r="P289" s="20">
        <f>P112*$H$79+(P149-P112)*$C$79+P113*$I$79+(P215-P113)*$D$79+P114*$J$79+(P248-P114)*$E$79+P115*$K$79+(P281-P115)*$F$79</f>
        <v/>
      </c>
      <c r="Q289" s="20">
        <f>Q112*$H$79+(Q149-Q112)*$C$79+Q113*$I$79+(Q215-Q113)*$D$79+Q114*$J$79+(Q248-Q114)*$E$79+Q115*$K$79+(Q281-Q115)*$F$79</f>
        <v/>
      </c>
      <c r="R289" s="20">
        <f>R112*$H$79+(R149-R112)*$C$79+R113*$I$79+(R215-R113)*$D$79+R114*$J$79+(R248-R114)*$E$79+R115*$K$79+(R281-R115)*$F$79</f>
        <v/>
      </c>
      <c r="S289" s="20">
        <f>S112*$H$79+(S149-S112)*$C$79+S113*$I$79+(S215-S113)*$D$79+S114*$J$79+(S248-S114)*$E$79+S115*$K$79+(S281-S115)*$F$79</f>
        <v/>
      </c>
      <c r="T289" s="20">
        <f>T112*$H$79+(T149-T112)*$C$79+T113*$I$79+(T215-T113)*$D$79+T114*$J$79+(T248-T114)*$E$79+T115*$K$79+(T281-T115)*$F$79</f>
        <v/>
      </c>
      <c r="U289" s="20">
        <f>U112*$H$79+(U149-U112)*$C$79+U113*$I$79+(U215-U113)*$D$79+U114*$J$79+(U248-U114)*$E$79+U115*$K$79+(U281-U115)*$F$79</f>
        <v/>
      </c>
      <c r="V289" s="20">
        <f>V112*$H$79+(V149-V112)*$C$79+V113*$I$79+(V215-V113)*$D$79+V114*$J$79+(V248-V114)*$E$79+V115*$K$79+(V281-V115)*$F$79</f>
        <v/>
      </c>
      <c r="W289" s="20">
        <f>W112*$H$79+(W149-W112)*$C$79+W113*$I$79+(W215-W113)*$D$79+W114*$J$79+(W248-W114)*$E$79+W115*$K$79+(W281-W115)*$F$79</f>
        <v/>
      </c>
      <c r="X289" s="20">
        <f>X112*$H$79+(X149-X112)*$C$79+X113*$I$79+(X215-X113)*$D$79+X114*$J$79+(X248-X114)*$E$79+X115*$K$79+(X281-X115)*$F$79</f>
        <v/>
      </c>
      <c r="Y289" s="20">
        <f>Y112*$H$79+(Y149-Y112)*$C$79+Y113*$I$79+(Y215-Y113)*$D$79+Y114*$J$79+(Y248-Y114)*$E$79+Y115*$K$79+(Y281-Y115)*$F$79</f>
        <v/>
      </c>
      <c r="Z289" s="20">
        <f>Z112*$H$79+(Z149-Z112)*$C$79+Z113*$I$79+(Z215-Z113)*$D$79+Z114*$J$79+(Z248-Z114)*$E$79+Z115*$K$79+(Z281-Z115)*$F$79</f>
        <v/>
      </c>
      <c r="AA289" s="20">
        <f>AA112*$H$79+(AA149-AA112)*$C$79+AA113*$I$79+(AA215-AA113)*$D$79+AA114*$J$79+(AA248-AA114)*$E$79+AA115*$K$79+(AA281-AA115)*$F$79</f>
        <v/>
      </c>
      <c r="AB289" s="20">
        <f>AB112*$H$79+(AB149-AB112)*$C$79+AB113*$I$79+(AB215-AB113)*$D$79+AB114*$J$79+(AB248-AB114)*$E$79+AB115*$K$79+(AB281-AB115)*$F$79</f>
        <v/>
      </c>
      <c r="AC289" s="20">
        <f>AC112*$H$79+(AC149-AC112)*$C$79+AC113*$I$79+(AC215-AC113)*$D$79+AC114*$J$79+(AC248-AC114)*$E$79+AC115*$K$79+(AC281-AC115)*$F$79</f>
        <v/>
      </c>
      <c r="AD289" s="20">
        <f>AD112*$H$79+(AD149-AD112)*$C$79+AD113*$I$79+(AD215-AD113)*$D$79+AD114*$J$79+(AD248-AD114)*$E$79+AD115*$K$79+(AD281-AD115)*$F$79</f>
        <v/>
      </c>
      <c r="AE289" s="20">
        <f>AE112*$H$79+(AE149-AE112)*$C$79+AE113*$I$79+(AE215-AE113)*$D$79+AE114*$J$79+(AE248-AE114)*$E$79+AE115*$K$79+(AE281-AE115)*$F$79</f>
        <v/>
      </c>
      <c r="AF289" s="20">
        <f>AF112*$H$79+(AF149-AF112)*$C$79+AF113*$I$79+(AF215-AF113)*$D$79+AF114*$J$79+(AF248-AF114)*$E$79+AF115*$K$79+(AF281-AF115)*$F$79</f>
        <v/>
      </c>
    </row>
    <row r="290">
      <c r="A290" s="3" t="inlineStr">
        <is>
          <t>Commissioni di incasso</t>
        </is>
      </c>
      <c r="B290" s="4" t="inlineStr">
        <is>
          <t>€</t>
        </is>
      </c>
      <c r="C290" s="20">
        <f>C112*$H$80+(C149-C112)*$C$80+C113*$I$80+(C215-C113)*$D$80+C114*$J$80+(C248-C114)*$E$80+C115*$K$80+(C281-C115)*$F$80</f>
        <v/>
      </c>
      <c r="D290" s="20">
        <f>D112*$H$80+(D149-D112)*$C$80+D113*$I$80+(D215-D113)*$D$80+D114*$J$80+(D248-D114)*$E$80+D115*$K$80+(D281-D115)*$F$80</f>
        <v/>
      </c>
      <c r="E290" s="20">
        <f>E112*$H$80+(E149-E112)*$C$80+E113*$I$80+(E215-E113)*$D$80+E114*$J$80+(E248-E114)*$E$80+E115*$K$80+(E281-E115)*$F$80</f>
        <v/>
      </c>
      <c r="F290" s="20">
        <f>F112*$H$80+(F149-F112)*$C$80+F113*$I$80+(F215-F113)*$D$80+F114*$J$80+(F248-F114)*$E$80+F115*$K$80+(F281-F115)*$F$80</f>
        <v/>
      </c>
      <c r="G290" s="20">
        <f>G112*$H$80+(G149-G112)*$C$80+G113*$I$80+(G215-G113)*$D$80+G114*$J$80+(G248-G114)*$E$80+G115*$K$80+(G281-G115)*$F$80</f>
        <v/>
      </c>
      <c r="H290" s="20">
        <f>H112*$H$80+(H149-H112)*$C$80+H113*$I$80+(H215-H113)*$D$80+H114*$J$80+(H248-H114)*$E$80+H115*$K$80+(H281-H115)*$F$80</f>
        <v/>
      </c>
      <c r="I290" s="20">
        <f>I112*$H$80+(I149-I112)*$C$80+I113*$I$80+(I215-I113)*$D$80+I114*$J$80+(I248-I114)*$E$80+I115*$K$80+(I281-I115)*$F$80</f>
        <v/>
      </c>
      <c r="J290" s="20">
        <f>J112*$H$80+(J149-J112)*$C$80+J113*$I$80+(J215-J113)*$D$80+J114*$J$80+(J248-J114)*$E$80+J115*$K$80+(J281-J115)*$F$80</f>
        <v/>
      </c>
      <c r="K290" s="20">
        <f>K112*$H$80+(K149-K112)*$C$80+K113*$I$80+(K215-K113)*$D$80+K114*$J$80+(K248-K114)*$E$80+K115*$K$80+(K281-K115)*$F$80</f>
        <v/>
      </c>
      <c r="L290" s="20">
        <f>L112*$H$80+(L149-L112)*$C$80+L113*$I$80+(L215-L113)*$D$80+L114*$J$80+(L248-L114)*$E$80+L115*$K$80+(L281-L115)*$F$80</f>
        <v/>
      </c>
      <c r="M290" s="20">
        <f>M112*$H$80+(M149-M112)*$C$80+M113*$I$80+(M215-M113)*$D$80+M114*$J$80+(M248-M114)*$E$80+M115*$K$80+(M281-M115)*$F$80</f>
        <v/>
      </c>
      <c r="N290" s="20">
        <f>N112*$H$80+(N149-N112)*$C$80+N113*$I$80+(N215-N113)*$D$80+N114*$J$80+(N248-N114)*$E$80+N115*$K$80+(N281-N115)*$F$80</f>
        <v/>
      </c>
      <c r="O290" s="20">
        <f>O112*$H$80+(O149-O112)*$C$80+O113*$I$80+(O215-O113)*$D$80+O114*$J$80+(O248-O114)*$E$80+O115*$K$80+(O281-O115)*$F$80</f>
        <v/>
      </c>
      <c r="P290" s="20">
        <f>P112*$H$80+(P149-P112)*$C$80+P113*$I$80+(P215-P113)*$D$80+P114*$J$80+(P248-P114)*$E$80+P115*$K$80+(P281-P115)*$F$80</f>
        <v/>
      </c>
      <c r="Q290" s="20">
        <f>Q112*$H$80+(Q149-Q112)*$C$80+Q113*$I$80+(Q215-Q113)*$D$80+Q114*$J$80+(Q248-Q114)*$E$80+Q115*$K$80+(Q281-Q115)*$F$80</f>
        <v/>
      </c>
      <c r="R290" s="20">
        <f>R112*$H$80+(R149-R112)*$C$80+R113*$I$80+(R215-R113)*$D$80+R114*$J$80+(R248-R114)*$E$80+R115*$K$80+(R281-R115)*$F$80</f>
        <v/>
      </c>
      <c r="S290" s="20">
        <f>S112*$H$80+(S149-S112)*$C$80+S113*$I$80+(S215-S113)*$D$80+S114*$J$80+(S248-S114)*$E$80+S115*$K$80+(S281-S115)*$F$80</f>
        <v/>
      </c>
      <c r="T290" s="20">
        <f>T112*$H$80+(T149-T112)*$C$80+T113*$I$80+(T215-T113)*$D$80+T114*$J$80+(T248-T114)*$E$80+T115*$K$80+(T281-T115)*$F$80</f>
        <v/>
      </c>
      <c r="U290" s="20">
        <f>U112*$H$80+(U149-U112)*$C$80+U113*$I$80+(U215-U113)*$D$80+U114*$J$80+(U248-U114)*$E$80+U115*$K$80+(U281-U115)*$F$80</f>
        <v/>
      </c>
      <c r="V290" s="20">
        <f>V112*$H$80+(V149-V112)*$C$80+V113*$I$80+(V215-V113)*$D$80+V114*$J$80+(V248-V114)*$E$80+V115*$K$80+(V281-V115)*$F$80</f>
        <v/>
      </c>
      <c r="W290" s="20">
        <f>W112*$H$80+(W149-W112)*$C$80+W113*$I$80+(W215-W113)*$D$80+W114*$J$80+(W248-W114)*$E$80+W115*$K$80+(W281-W115)*$F$80</f>
        <v/>
      </c>
      <c r="X290" s="20">
        <f>X112*$H$80+(X149-X112)*$C$80+X113*$I$80+(X215-X113)*$D$80+X114*$J$80+(X248-X114)*$E$80+X115*$K$80+(X281-X115)*$F$80</f>
        <v/>
      </c>
      <c r="Y290" s="20">
        <f>Y112*$H$80+(Y149-Y112)*$C$80+Y113*$I$80+(Y215-Y113)*$D$80+Y114*$J$80+(Y248-Y114)*$E$80+Y115*$K$80+(Y281-Y115)*$F$80</f>
        <v/>
      </c>
      <c r="Z290" s="20">
        <f>Z112*$H$80+(Z149-Z112)*$C$80+Z113*$I$80+(Z215-Z113)*$D$80+Z114*$J$80+(Z248-Z114)*$E$80+Z115*$K$80+(Z281-Z115)*$F$80</f>
        <v/>
      </c>
      <c r="AA290" s="20">
        <f>AA112*$H$80+(AA149-AA112)*$C$80+AA113*$I$80+(AA215-AA113)*$D$80+AA114*$J$80+(AA248-AA114)*$E$80+AA115*$K$80+(AA281-AA115)*$F$80</f>
        <v/>
      </c>
      <c r="AB290" s="20">
        <f>AB112*$H$80+(AB149-AB112)*$C$80+AB113*$I$80+(AB215-AB113)*$D$80+AB114*$J$80+(AB248-AB114)*$E$80+AB115*$K$80+(AB281-AB115)*$F$80</f>
        <v/>
      </c>
      <c r="AC290" s="20">
        <f>AC112*$H$80+(AC149-AC112)*$C$80+AC113*$I$80+(AC215-AC113)*$D$80+AC114*$J$80+(AC248-AC114)*$E$80+AC115*$K$80+(AC281-AC115)*$F$80</f>
        <v/>
      </c>
      <c r="AD290" s="20">
        <f>AD112*$H$80+(AD149-AD112)*$C$80+AD113*$I$80+(AD215-AD113)*$D$80+AD114*$J$80+(AD248-AD114)*$E$80+AD115*$K$80+(AD281-AD115)*$F$80</f>
        <v/>
      </c>
      <c r="AE290" s="20">
        <f>AE112*$H$80+(AE149-AE112)*$C$80+AE113*$I$80+(AE215-AE113)*$D$80+AE114*$J$80+(AE248-AE114)*$E$80+AE115*$K$80+(AE281-AE115)*$F$80</f>
        <v/>
      </c>
      <c r="AF290" s="20">
        <f>AF112*$H$80+(AF149-AF112)*$C$80+AF113*$I$80+(AF215-AF113)*$D$80+AF114*$J$80+(AF248-AF114)*$E$80+AF115*$K$80+(AF281-AF115)*$F$80</f>
        <v/>
      </c>
    </row>
    <row r="291">
      <c r="A291" s="3" t="inlineStr">
        <is>
          <t>Assistenza e resi ordinari</t>
        </is>
      </c>
      <c r="B291" s="4" t="inlineStr">
        <is>
          <t>€</t>
        </is>
      </c>
      <c r="C291" s="20">
        <f>C112*$H$81+(C149-C112)*$C$81+C113*$I$81+(C215-C113)*$D$81+C114*$J$81+(C248-C114)*$E$81+C115*$K$81+(C281-C115)*$F$81</f>
        <v/>
      </c>
      <c r="D291" s="20">
        <f>D112*$H$81+(D149-D112)*$C$81+D113*$I$81+(D215-D113)*$D$81+D114*$J$81+(D248-D114)*$E$81+D115*$K$81+(D281-D115)*$F$81</f>
        <v/>
      </c>
      <c r="E291" s="20">
        <f>E112*$H$81+(E149-E112)*$C$81+E113*$I$81+(E215-E113)*$D$81+E114*$J$81+(E248-E114)*$E$81+E115*$K$81+(E281-E115)*$F$81</f>
        <v/>
      </c>
      <c r="F291" s="20">
        <f>F112*$H$81+(F149-F112)*$C$81+F113*$I$81+(F215-F113)*$D$81+F114*$J$81+(F248-F114)*$E$81+F115*$K$81+(F281-F115)*$F$81</f>
        <v/>
      </c>
      <c r="G291" s="20">
        <f>G112*$H$81+(G149-G112)*$C$81+G113*$I$81+(G215-G113)*$D$81+G114*$J$81+(G248-G114)*$E$81+G115*$K$81+(G281-G115)*$F$81</f>
        <v/>
      </c>
      <c r="H291" s="20">
        <f>H112*$H$81+(H149-H112)*$C$81+H113*$I$81+(H215-H113)*$D$81+H114*$J$81+(H248-H114)*$E$81+H115*$K$81+(H281-H115)*$F$81</f>
        <v/>
      </c>
      <c r="I291" s="20">
        <f>I112*$H$81+(I149-I112)*$C$81+I113*$I$81+(I215-I113)*$D$81+I114*$J$81+(I248-I114)*$E$81+I115*$K$81+(I281-I115)*$F$81</f>
        <v/>
      </c>
      <c r="J291" s="20">
        <f>J112*$H$81+(J149-J112)*$C$81+J113*$I$81+(J215-J113)*$D$81+J114*$J$81+(J248-J114)*$E$81+J115*$K$81+(J281-J115)*$F$81</f>
        <v/>
      </c>
      <c r="K291" s="20">
        <f>K112*$H$81+(K149-K112)*$C$81+K113*$I$81+(K215-K113)*$D$81+K114*$J$81+(K248-K114)*$E$81+K115*$K$81+(K281-K115)*$F$81</f>
        <v/>
      </c>
      <c r="L291" s="20">
        <f>L112*$H$81+(L149-L112)*$C$81+L113*$I$81+(L215-L113)*$D$81+L114*$J$81+(L248-L114)*$E$81+L115*$K$81+(L281-L115)*$F$81</f>
        <v/>
      </c>
      <c r="M291" s="20">
        <f>M112*$H$81+(M149-M112)*$C$81+M113*$I$81+(M215-M113)*$D$81+M114*$J$81+(M248-M114)*$E$81+M115*$K$81+(M281-M115)*$F$81</f>
        <v/>
      </c>
      <c r="N291" s="20">
        <f>N112*$H$81+(N149-N112)*$C$81+N113*$I$81+(N215-N113)*$D$81+N114*$J$81+(N248-N114)*$E$81+N115*$K$81+(N281-N115)*$F$81</f>
        <v/>
      </c>
      <c r="O291" s="20">
        <f>O112*$H$81+(O149-O112)*$C$81+O113*$I$81+(O215-O113)*$D$81+O114*$J$81+(O248-O114)*$E$81+O115*$K$81+(O281-O115)*$F$81</f>
        <v/>
      </c>
      <c r="P291" s="20">
        <f>P112*$H$81+(P149-P112)*$C$81+P113*$I$81+(P215-P113)*$D$81+P114*$J$81+(P248-P114)*$E$81+P115*$K$81+(P281-P115)*$F$81</f>
        <v/>
      </c>
      <c r="Q291" s="20">
        <f>Q112*$H$81+(Q149-Q112)*$C$81+Q113*$I$81+(Q215-Q113)*$D$81+Q114*$J$81+(Q248-Q114)*$E$81+Q115*$K$81+(Q281-Q115)*$F$81</f>
        <v/>
      </c>
      <c r="R291" s="20">
        <f>R112*$H$81+(R149-R112)*$C$81+R113*$I$81+(R215-R113)*$D$81+R114*$J$81+(R248-R114)*$E$81+R115*$K$81+(R281-R115)*$F$81</f>
        <v/>
      </c>
      <c r="S291" s="20">
        <f>S112*$H$81+(S149-S112)*$C$81+S113*$I$81+(S215-S113)*$D$81+S114*$J$81+(S248-S114)*$E$81+S115*$K$81+(S281-S115)*$F$81</f>
        <v/>
      </c>
      <c r="T291" s="20">
        <f>T112*$H$81+(T149-T112)*$C$81+T113*$I$81+(T215-T113)*$D$81+T114*$J$81+(T248-T114)*$E$81+T115*$K$81+(T281-T115)*$F$81</f>
        <v/>
      </c>
      <c r="U291" s="20">
        <f>U112*$H$81+(U149-U112)*$C$81+U113*$I$81+(U215-U113)*$D$81+U114*$J$81+(U248-U114)*$E$81+U115*$K$81+(U281-U115)*$F$81</f>
        <v/>
      </c>
      <c r="V291" s="20">
        <f>V112*$H$81+(V149-V112)*$C$81+V113*$I$81+(V215-V113)*$D$81+V114*$J$81+(V248-V114)*$E$81+V115*$K$81+(V281-V115)*$F$81</f>
        <v/>
      </c>
      <c r="W291" s="20">
        <f>W112*$H$81+(W149-W112)*$C$81+W113*$I$81+(W215-W113)*$D$81+W114*$J$81+(W248-W114)*$E$81+W115*$K$81+(W281-W115)*$F$81</f>
        <v/>
      </c>
      <c r="X291" s="20">
        <f>X112*$H$81+(X149-X112)*$C$81+X113*$I$81+(X215-X113)*$D$81+X114*$J$81+(X248-X114)*$E$81+X115*$K$81+(X281-X115)*$F$81</f>
        <v/>
      </c>
      <c r="Y291" s="20">
        <f>Y112*$H$81+(Y149-Y112)*$C$81+Y113*$I$81+(Y215-Y113)*$D$81+Y114*$J$81+(Y248-Y114)*$E$81+Y115*$K$81+(Y281-Y115)*$F$81</f>
        <v/>
      </c>
      <c r="Z291" s="20">
        <f>Z112*$H$81+(Z149-Z112)*$C$81+Z113*$I$81+(Z215-Z113)*$D$81+Z114*$J$81+(Z248-Z114)*$E$81+Z115*$K$81+(Z281-Z115)*$F$81</f>
        <v/>
      </c>
      <c r="AA291" s="20">
        <f>AA112*$H$81+(AA149-AA112)*$C$81+AA113*$I$81+(AA215-AA113)*$D$81+AA114*$J$81+(AA248-AA114)*$E$81+AA115*$K$81+(AA281-AA115)*$F$81</f>
        <v/>
      </c>
      <c r="AB291" s="20">
        <f>AB112*$H$81+(AB149-AB112)*$C$81+AB113*$I$81+(AB215-AB113)*$D$81+AB114*$J$81+(AB248-AB114)*$E$81+AB115*$K$81+(AB281-AB115)*$F$81</f>
        <v/>
      </c>
      <c r="AC291" s="20">
        <f>AC112*$H$81+(AC149-AC112)*$C$81+AC113*$I$81+(AC215-AC113)*$D$81+AC114*$J$81+(AC248-AC114)*$E$81+AC115*$K$81+(AC281-AC115)*$F$81</f>
        <v/>
      </c>
      <c r="AD291" s="20">
        <f>AD112*$H$81+(AD149-AD112)*$C$81+AD113*$I$81+(AD215-AD113)*$D$81+AD114*$J$81+(AD248-AD114)*$E$81+AD115*$K$81+(AD281-AD115)*$F$81</f>
        <v/>
      </c>
      <c r="AE291" s="20">
        <f>AE112*$H$81+(AE149-AE112)*$C$81+AE113*$I$81+(AE215-AE113)*$D$81+AE114*$J$81+(AE248-AE114)*$E$81+AE115*$K$81+(AE281-AE115)*$F$81</f>
        <v/>
      </c>
      <c r="AF291" s="20">
        <f>AF112*$H$81+(AF149-AF112)*$C$81+AF113*$I$81+(AF215-AF113)*$D$81+AF114*$J$81+(AF248-AF114)*$E$81+AF115*$K$81+(AF281-AF115)*$F$81</f>
        <v/>
      </c>
    </row>
    <row r="292">
      <c r="A292" s="3" t="inlineStr">
        <is>
          <t>Costo del prodotto venduto (competenza)</t>
        </is>
      </c>
      <c r="B292" s="4" t="inlineStr">
        <is>
          <t>€</t>
        </is>
      </c>
      <c r="C292" s="20">
        <f>C112*$H$78+(C149-C112)*$C$78+C113*$I$78+(C215-C113)*$D$78+C114*$J$78+(C248-C114)*$E$78+C115*$K$78+(C281-C115)*$F$78</f>
        <v/>
      </c>
      <c r="D292" s="20">
        <f>D112*$H$78+(D149-D112)*$C$78+D113*$I$78+(D215-D113)*$D$78+D114*$J$78+(D248-D114)*$E$78+D115*$K$78+(D281-D115)*$F$78</f>
        <v/>
      </c>
      <c r="E292" s="20">
        <f>E112*$H$78+(E149-E112)*$C$78+E113*$I$78+(E215-E113)*$D$78+E114*$J$78+(E248-E114)*$E$78+E115*$K$78+(E281-E115)*$F$78</f>
        <v/>
      </c>
      <c r="F292" s="20">
        <f>F112*$H$78+(F149-F112)*$C$78+F113*$I$78+(F215-F113)*$D$78+F114*$J$78+(F248-F114)*$E$78+F115*$K$78+(F281-F115)*$F$78</f>
        <v/>
      </c>
      <c r="G292" s="20">
        <f>G112*$H$78+(G149-G112)*$C$78+G113*$I$78+(G215-G113)*$D$78+G114*$J$78+(G248-G114)*$E$78+G115*$K$78+(G281-G115)*$F$78</f>
        <v/>
      </c>
      <c r="H292" s="20">
        <f>H112*$H$78+(H149-H112)*$C$78+H113*$I$78+(H215-H113)*$D$78+H114*$J$78+(H248-H114)*$E$78+H115*$K$78+(H281-H115)*$F$78</f>
        <v/>
      </c>
      <c r="I292" s="20">
        <f>I112*$H$78+(I149-I112)*$C$78+I113*$I$78+(I215-I113)*$D$78+I114*$J$78+(I248-I114)*$E$78+I115*$K$78+(I281-I115)*$F$78</f>
        <v/>
      </c>
      <c r="J292" s="20">
        <f>J112*$H$78+(J149-J112)*$C$78+J113*$I$78+(J215-J113)*$D$78+J114*$J$78+(J248-J114)*$E$78+J115*$K$78+(J281-J115)*$F$78</f>
        <v/>
      </c>
      <c r="K292" s="20">
        <f>K112*$H$78+(K149-K112)*$C$78+K113*$I$78+(K215-K113)*$D$78+K114*$J$78+(K248-K114)*$E$78+K115*$K$78+(K281-K115)*$F$78</f>
        <v/>
      </c>
      <c r="L292" s="20">
        <f>L112*$H$78+(L149-L112)*$C$78+L113*$I$78+(L215-L113)*$D$78+L114*$J$78+(L248-L114)*$E$78+L115*$K$78+(L281-L115)*$F$78</f>
        <v/>
      </c>
      <c r="M292" s="20">
        <f>M112*$H$78+(M149-M112)*$C$78+M113*$I$78+(M215-M113)*$D$78+M114*$J$78+(M248-M114)*$E$78+M115*$K$78+(M281-M115)*$F$78</f>
        <v/>
      </c>
      <c r="N292" s="20">
        <f>N112*$H$78+(N149-N112)*$C$78+N113*$I$78+(N215-N113)*$D$78+N114*$J$78+(N248-N114)*$E$78+N115*$K$78+(N281-N115)*$F$78</f>
        <v/>
      </c>
      <c r="O292" s="20">
        <f>O112*$H$78+(O149-O112)*$C$78+O113*$I$78+(O215-O113)*$D$78+O114*$J$78+(O248-O114)*$E$78+O115*$K$78+(O281-O115)*$F$78</f>
        <v/>
      </c>
      <c r="P292" s="20">
        <f>P112*$H$78+(P149-P112)*$C$78+P113*$I$78+(P215-P113)*$D$78+P114*$J$78+(P248-P114)*$E$78+P115*$K$78+(P281-P115)*$F$78</f>
        <v/>
      </c>
      <c r="Q292" s="20">
        <f>Q112*$H$78+(Q149-Q112)*$C$78+Q113*$I$78+(Q215-Q113)*$D$78+Q114*$J$78+(Q248-Q114)*$E$78+Q115*$K$78+(Q281-Q115)*$F$78</f>
        <v/>
      </c>
      <c r="R292" s="20">
        <f>R112*$H$78+(R149-R112)*$C$78+R113*$I$78+(R215-R113)*$D$78+R114*$J$78+(R248-R114)*$E$78+R115*$K$78+(R281-R115)*$F$78</f>
        <v/>
      </c>
      <c r="S292" s="20">
        <f>S112*$H$78+(S149-S112)*$C$78+S113*$I$78+(S215-S113)*$D$78+S114*$J$78+(S248-S114)*$E$78+S115*$K$78+(S281-S115)*$F$78</f>
        <v/>
      </c>
      <c r="T292" s="20">
        <f>T112*$H$78+(T149-T112)*$C$78+T113*$I$78+(T215-T113)*$D$78+T114*$J$78+(T248-T114)*$E$78+T115*$K$78+(T281-T115)*$F$78</f>
        <v/>
      </c>
      <c r="U292" s="20">
        <f>U112*$H$78+(U149-U112)*$C$78+U113*$I$78+(U215-U113)*$D$78+U114*$J$78+(U248-U114)*$E$78+U115*$K$78+(U281-U115)*$F$78</f>
        <v/>
      </c>
      <c r="V292" s="20">
        <f>V112*$H$78+(V149-V112)*$C$78+V113*$I$78+(V215-V113)*$D$78+V114*$J$78+(V248-V114)*$E$78+V115*$K$78+(V281-V115)*$F$78</f>
        <v/>
      </c>
      <c r="W292" s="20">
        <f>W112*$H$78+(W149-W112)*$C$78+W113*$I$78+(W215-W113)*$D$78+W114*$J$78+(W248-W114)*$E$78+W115*$K$78+(W281-W115)*$F$78</f>
        <v/>
      </c>
      <c r="X292" s="20">
        <f>X112*$H$78+(X149-X112)*$C$78+X113*$I$78+(X215-X113)*$D$78+X114*$J$78+(X248-X114)*$E$78+X115*$K$78+(X281-X115)*$F$78</f>
        <v/>
      </c>
      <c r="Y292" s="20">
        <f>Y112*$H$78+(Y149-Y112)*$C$78+Y113*$I$78+(Y215-Y113)*$D$78+Y114*$J$78+(Y248-Y114)*$E$78+Y115*$K$78+(Y281-Y115)*$F$78</f>
        <v/>
      </c>
      <c r="Z292" s="20">
        <f>Z112*$H$78+(Z149-Z112)*$C$78+Z113*$I$78+(Z215-Z113)*$D$78+Z114*$J$78+(Z248-Z114)*$E$78+Z115*$K$78+(Z281-Z115)*$F$78</f>
        <v/>
      </c>
      <c r="AA292" s="20">
        <f>AA112*$H$78+(AA149-AA112)*$C$78+AA113*$I$78+(AA215-AA113)*$D$78+AA114*$J$78+(AA248-AA114)*$E$78+AA115*$K$78+(AA281-AA115)*$F$78</f>
        <v/>
      </c>
      <c r="AB292" s="20">
        <f>AB112*$H$78+(AB149-AB112)*$C$78+AB113*$I$78+(AB215-AB113)*$D$78+AB114*$J$78+(AB248-AB114)*$E$78+AB115*$K$78+(AB281-AB115)*$F$78</f>
        <v/>
      </c>
      <c r="AC292" s="20">
        <f>AC112*$H$78+(AC149-AC112)*$C$78+AC113*$I$78+(AC215-AC113)*$D$78+AC114*$J$78+(AC248-AC114)*$E$78+AC115*$K$78+(AC281-AC115)*$F$78</f>
        <v/>
      </c>
      <c r="AD292" s="20">
        <f>AD112*$H$78+(AD149-AD112)*$C$78+AD113*$I$78+(AD215-AD113)*$D$78+AD114*$J$78+(AD248-AD114)*$E$78+AD115*$K$78+(AD281-AD115)*$F$78</f>
        <v/>
      </c>
      <c r="AE292" s="20">
        <f>AE112*$H$78+(AE149-AE112)*$C$78+AE113*$I$78+(AE215-AE113)*$D$78+AE114*$J$78+(AE248-AE114)*$E$78+AE115*$K$78+(AE281-AE115)*$F$78</f>
        <v/>
      </c>
      <c r="AF292" s="20">
        <f>AF112*$H$78+(AF149-AF112)*$C$78+AF113*$I$78+(AF215-AF113)*$D$78+AF114*$J$78+(AF248-AF114)*$E$78+AF115*$K$78+(AF281-AF115)*$F$78</f>
        <v/>
      </c>
    </row>
    <row r="293">
      <c r="A293" s="3" t="inlineStr">
        <is>
          <t>Flaconi spediti con gli ordini</t>
        </is>
      </c>
      <c r="C293" s="24">
        <f>C149*$C$49+C215*$C$50+C248*$C$51+C281*$C$52</f>
        <v/>
      </c>
      <c r="D293" s="24">
        <f>D149*$C$49+D215*$C$50+D248*$C$51+D281*$C$52</f>
        <v/>
      </c>
      <c r="E293" s="24">
        <f>E149*$C$49+E215*$C$50+E248*$C$51+E281*$C$52</f>
        <v/>
      </c>
      <c r="F293" s="24">
        <f>F149*$C$49+F215*$C$50+F248*$C$51+F281*$C$52</f>
        <v/>
      </c>
      <c r="G293" s="24">
        <f>G149*$C$49+G215*$C$50+G248*$C$51+G281*$C$52</f>
        <v/>
      </c>
      <c r="H293" s="24">
        <f>H149*$C$49+H215*$C$50+H248*$C$51+H281*$C$52</f>
        <v/>
      </c>
      <c r="I293" s="24">
        <f>I149*$C$49+I215*$C$50+I248*$C$51+I281*$C$52</f>
        <v/>
      </c>
      <c r="J293" s="24">
        <f>J149*$C$49+J215*$C$50+J248*$C$51+J281*$C$52</f>
        <v/>
      </c>
      <c r="K293" s="24">
        <f>K149*$C$49+K215*$C$50+K248*$C$51+K281*$C$52</f>
        <v/>
      </c>
      <c r="L293" s="24">
        <f>L149*$C$49+L215*$C$50+L248*$C$51+L281*$C$52</f>
        <v/>
      </c>
      <c r="M293" s="24">
        <f>M149*$C$49+M215*$C$50+M248*$C$51+M281*$C$52</f>
        <v/>
      </c>
      <c r="N293" s="24">
        <f>N149*$C$49+N215*$C$50+N248*$C$51+N281*$C$52</f>
        <v/>
      </c>
      <c r="O293" s="24">
        <f>O149*$C$49+O215*$C$50+O248*$C$51+O281*$C$52</f>
        <v/>
      </c>
      <c r="P293" s="24">
        <f>P149*$C$49+P215*$C$50+P248*$C$51+P281*$C$52</f>
        <v/>
      </c>
      <c r="Q293" s="24">
        <f>Q149*$C$49+Q215*$C$50+Q248*$C$51+Q281*$C$52</f>
        <v/>
      </c>
      <c r="R293" s="24">
        <f>R149*$C$49+R215*$C$50+R248*$C$51+R281*$C$52</f>
        <v/>
      </c>
      <c r="S293" s="24">
        <f>S149*$C$49+S215*$C$50+S248*$C$51+S281*$C$52</f>
        <v/>
      </c>
      <c r="T293" s="24">
        <f>T149*$C$49+T215*$C$50+T248*$C$51+T281*$C$52</f>
        <v/>
      </c>
      <c r="U293" s="24">
        <f>U149*$C$49+U215*$C$50+U248*$C$51+U281*$C$52</f>
        <v/>
      </c>
      <c r="V293" s="24">
        <f>V149*$C$49+V215*$C$50+V248*$C$51+V281*$C$52</f>
        <v/>
      </c>
      <c r="W293" s="24">
        <f>W149*$C$49+W215*$C$50+W248*$C$51+W281*$C$52</f>
        <v/>
      </c>
      <c r="X293" s="24">
        <f>X149*$C$49+X215*$C$50+X248*$C$51+X281*$C$52</f>
        <v/>
      </c>
      <c r="Y293" s="24">
        <f>Y149*$C$49+Y215*$C$50+Y248*$C$51+Y281*$C$52</f>
        <v/>
      </c>
      <c r="Z293" s="24">
        <f>Z149*$C$49+Z215*$C$50+Z248*$C$51+Z281*$C$52</f>
        <v/>
      </c>
      <c r="AA293" s="24">
        <f>AA149*$C$49+AA215*$C$50+AA248*$C$51+AA281*$C$52</f>
        <v/>
      </c>
      <c r="AB293" s="24">
        <f>AB149*$C$49+AB215*$C$50+AB248*$C$51+AB281*$C$52</f>
        <v/>
      </c>
      <c r="AC293" s="24">
        <f>AC149*$C$49+AC215*$C$50+AC248*$C$51+AC281*$C$52</f>
        <v/>
      </c>
      <c r="AD293" s="24">
        <f>AD149*$C$49+AD215*$C$50+AD248*$C$51+AD281*$C$52</f>
        <v/>
      </c>
      <c r="AE293" s="24">
        <f>AE149*$C$49+AE215*$C$50+AE248*$C$51+AE281*$C$52</f>
        <v/>
      </c>
      <c r="AF293" s="24">
        <f>AF149*$C$49+AF215*$C$50+AF248*$C$51+AF281*$C$52</f>
        <v/>
      </c>
    </row>
    <row r="294">
      <c r="A294" s="3" t="inlineStr">
        <is>
          <t>Campioni</t>
        </is>
      </c>
      <c r="C294" s="24">
        <f>IF(C106=0,$C$67,IF(C106&gt;0,$C$68,0))</f>
        <v/>
      </c>
      <c r="D294" s="24">
        <f>IF(D106=0,$C$67,IF(D106&gt;0,$C$68,0))</f>
        <v/>
      </c>
      <c r="E294" s="24">
        <f>IF(E106=0,$C$67,IF(E106&gt;0,$C$68,0))</f>
        <v/>
      </c>
      <c r="F294" s="24">
        <f>IF(F106=0,$C$67,IF(F106&gt;0,$C$68,0))</f>
        <v/>
      </c>
      <c r="G294" s="24">
        <f>IF(G106=0,$C$67,IF(G106&gt;0,$C$68,0))</f>
        <v/>
      </c>
      <c r="H294" s="24">
        <f>IF(H106=0,$C$67,IF(H106&gt;0,$C$68,0))</f>
        <v/>
      </c>
      <c r="I294" s="24">
        <f>IF(I106=0,$C$67,IF(I106&gt;0,$C$68,0))</f>
        <v/>
      </c>
      <c r="J294" s="24">
        <f>IF(J106=0,$C$67,IF(J106&gt;0,$C$68,0))</f>
        <v/>
      </c>
      <c r="K294" s="24">
        <f>IF(K106=0,$C$67,IF(K106&gt;0,$C$68,0))</f>
        <v/>
      </c>
      <c r="L294" s="24">
        <f>IF(L106=0,$C$67,IF(L106&gt;0,$C$68,0))</f>
        <v/>
      </c>
      <c r="M294" s="24">
        <f>IF(M106=0,$C$67,IF(M106&gt;0,$C$68,0))</f>
        <v/>
      </c>
      <c r="N294" s="24">
        <f>IF(N106=0,$C$67,IF(N106&gt;0,$C$68,0))</f>
        <v/>
      </c>
      <c r="O294" s="24">
        <f>IF(O106=0,$C$67,IF(O106&gt;0,$C$68,0))</f>
        <v/>
      </c>
      <c r="P294" s="24">
        <f>IF(P106=0,$C$67,IF(P106&gt;0,$C$68,0))</f>
        <v/>
      </c>
      <c r="Q294" s="24">
        <f>IF(Q106=0,$C$67,IF(Q106&gt;0,$C$68,0))</f>
        <v/>
      </c>
      <c r="R294" s="24">
        <f>IF(R106=0,$C$67,IF(R106&gt;0,$C$68,0))</f>
        <v/>
      </c>
      <c r="S294" s="24">
        <f>IF(S106=0,$C$67,IF(S106&gt;0,$C$68,0))</f>
        <v/>
      </c>
      <c r="T294" s="24">
        <f>IF(T106=0,$C$67,IF(T106&gt;0,$C$68,0))</f>
        <v/>
      </c>
      <c r="U294" s="24">
        <f>IF(U106=0,$C$67,IF(U106&gt;0,$C$68,0))</f>
        <v/>
      </c>
      <c r="V294" s="24">
        <f>IF(V106=0,$C$67,IF(V106&gt;0,$C$68,0))</f>
        <v/>
      </c>
      <c r="W294" s="24">
        <f>IF(W106=0,$C$67,IF(W106&gt;0,$C$68,0))</f>
        <v/>
      </c>
      <c r="X294" s="24">
        <f>IF(X106=0,$C$67,IF(X106&gt;0,$C$68,0))</f>
        <v/>
      </c>
      <c r="Y294" s="24">
        <f>IF(Y106=0,$C$67,IF(Y106&gt;0,$C$68,0))</f>
        <v/>
      </c>
      <c r="Z294" s="24">
        <f>IF(Z106=0,$C$67,IF(Z106&gt;0,$C$68,0))</f>
        <v/>
      </c>
      <c r="AA294" s="24">
        <f>IF(AA106=0,$C$67,IF(AA106&gt;0,$C$68,0))</f>
        <v/>
      </c>
      <c r="AB294" s="24">
        <f>IF(AB106=0,$C$67,IF(AB106&gt;0,$C$68,0))</f>
        <v/>
      </c>
      <c r="AC294" s="24">
        <f>IF(AC106=0,$C$67,IF(AC106&gt;0,$C$68,0))</f>
        <v/>
      </c>
      <c r="AD294" s="24">
        <f>IF(AD106=0,$C$67,IF(AD106&gt;0,$C$68,0))</f>
        <v/>
      </c>
      <c r="AE294" s="24">
        <f>IF(AE106=0,$C$67,IF(AE106&gt;0,$C$68,0))</f>
        <v/>
      </c>
      <c r="AF294" s="24">
        <f>IF(AF106=0,$C$67,IF(AF106&gt;0,$C$68,0))</f>
        <v/>
      </c>
    </row>
    <row r="295">
      <c r="A295" s="3" t="inlineStr">
        <is>
          <t>Sostituzioni</t>
        </is>
      </c>
      <c r="C295" s="24">
        <f>C293*$C$69</f>
        <v/>
      </c>
      <c r="D295" s="24">
        <f>D293*$C$69</f>
        <v/>
      </c>
      <c r="E295" s="24">
        <f>E293*$C$69</f>
        <v/>
      </c>
      <c r="F295" s="24">
        <f>F293*$C$69</f>
        <v/>
      </c>
      <c r="G295" s="24">
        <f>G293*$C$69</f>
        <v/>
      </c>
      <c r="H295" s="24">
        <f>H293*$C$69</f>
        <v/>
      </c>
      <c r="I295" s="24">
        <f>I293*$C$69</f>
        <v/>
      </c>
      <c r="J295" s="24">
        <f>J293*$C$69</f>
        <v/>
      </c>
      <c r="K295" s="24">
        <f>K293*$C$69</f>
        <v/>
      </c>
      <c r="L295" s="24">
        <f>L293*$C$69</f>
        <v/>
      </c>
      <c r="M295" s="24">
        <f>M293*$C$69</f>
        <v/>
      </c>
      <c r="N295" s="24">
        <f>N293*$C$69</f>
        <v/>
      </c>
      <c r="O295" s="24">
        <f>O293*$C$69</f>
        <v/>
      </c>
      <c r="P295" s="24">
        <f>P293*$C$69</f>
        <v/>
      </c>
      <c r="Q295" s="24">
        <f>Q293*$C$69</f>
        <v/>
      </c>
      <c r="R295" s="24">
        <f>R293*$C$69</f>
        <v/>
      </c>
      <c r="S295" s="24">
        <f>S293*$C$69</f>
        <v/>
      </c>
      <c r="T295" s="24">
        <f>T293*$C$69</f>
        <v/>
      </c>
      <c r="U295" s="24">
        <f>U293*$C$69</f>
        <v/>
      </c>
      <c r="V295" s="24">
        <f>V293*$C$69</f>
        <v/>
      </c>
      <c r="W295" s="24">
        <f>W293*$C$69</f>
        <v/>
      </c>
      <c r="X295" s="24">
        <f>X293*$C$69</f>
        <v/>
      </c>
      <c r="Y295" s="24">
        <f>Y293*$C$69</f>
        <v/>
      </c>
      <c r="Z295" s="24">
        <f>Z293*$C$69</f>
        <v/>
      </c>
      <c r="AA295" s="24">
        <f>AA293*$C$69</f>
        <v/>
      </c>
      <c r="AB295" s="24">
        <f>AB293*$C$69</f>
        <v/>
      </c>
      <c r="AC295" s="24">
        <f>AC293*$C$69</f>
        <v/>
      </c>
      <c r="AD295" s="24">
        <f>AD293*$C$69</f>
        <v/>
      </c>
      <c r="AE295" s="24">
        <f>AE293*$C$69</f>
        <v/>
      </c>
      <c r="AF295" s="24">
        <f>AF293*$C$69</f>
        <v/>
      </c>
    </row>
    <row r="297">
      <c r="A297" s="10" t="inlineStr">
        <is>
          <t>Costi di progetto nello scenario (mese effettivo)</t>
        </is>
      </c>
      <c r="C297" s="2" t="inlineStr">
        <is>
          <t>Mese</t>
        </is>
      </c>
      <c r="D297" s="2" t="inlineStr">
        <is>
          <t>Importo</t>
        </is>
      </c>
      <c r="E297" s="2" t="inlineStr">
        <is>
          <t>IVA</t>
        </is>
      </c>
    </row>
    <row r="298">
      <c r="A298" s="21">
        <f>Progetto!A5</f>
        <v/>
      </c>
      <c r="C298" s="21">
        <f>Progetto!B5+IF(Progetto!C5="sì",$C$6-16,0)</f>
        <v/>
      </c>
      <c r="D298" s="6">
        <f>Progetto!D5</f>
        <v/>
      </c>
      <c r="E298" s="6">
        <f>Progetto!D5*Progetto!E5*$C$44</f>
        <v/>
      </c>
    </row>
    <row r="299">
      <c r="A299" s="21">
        <f>Progetto!A6</f>
        <v/>
      </c>
      <c r="C299" s="21">
        <f>Progetto!B6+IF(Progetto!C6="sì",$C$6-16,0)</f>
        <v/>
      </c>
      <c r="D299" s="6">
        <f>Progetto!D6</f>
        <v/>
      </c>
      <c r="E299" s="6">
        <f>Progetto!D6*Progetto!E6*$C$44</f>
        <v/>
      </c>
    </row>
    <row r="300">
      <c r="A300" s="21">
        <f>Progetto!A7</f>
        <v/>
      </c>
      <c r="C300" s="21">
        <f>Progetto!B7+IF(Progetto!C7="sì",$C$6-16,0)</f>
        <v/>
      </c>
      <c r="D300" s="6">
        <f>Progetto!D7</f>
        <v/>
      </c>
      <c r="E300" s="6">
        <f>Progetto!D7*Progetto!E7*$C$44</f>
        <v/>
      </c>
    </row>
    <row r="301">
      <c r="A301" s="21">
        <f>Progetto!A8</f>
        <v/>
      </c>
      <c r="C301" s="21">
        <f>Progetto!B8+IF(Progetto!C8="sì",$C$6-16,0)</f>
        <v/>
      </c>
      <c r="D301" s="6">
        <f>Progetto!D8</f>
        <v/>
      </c>
      <c r="E301" s="6">
        <f>Progetto!D8*Progetto!E8*$C$44</f>
        <v/>
      </c>
    </row>
    <row r="302">
      <c r="A302" s="21">
        <f>Progetto!A9</f>
        <v/>
      </c>
      <c r="C302" s="21">
        <f>Progetto!B9+IF(Progetto!C9="sì",$C$6-16,0)</f>
        <v/>
      </c>
      <c r="D302" s="6">
        <f>Progetto!D9</f>
        <v/>
      </c>
      <c r="E302" s="6">
        <f>Progetto!D9*Progetto!E9*$C$44</f>
        <v/>
      </c>
    </row>
    <row r="303">
      <c r="A303" s="21">
        <f>Progetto!A10</f>
        <v/>
      </c>
      <c r="C303" s="21">
        <f>Progetto!B10+IF(Progetto!C10="sì",$C$6-16,0)</f>
        <v/>
      </c>
      <c r="D303" s="6">
        <f>Progetto!D10</f>
        <v/>
      </c>
      <c r="E303" s="6">
        <f>Progetto!D10*Progetto!E10*$C$44</f>
        <v/>
      </c>
    </row>
    <row r="304">
      <c r="A304" s="21">
        <f>Progetto!A11</f>
        <v/>
      </c>
      <c r="C304" s="21">
        <f>Progetto!B11+IF(Progetto!C11="sì",$C$6-16,0)</f>
        <v/>
      </c>
      <c r="D304" s="6">
        <f>Progetto!D11</f>
        <v/>
      </c>
      <c r="E304" s="6">
        <f>Progetto!D11*Progetto!E11*$C$44</f>
        <v/>
      </c>
    </row>
    <row r="305">
      <c r="A305" s="21">
        <f>Progetto!A12</f>
        <v/>
      </c>
      <c r="C305" s="21">
        <f>Progetto!B12+IF(Progetto!C12="sì",$C$6-16,0)</f>
        <v/>
      </c>
      <c r="D305" s="6">
        <f>Progetto!D12</f>
        <v/>
      </c>
      <c r="E305" s="6">
        <f>Progetto!D12*Progetto!E12*$C$44</f>
        <v/>
      </c>
    </row>
    <row r="306">
      <c r="A306" s="21">
        <f>Progetto!A13</f>
        <v/>
      </c>
      <c r="C306" s="21">
        <f>Progetto!B13+IF(Progetto!C13="sì",$C$6-16,0)</f>
        <v/>
      </c>
      <c r="D306" s="6">
        <f>Progetto!D13</f>
        <v/>
      </c>
      <c r="E306" s="6">
        <f>Progetto!D13*Progetto!E13*$C$44</f>
        <v/>
      </c>
    </row>
    <row r="307">
      <c r="A307" s="21">
        <f>Progetto!A14</f>
        <v/>
      </c>
      <c r="C307" s="21">
        <f>Progetto!B14+IF(Progetto!C14="sì",$C$6-16,0)</f>
        <v/>
      </c>
      <c r="D307" s="6">
        <f>Progetto!D14</f>
        <v/>
      </c>
      <c r="E307" s="6">
        <f>Progetto!D14*Progetto!E14*$C$44</f>
        <v/>
      </c>
    </row>
    <row r="308">
      <c r="A308" s="21">
        <f>Progetto!A15</f>
        <v/>
      </c>
      <c r="C308" s="21">
        <f>Progetto!B15+IF(Progetto!C15="sì",$C$6-16,0)</f>
        <v/>
      </c>
      <c r="D308" s="6">
        <f>Progetto!D15</f>
        <v/>
      </c>
      <c r="E308" s="6">
        <f>Progetto!D15*Progetto!E15*$C$44</f>
        <v/>
      </c>
    </row>
    <row r="309">
      <c r="A309" s="21">
        <f>Progetto!A16</f>
        <v/>
      </c>
      <c r="C309" s="21">
        <f>Progetto!B16+IF(Progetto!C16="sì",$C$6-16,0)</f>
        <v/>
      </c>
      <c r="D309" s="6">
        <f>Progetto!D16</f>
        <v/>
      </c>
      <c r="E309" s="6">
        <f>Progetto!D16*Progetto!E16*$C$44</f>
        <v/>
      </c>
    </row>
    <row r="310">
      <c r="A310" s="21">
        <f>Progetto!A17</f>
        <v/>
      </c>
      <c r="C310" s="21">
        <f>Progetto!B17+IF(Progetto!C17="sì",$C$6-16,0)</f>
        <v/>
      </c>
      <c r="D310" s="6">
        <f>Progetto!D17</f>
        <v/>
      </c>
      <c r="E310" s="6">
        <f>Progetto!D17*Progetto!E17*$C$44</f>
        <v/>
      </c>
    </row>
    <row r="311">
      <c r="A311" s="21">
        <f>Progetto!A18</f>
        <v/>
      </c>
      <c r="C311" s="21">
        <f>Progetto!B18+IF(Progetto!C18="sì",$C$6-16,0)</f>
        <v/>
      </c>
      <c r="D311" s="6">
        <f>Progetto!D18</f>
        <v/>
      </c>
      <c r="E311" s="6">
        <f>Progetto!D18*Progetto!E18*$C$44</f>
        <v/>
      </c>
    </row>
    <row r="312">
      <c r="A312" s="21">
        <f>Progetto!A19</f>
        <v/>
      </c>
      <c r="C312" s="21">
        <f>Progetto!B19+IF(Progetto!C19="sì",$C$6-16,0)</f>
        <v/>
      </c>
      <c r="D312" s="6">
        <f>Progetto!D19</f>
        <v/>
      </c>
      <c r="E312" s="6">
        <f>Progetto!D19*Progetto!E19*$C$44</f>
        <v/>
      </c>
    </row>
    <row r="313">
      <c r="A313" s="21">
        <f>Progetto!A20</f>
        <v/>
      </c>
      <c r="C313" s="21">
        <f>Progetto!B20+IF(Progetto!C20="sì",$C$6-16,0)</f>
        <v/>
      </c>
      <c r="D313" s="6">
        <f>Progetto!D20</f>
        <v/>
      </c>
      <c r="E313" s="6">
        <f>Progetto!D20*Progetto!E20*$C$44</f>
        <v/>
      </c>
    </row>
    <row r="314">
      <c r="A314" s="21">
        <f>Progetto!A21</f>
        <v/>
      </c>
      <c r="C314" s="21">
        <f>Progetto!B21+IF(Progetto!C21="sì",$C$6-16,0)</f>
        <v/>
      </c>
      <c r="D314" s="6">
        <f>Progetto!D21</f>
        <v/>
      </c>
      <c r="E314" s="6">
        <f>Progetto!D21*Progetto!E21*$C$44</f>
        <v/>
      </c>
    </row>
    <row r="315">
      <c r="A315" s="21">
        <f>Progetto!A22</f>
        <v/>
      </c>
      <c r="C315" s="21">
        <f>Progetto!B22+IF(Progetto!C22="sì",$C$6-16,0)</f>
        <v/>
      </c>
      <c r="D315" s="6">
        <f>Progetto!D22</f>
        <v/>
      </c>
      <c r="E315" s="6">
        <f>Progetto!D22*Progetto!E22*$C$44</f>
        <v/>
      </c>
    </row>
    <row r="316">
      <c r="A316" s="21">
        <f>Progetto!A23</f>
        <v/>
      </c>
      <c r="C316" s="21">
        <f>Progetto!B23+IF(Progetto!C23="sì",$C$6-16,0)</f>
        <v/>
      </c>
      <c r="D316" s="6">
        <f>Progetto!D23</f>
        <v/>
      </c>
      <c r="E316" s="6">
        <f>Progetto!D23*Progetto!E23*$C$44</f>
        <v/>
      </c>
    </row>
    <row r="317">
      <c r="A317" s="21">
        <f>Progetto!A24</f>
        <v/>
      </c>
      <c r="C317" s="21">
        <f>Progetto!B24+IF(Progetto!C24="sì",$C$6-16,0)</f>
        <v/>
      </c>
      <c r="D317" s="6">
        <f>Progetto!D24</f>
        <v/>
      </c>
      <c r="E317" s="6">
        <f>Progetto!D24*Progetto!E24*$C$44</f>
        <v/>
      </c>
    </row>
    <row r="318">
      <c r="A318" s="21">
        <f>Progetto!A25</f>
        <v/>
      </c>
      <c r="C318" s="21">
        <f>Progetto!B25+IF(Progetto!C25="sì",$C$6-16,0)</f>
        <v/>
      </c>
      <c r="D318" s="6">
        <f>Progetto!D25</f>
        <v/>
      </c>
      <c r="E318" s="6">
        <f>Progetto!D25*Progetto!E25*$C$44</f>
        <v/>
      </c>
    </row>
    <row r="319">
      <c r="A319" s="21">
        <f>Progetto!A26</f>
        <v/>
      </c>
      <c r="C319" s="21">
        <f>Progetto!B26+IF(Progetto!C26="sì",$C$6-16,0)</f>
        <v/>
      </c>
      <c r="D319" s="6">
        <f>Progetto!D26</f>
        <v/>
      </c>
      <c r="E319" s="6">
        <f>Progetto!D26*Progetto!E26*$C$44</f>
        <v/>
      </c>
    </row>
    <row r="320">
      <c r="A320" s="21">
        <f>Progetto!A27</f>
        <v/>
      </c>
      <c r="C320" s="21">
        <f>Progetto!B27+IF(Progetto!C27="sì",$C$6-16,0)</f>
        <v/>
      </c>
      <c r="D320" s="6">
        <f>Progetto!D27</f>
        <v/>
      </c>
      <c r="E320" s="6">
        <f>Progetto!D27*Progetto!E27*$C$44</f>
        <v/>
      </c>
    </row>
    <row r="321">
      <c r="A321" s="21">
        <f>Progetto!A28</f>
        <v/>
      </c>
      <c r="C321" s="21">
        <f>Progetto!B28+IF(Progetto!C28="sì",$C$6-16,0)</f>
        <v/>
      </c>
      <c r="D321" s="6">
        <f>Progetto!D28</f>
        <v/>
      </c>
      <c r="E321" s="6">
        <f>Progetto!D28*Progetto!E28*$C$44</f>
        <v/>
      </c>
    </row>
    <row r="322">
      <c r="A322" s="21">
        <f>Progetto!A29</f>
        <v/>
      </c>
      <c r="C322" s="21">
        <f>Progetto!B29+IF(Progetto!C29="sì",$C$6-16,0)</f>
        <v/>
      </c>
      <c r="D322" s="6">
        <f>Progetto!D29</f>
        <v/>
      </c>
      <c r="E322" s="6">
        <f>Progetto!D29*Progetto!E29*$C$44</f>
        <v/>
      </c>
    </row>
    <row r="323">
      <c r="A323" s="21">
        <f>Progetto!A30</f>
        <v/>
      </c>
      <c r="C323" s="21">
        <f>Progetto!B30+IF(Progetto!C30="sì",$C$6-16,0)</f>
        <v/>
      </c>
      <c r="D323" s="6">
        <f>Progetto!D30</f>
        <v/>
      </c>
      <c r="E323" s="6">
        <f>Progetto!D30*Progetto!E30*$C$44</f>
        <v/>
      </c>
    </row>
    <row r="324">
      <c r="A324" s="21">
        <f>Progetto!A31</f>
        <v/>
      </c>
      <c r="C324" s="21">
        <f>Progetto!B31+IF(Progetto!C31="sì",$C$6-16,0)</f>
        <v/>
      </c>
      <c r="D324" s="6">
        <f>Progetto!D31</f>
        <v/>
      </c>
      <c r="E324" s="6">
        <f>Progetto!D31*Progetto!E31*$C$44</f>
        <v/>
      </c>
    </row>
    <row r="325">
      <c r="A325" s="21">
        <f>Progetto!A32</f>
        <v/>
      </c>
      <c r="C325" s="21">
        <f>Progetto!B32+IF(Progetto!C32="sì",$C$6-16,0)</f>
        <v/>
      </c>
      <c r="D325" s="6">
        <f>Progetto!D32</f>
        <v/>
      </c>
      <c r="E325" s="6">
        <f>Progetto!D32*Progetto!E32*$C$44</f>
        <v/>
      </c>
    </row>
    <row r="326">
      <c r="A326" s="21">
        <f>Progetto!A33</f>
        <v/>
      </c>
      <c r="C326" s="21">
        <f>Progetto!B33+IF(Progetto!C33="sì",$C$6-16,0)</f>
        <v/>
      </c>
      <c r="D326" s="6">
        <f>Progetto!D33</f>
        <v/>
      </c>
      <c r="E326" s="6">
        <f>Progetto!D33*Progetto!E33*$C$44</f>
        <v/>
      </c>
    </row>
    <row r="327">
      <c r="A327" s="21">
        <f>Progetto!A34</f>
        <v/>
      </c>
      <c r="C327" s="21">
        <f>Progetto!B34+IF(Progetto!C34="sì",$C$6-16,0)</f>
        <v/>
      </c>
      <c r="D327" s="6">
        <f>Progetto!D34</f>
        <v/>
      </c>
      <c r="E327" s="6">
        <f>Progetto!D34*Progetto!E34*$C$44</f>
        <v/>
      </c>
    </row>
    <row r="328">
      <c r="A328" s="21">
        <f>Progetto!A35</f>
        <v/>
      </c>
      <c r="C328" s="21">
        <f>Progetto!B35+IF(Progetto!C35="sì",$C$6-16,0)</f>
        <v/>
      </c>
      <c r="D328" s="6">
        <f>Progetto!D35</f>
        <v/>
      </c>
      <c r="E328" s="6">
        <f>Progetto!D35*Progetto!E35*$C$44</f>
        <v/>
      </c>
    </row>
    <row r="329">
      <c r="A329" s="21">
        <f>Progetto!A36</f>
        <v/>
      </c>
      <c r="C329" s="21">
        <f>Progetto!B36+IF(Progetto!C36="sì",$C$6-16,0)</f>
        <v/>
      </c>
      <c r="D329" s="6">
        <f>Progetto!D36</f>
        <v/>
      </c>
      <c r="E329" s="6">
        <f>Progetto!D36*Progetto!E36*$C$44</f>
        <v/>
      </c>
    </row>
    <row r="330">
      <c r="A330" s="21">
        <f>Progetto!A37</f>
        <v/>
      </c>
      <c r="C330" s="21">
        <f>Progetto!B37+IF(Progetto!C37="sì",$C$6-16,0)</f>
        <v/>
      </c>
      <c r="D330" s="6">
        <f>Progetto!D37</f>
        <v/>
      </c>
      <c r="E330" s="6">
        <f>Progetto!D37*Progetto!E37*$C$44</f>
        <v/>
      </c>
    </row>
    <row r="331">
      <c r="A331" s="21">
        <f>Progetto!A38</f>
        <v/>
      </c>
      <c r="C331" s="21">
        <f>Progetto!B38+IF(Progetto!C38="sì",$C$6-16,0)</f>
        <v/>
      </c>
      <c r="D331" s="6">
        <f>Progetto!D38</f>
        <v/>
      </c>
      <c r="E331" s="6">
        <f>Progetto!D38*Progetto!E38*$C$44</f>
        <v/>
      </c>
    </row>
    <row r="332">
      <c r="A332" s="21">
        <f>Progetto!A39</f>
        <v/>
      </c>
      <c r="C332" s="21">
        <f>Progetto!B39+IF(Progetto!C39="sì",$C$6-16,0)</f>
        <v/>
      </c>
      <c r="D332" s="6">
        <f>Progetto!D39</f>
        <v/>
      </c>
      <c r="E332" s="6">
        <f>Progetto!D39*Progetto!E39*$C$44</f>
        <v/>
      </c>
    </row>
    <row r="333">
      <c r="A333" s="21">
        <f>Progetto!A40</f>
        <v/>
      </c>
      <c r="C333" s="21">
        <f>Progetto!B40+IF(Progetto!C40="sì",$C$6-16,0)</f>
        <v/>
      </c>
      <c r="D333" s="6">
        <f>Progetto!D40</f>
        <v/>
      </c>
      <c r="E333" s="6">
        <f>Progetto!D40*Progetto!E40*$C$44</f>
        <v/>
      </c>
    </row>
    <row r="334">
      <c r="A334" s="21">
        <f>Progetto!A41</f>
        <v/>
      </c>
      <c r="C334" s="21">
        <f>Progetto!B41+IF(Progetto!C41="sì",$C$6-16,0)</f>
        <v/>
      </c>
      <c r="D334" s="6">
        <f>Progetto!D41</f>
        <v/>
      </c>
      <c r="E334" s="6">
        <f>Progetto!D41*Progetto!E41*$C$44</f>
        <v/>
      </c>
    </row>
    <row r="335">
      <c r="A335" s="21">
        <f>Progetto!A42</f>
        <v/>
      </c>
      <c r="C335" s="21">
        <f>Progetto!B42+IF(Progetto!C42="sì",$C$6-16,0)</f>
        <v/>
      </c>
      <c r="D335" s="6">
        <f>Progetto!D42</f>
        <v/>
      </c>
      <c r="E335" s="6">
        <f>Progetto!D42*Progetto!E42*$C$44</f>
        <v/>
      </c>
    </row>
    <row r="336">
      <c r="A336" s="3" t="inlineStr">
        <is>
          <t>Ciclo di laboratorio aggiuntivo</t>
        </is>
      </c>
      <c r="C336" t="n">
        <v>10</v>
      </c>
      <c r="D336" s="20">
        <f>$C$39</f>
        <v/>
      </c>
      <c r="E336" s="20">
        <f>D336*$C$44</f>
        <v/>
      </c>
    </row>
    <row r="337">
      <c r="A337" s="3" t="inlineStr">
        <is>
          <t>Ciclo di laboratorio aggiuntivo</t>
        </is>
      </c>
      <c r="C337" t="n">
        <v>11</v>
      </c>
      <c r="D337" s="20">
        <f>$C$40</f>
        <v/>
      </c>
      <c r="E337" s="20">
        <f>D337*$C$44</f>
        <v/>
      </c>
    </row>
    <row r="339">
      <c r="A339" s="10" t="inlineStr">
        <is>
          <t>Scorte e lotti di produzione</t>
        </is>
      </c>
    </row>
    <row r="340">
      <c r="A340" s="3" t="inlineStr">
        <is>
          <t>Consumo di flaconi (ordini, campioni, sostituzioni)</t>
        </is>
      </c>
      <c r="C340" s="24">
        <f>C293+C294+C295</f>
        <v/>
      </c>
      <c r="D340" s="24">
        <f>D293+D294+D295</f>
        <v/>
      </c>
      <c r="E340" s="24">
        <f>E293+E294+E295</f>
        <v/>
      </c>
      <c r="F340" s="24">
        <f>F293+F294+F295</f>
        <v/>
      </c>
      <c r="G340" s="24">
        <f>G293+G294+G295</f>
        <v/>
      </c>
      <c r="H340" s="24">
        <f>H293+H294+H295</f>
        <v/>
      </c>
      <c r="I340" s="24">
        <f>I293+I294+I295</f>
        <v/>
      </c>
      <c r="J340" s="24">
        <f>J293+J294+J295</f>
        <v/>
      </c>
      <c r="K340" s="24">
        <f>K293+K294+K295</f>
        <v/>
      </c>
      <c r="L340" s="24">
        <f>L293+L294+L295</f>
        <v/>
      </c>
      <c r="M340" s="24">
        <f>M293+M294+M295</f>
        <v/>
      </c>
      <c r="N340" s="24">
        <f>N293+N294+N295</f>
        <v/>
      </c>
      <c r="O340" s="24">
        <f>O293+O294+O295</f>
        <v/>
      </c>
      <c r="P340" s="24">
        <f>P293+P294+P295</f>
        <v/>
      </c>
      <c r="Q340" s="24">
        <f>Q293+Q294+Q295</f>
        <v/>
      </c>
      <c r="R340" s="24">
        <f>R293+R294+R295</f>
        <v/>
      </c>
      <c r="S340" s="24">
        <f>S293+S294+S295</f>
        <v/>
      </c>
      <c r="T340" s="24">
        <f>T293+T294+T295</f>
        <v/>
      </c>
      <c r="U340" s="24">
        <f>U293+U294+U295</f>
        <v/>
      </c>
      <c r="V340" s="24">
        <f>V293+V294+V295</f>
        <v/>
      </c>
      <c r="W340" s="24">
        <f>W293+W294+W295</f>
        <v/>
      </c>
      <c r="X340" s="24">
        <f>X293+X294+X295</f>
        <v/>
      </c>
      <c r="Y340" s="24">
        <f>Y293+Y294+Y295</f>
        <v/>
      </c>
      <c r="Z340" s="24">
        <f>Z293+Z294+Z295</f>
        <v/>
      </c>
      <c r="AA340" s="24">
        <f>AA293+AA294+AA295</f>
        <v/>
      </c>
      <c r="AB340" s="24">
        <f>AB293+AB294+AB295</f>
        <v/>
      </c>
      <c r="AC340" s="24">
        <f>AC293+AC294+AC295</f>
        <v/>
      </c>
      <c r="AD340" s="24">
        <f>AD293+AD294+AD295</f>
        <v/>
      </c>
      <c r="AE340" s="24">
        <f>AE293+AE294+AE295</f>
        <v/>
      </c>
      <c r="AF340" s="24">
        <f>AF293+AF294+AF295</f>
        <v/>
      </c>
    </row>
    <row r="341">
      <c r="A341" s="3" t="inlineStr">
        <is>
          <t>Flaconi in arrivo dal lotto</t>
        </is>
      </c>
      <c r="C341" s="24" t="n">
        <v>0</v>
      </c>
      <c r="D341" s="24" t="n">
        <v>0</v>
      </c>
      <c r="E341" s="24">
        <f>C345</f>
        <v/>
      </c>
      <c r="F341" s="24">
        <f>D345</f>
        <v/>
      </c>
      <c r="G341" s="24">
        <f>E345</f>
        <v/>
      </c>
      <c r="H341" s="24">
        <f>F345</f>
        <v/>
      </c>
      <c r="I341" s="24">
        <f>G345</f>
        <v/>
      </c>
      <c r="J341" s="24">
        <f>H345</f>
        <v/>
      </c>
      <c r="K341" s="24">
        <f>I345</f>
        <v/>
      </c>
      <c r="L341" s="24">
        <f>J345</f>
        <v/>
      </c>
      <c r="M341" s="24">
        <f>K345</f>
        <v/>
      </c>
      <c r="N341" s="24">
        <f>L345</f>
        <v/>
      </c>
      <c r="O341" s="24">
        <f>M345</f>
        <v/>
      </c>
      <c r="P341" s="24">
        <f>N345</f>
        <v/>
      </c>
      <c r="Q341" s="24">
        <f>O345</f>
        <v/>
      </c>
      <c r="R341" s="24">
        <f>P345</f>
        <v/>
      </c>
      <c r="S341" s="24">
        <f>Q345</f>
        <v/>
      </c>
      <c r="T341" s="24">
        <f>R345</f>
        <v/>
      </c>
      <c r="U341" s="24">
        <f>S345</f>
        <v/>
      </c>
      <c r="V341" s="24">
        <f>T345</f>
        <v/>
      </c>
      <c r="W341" s="24">
        <f>U345</f>
        <v/>
      </c>
      <c r="X341" s="24">
        <f>V345</f>
        <v/>
      </c>
      <c r="Y341" s="24">
        <f>W345</f>
        <v/>
      </c>
      <c r="Z341" s="24">
        <f>X345</f>
        <v/>
      </c>
      <c r="AA341" s="24">
        <f>Y345</f>
        <v/>
      </c>
      <c r="AB341" s="24">
        <f>Z345</f>
        <v/>
      </c>
      <c r="AC341" s="24">
        <f>AA345</f>
        <v/>
      </c>
      <c r="AD341" s="24">
        <f>AB345</f>
        <v/>
      </c>
      <c r="AE341" s="24">
        <f>AC345</f>
        <v/>
      </c>
      <c r="AF341" s="24">
        <f>AD345</f>
        <v/>
      </c>
    </row>
    <row r="342">
      <c r="A342" s="3" t="inlineStr">
        <is>
          <t>Flaconi in magazzino a fine mese</t>
        </is>
      </c>
      <c r="C342" s="24">
        <f>0+C341*(1-$C$65)-IF(C341&gt;0,$C$66,0)-C340</f>
        <v/>
      </c>
      <c r="D342" s="24">
        <f>C342+D341*(1-$C$65)-IF(D341&gt;0,$C$66,0)-D340</f>
        <v/>
      </c>
      <c r="E342" s="24">
        <f>D342+E341*(1-$C$65)-IF(E341&gt;0,$C$66,0)-E340</f>
        <v/>
      </c>
      <c r="F342" s="24">
        <f>E342+F341*(1-$C$65)-IF(F341&gt;0,$C$66,0)-F340</f>
        <v/>
      </c>
      <c r="G342" s="24">
        <f>F342+G341*(1-$C$65)-IF(G341&gt;0,$C$66,0)-G340</f>
        <v/>
      </c>
      <c r="H342" s="24">
        <f>G342+H341*(1-$C$65)-IF(H341&gt;0,$C$66,0)-H340</f>
        <v/>
      </c>
      <c r="I342" s="24">
        <f>H342+I341*(1-$C$65)-IF(I341&gt;0,$C$66,0)-I340</f>
        <v/>
      </c>
      <c r="J342" s="24">
        <f>I342+J341*(1-$C$65)-IF(J341&gt;0,$C$66,0)-J340</f>
        <v/>
      </c>
      <c r="K342" s="24">
        <f>J342+K341*(1-$C$65)-IF(K341&gt;0,$C$66,0)-K340</f>
        <v/>
      </c>
      <c r="L342" s="24">
        <f>K342+L341*(1-$C$65)-IF(L341&gt;0,$C$66,0)-L340</f>
        <v/>
      </c>
      <c r="M342" s="24">
        <f>L342+M341*(1-$C$65)-IF(M341&gt;0,$C$66,0)-M340</f>
        <v/>
      </c>
      <c r="N342" s="24">
        <f>M342+N341*(1-$C$65)-IF(N341&gt;0,$C$66,0)-N340</f>
        <v/>
      </c>
      <c r="O342" s="24">
        <f>N342+O341*(1-$C$65)-IF(O341&gt;0,$C$66,0)-O340</f>
        <v/>
      </c>
      <c r="P342" s="24">
        <f>O342+P341*(1-$C$65)-IF(P341&gt;0,$C$66,0)-P340</f>
        <v/>
      </c>
      <c r="Q342" s="24">
        <f>P342+Q341*(1-$C$65)-IF(Q341&gt;0,$C$66,0)-Q340</f>
        <v/>
      </c>
      <c r="R342" s="24">
        <f>Q342+R341*(1-$C$65)-IF(R341&gt;0,$C$66,0)-R340</f>
        <v/>
      </c>
      <c r="S342" s="24">
        <f>R342+S341*(1-$C$65)-IF(S341&gt;0,$C$66,0)-S340</f>
        <v/>
      </c>
      <c r="T342" s="24">
        <f>S342+T341*(1-$C$65)-IF(T341&gt;0,$C$66,0)-T340</f>
        <v/>
      </c>
      <c r="U342" s="24">
        <f>T342+U341*(1-$C$65)-IF(U341&gt;0,$C$66,0)-U340</f>
        <v/>
      </c>
      <c r="V342" s="24">
        <f>U342+V341*(1-$C$65)-IF(V341&gt;0,$C$66,0)-V340</f>
        <v/>
      </c>
      <c r="W342" s="24">
        <f>V342+W341*(1-$C$65)-IF(W341&gt;0,$C$66,0)-W340</f>
        <v/>
      </c>
      <c r="X342" s="24">
        <f>W342+X341*(1-$C$65)-IF(X341&gt;0,$C$66,0)-X340</f>
        <v/>
      </c>
      <c r="Y342" s="24">
        <f>X342+Y341*(1-$C$65)-IF(Y341&gt;0,$C$66,0)-Y340</f>
        <v/>
      </c>
      <c r="Z342" s="24">
        <f>Y342+Z341*(1-$C$65)-IF(Z341&gt;0,$C$66,0)-Z340</f>
        <v/>
      </c>
      <c r="AA342" s="24">
        <f>Z342+AA341*(1-$C$65)-IF(AA341&gt;0,$C$66,0)-AA340</f>
        <v/>
      </c>
      <c r="AB342" s="24">
        <f>AA342+AB341*(1-$C$65)-IF(AB341&gt;0,$C$66,0)-AB340</f>
        <v/>
      </c>
      <c r="AC342" s="24">
        <f>AB342+AC341*(1-$C$65)-IF(AC341&gt;0,$C$66,0)-AC340</f>
        <v/>
      </c>
      <c r="AD342" s="24">
        <f>AC342+AD341*(1-$C$65)-IF(AD341&gt;0,$C$66,0)-AD340</f>
        <v/>
      </c>
      <c r="AE342" s="24">
        <f>AD342+AE341*(1-$C$65)-IF(AE341&gt;0,$C$66,0)-AE340</f>
        <v/>
      </c>
      <c r="AF342" s="24">
        <f>AE342+AF341*(1-$C$65)-IF(AF341&gt;0,$C$66,0)-AF340</f>
        <v/>
      </c>
    </row>
    <row r="343">
      <c r="A343" s="3" t="inlineStr">
        <is>
          <t>Consumo medio degli ultimi due mesi</t>
        </is>
      </c>
      <c r="C343" s="24">
        <f>C340</f>
        <v/>
      </c>
      <c r="D343" s="24">
        <f>AVERAGE(C340:D340)</f>
        <v/>
      </c>
      <c r="E343" s="24">
        <f>AVERAGE(D340:E340)</f>
        <v/>
      </c>
      <c r="F343" s="24">
        <f>AVERAGE(E340:F340)</f>
        <v/>
      </c>
      <c r="G343" s="24">
        <f>AVERAGE(F340:G340)</f>
        <v/>
      </c>
      <c r="H343" s="24">
        <f>AVERAGE(G340:H340)</f>
        <v/>
      </c>
      <c r="I343" s="24">
        <f>AVERAGE(H340:I340)</f>
        <v/>
      </c>
      <c r="J343" s="24">
        <f>AVERAGE(I340:J340)</f>
        <v/>
      </c>
      <c r="K343" s="24">
        <f>AVERAGE(J340:K340)</f>
        <v/>
      </c>
      <c r="L343" s="24">
        <f>AVERAGE(K340:L340)</f>
        <v/>
      </c>
      <c r="M343" s="24">
        <f>AVERAGE(L340:M340)</f>
        <v/>
      </c>
      <c r="N343" s="24">
        <f>AVERAGE(M340:N340)</f>
        <v/>
      </c>
      <c r="O343" s="24">
        <f>AVERAGE(N340:O340)</f>
        <v/>
      </c>
      <c r="P343" s="24">
        <f>AVERAGE(O340:P340)</f>
        <v/>
      </c>
      <c r="Q343" s="24">
        <f>AVERAGE(P340:Q340)</f>
        <v/>
      </c>
      <c r="R343" s="24">
        <f>AVERAGE(Q340:R340)</f>
        <v/>
      </c>
      <c r="S343" s="24">
        <f>AVERAGE(R340:S340)</f>
        <v/>
      </c>
      <c r="T343" s="24">
        <f>AVERAGE(S340:T340)</f>
        <v/>
      </c>
      <c r="U343" s="24">
        <f>AVERAGE(T340:U340)</f>
        <v/>
      </c>
      <c r="V343" s="24">
        <f>AVERAGE(U340:V340)</f>
        <v/>
      </c>
      <c r="W343" s="24">
        <f>AVERAGE(V340:W340)</f>
        <v/>
      </c>
      <c r="X343" s="24">
        <f>AVERAGE(W340:X340)</f>
        <v/>
      </c>
      <c r="Y343" s="24">
        <f>AVERAGE(X340:Y340)</f>
        <v/>
      </c>
      <c r="Z343" s="24">
        <f>AVERAGE(Y340:Z340)</f>
        <v/>
      </c>
      <c r="AA343" s="24">
        <f>AVERAGE(Z340:AA340)</f>
        <v/>
      </c>
      <c r="AB343" s="24">
        <f>AVERAGE(AA340:AB340)</f>
        <v/>
      </c>
      <c r="AC343" s="24">
        <f>AVERAGE(AB340:AC340)</f>
        <v/>
      </c>
      <c r="AD343" s="24">
        <f>AVERAGE(AC340:AD340)</f>
        <v/>
      </c>
      <c r="AE343" s="24">
        <f>AVERAGE(AD340:AE340)</f>
        <v/>
      </c>
      <c r="AF343" s="24">
        <f>AVERAGE(AE340:AF340)</f>
        <v/>
      </c>
    </row>
    <row r="344">
      <c r="A344" s="3" t="inlineStr">
        <is>
          <t>Punto di riordino</t>
        </is>
      </c>
      <c r="C344" s="24">
        <f>C343*($C$63+$C$64)</f>
        <v/>
      </c>
      <c r="D344" s="24">
        <f>D343*($C$63+$C$64)</f>
        <v/>
      </c>
      <c r="E344" s="24">
        <f>E343*($C$63+$C$64)</f>
        <v/>
      </c>
      <c r="F344" s="24">
        <f>F343*($C$63+$C$64)</f>
        <v/>
      </c>
      <c r="G344" s="24">
        <f>G343*($C$63+$C$64)</f>
        <v/>
      </c>
      <c r="H344" s="24">
        <f>H343*($C$63+$C$64)</f>
        <v/>
      </c>
      <c r="I344" s="24">
        <f>I343*($C$63+$C$64)</f>
        <v/>
      </c>
      <c r="J344" s="24">
        <f>J343*($C$63+$C$64)</f>
        <v/>
      </c>
      <c r="K344" s="24">
        <f>K343*($C$63+$C$64)</f>
        <v/>
      </c>
      <c r="L344" s="24">
        <f>L343*($C$63+$C$64)</f>
        <v/>
      </c>
      <c r="M344" s="24">
        <f>M343*($C$63+$C$64)</f>
        <v/>
      </c>
      <c r="N344" s="24">
        <f>N343*($C$63+$C$64)</f>
        <v/>
      </c>
      <c r="O344" s="24">
        <f>O343*($C$63+$C$64)</f>
        <v/>
      </c>
      <c r="P344" s="24">
        <f>P343*($C$63+$C$64)</f>
        <v/>
      </c>
      <c r="Q344" s="24">
        <f>Q343*($C$63+$C$64)</f>
        <v/>
      </c>
      <c r="R344" s="24">
        <f>R343*($C$63+$C$64)</f>
        <v/>
      </c>
      <c r="S344" s="24">
        <f>S343*($C$63+$C$64)</f>
        <v/>
      </c>
      <c r="T344" s="24">
        <f>T343*($C$63+$C$64)</f>
        <v/>
      </c>
      <c r="U344" s="24">
        <f>U343*($C$63+$C$64)</f>
        <v/>
      </c>
      <c r="V344" s="24">
        <f>V343*($C$63+$C$64)</f>
        <v/>
      </c>
      <c r="W344" s="24">
        <f>W343*($C$63+$C$64)</f>
        <v/>
      </c>
      <c r="X344" s="24">
        <f>X343*($C$63+$C$64)</f>
        <v/>
      </c>
      <c r="Y344" s="24">
        <f>Y343*($C$63+$C$64)</f>
        <v/>
      </c>
      <c r="Z344" s="24">
        <f>Z343*($C$63+$C$64)</f>
        <v/>
      </c>
      <c r="AA344" s="24">
        <f>AA343*($C$63+$C$64)</f>
        <v/>
      </c>
      <c r="AB344" s="24">
        <f>AB343*($C$63+$C$64)</f>
        <v/>
      </c>
      <c r="AC344" s="24">
        <f>AC343*($C$63+$C$64)</f>
        <v/>
      </c>
      <c r="AD344" s="24">
        <f>AD343*($C$63+$C$64)</f>
        <v/>
      </c>
      <c r="AE344" s="24">
        <f>AE343*($C$63+$C$64)</f>
        <v/>
      </c>
      <c r="AF344" s="24">
        <f>AF343*($C$63+$C$64)</f>
        <v/>
      </c>
    </row>
    <row r="345">
      <c r="A345" s="3" t="inlineStr">
        <is>
          <t>Lotto ordinato nel mese</t>
        </is>
      </c>
      <c r="C345" s="24">
        <f>IF(C106=-3,$C$61,IF(AND(C106&gt;=0,C342+0&lt;=C344),$C$61,0))</f>
        <v/>
      </c>
      <c r="D345" s="24">
        <f>IF(D106=-3,$C$61,IF(AND(D106&gt;=0,D342+C345&lt;=D344),$C$61,0))</f>
        <v/>
      </c>
      <c r="E345" s="24">
        <f>IF(E106=-3,$C$61,IF(AND(E106&gt;=0,E342+D345&lt;=E344),$C$61,0))</f>
        <v/>
      </c>
      <c r="F345" s="24">
        <f>IF(F106=-3,$C$61,IF(AND(F106&gt;=0,F342+E345&lt;=F344),$C$61,0))</f>
        <v/>
      </c>
      <c r="G345" s="24">
        <f>IF(G106=-3,$C$61,IF(AND(G106&gt;=0,G342+F345&lt;=G344),$C$61,0))</f>
        <v/>
      </c>
      <c r="H345" s="24">
        <f>IF(H106=-3,$C$61,IF(AND(H106&gt;=0,H342+G345&lt;=H344),$C$61,0))</f>
        <v/>
      </c>
      <c r="I345" s="24">
        <f>IF(I106=-3,$C$61,IF(AND(I106&gt;=0,I342+H345&lt;=I344),$C$61,0))</f>
        <v/>
      </c>
      <c r="J345" s="24">
        <f>IF(J106=-3,$C$61,IF(AND(J106&gt;=0,J342+I345&lt;=J344),$C$61,0))</f>
        <v/>
      </c>
      <c r="K345" s="24">
        <f>IF(K106=-3,$C$61,IF(AND(K106&gt;=0,K342+J345&lt;=K344),$C$61,0))</f>
        <v/>
      </c>
      <c r="L345" s="24">
        <f>IF(L106=-3,$C$61,IF(AND(L106&gt;=0,L342+K345&lt;=L344),$C$61,0))</f>
        <v/>
      </c>
      <c r="M345" s="24">
        <f>IF(M106=-3,$C$61,IF(AND(M106&gt;=0,M342+L345&lt;=M344),$C$61,0))</f>
        <v/>
      </c>
      <c r="N345" s="24">
        <f>IF(N106=-3,$C$61,IF(AND(N106&gt;=0,N342+M345&lt;=N344),$C$61,0))</f>
        <v/>
      </c>
      <c r="O345" s="24">
        <f>IF(O106=-3,$C$61,IF(AND(O106&gt;=0,O342+N345&lt;=O344),$C$61,0))</f>
        <v/>
      </c>
      <c r="P345" s="24">
        <f>IF(P106=-3,$C$61,IF(AND(P106&gt;=0,P342+O345&lt;=P344),$C$61,0))</f>
        <v/>
      </c>
      <c r="Q345" s="24">
        <f>IF(Q106=-3,$C$61,IF(AND(Q106&gt;=0,Q342+P345&lt;=Q344),$C$61,0))</f>
        <v/>
      </c>
      <c r="R345" s="24">
        <f>IF(R106=-3,$C$61,IF(AND(R106&gt;=0,R342+Q345&lt;=R344),$C$61,0))</f>
        <v/>
      </c>
      <c r="S345" s="24">
        <f>IF(S106=-3,$C$61,IF(AND(S106&gt;=0,S342+R345&lt;=S344),$C$61,0))</f>
        <v/>
      </c>
      <c r="T345" s="24">
        <f>IF(T106=-3,$C$61,IF(AND(T106&gt;=0,T342+S345&lt;=T344),$C$61,0))</f>
        <v/>
      </c>
      <c r="U345" s="24">
        <f>IF(U106=-3,$C$61,IF(AND(U106&gt;=0,U342+T345&lt;=U344),$C$61,0))</f>
        <v/>
      </c>
      <c r="V345" s="24">
        <f>IF(V106=-3,$C$61,IF(AND(V106&gt;=0,V342+U345&lt;=V344),$C$61,0))</f>
        <v/>
      </c>
      <c r="W345" s="24">
        <f>IF(W106=-3,$C$61,IF(AND(W106&gt;=0,W342+V345&lt;=W344),$C$61,0))</f>
        <v/>
      </c>
      <c r="X345" s="24">
        <f>IF(X106=-3,$C$61,IF(AND(X106&gt;=0,X342+W345&lt;=X344),$C$61,0))</f>
        <v/>
      </c>
      <c r="Y345" s="24">
        <f>IF(Y106=-3,$C$61,IF(AND(Y106&gt;=0,Y342+X345&lt;=Y344),$C$61,0))</f>
        <v/>
      </c>
      <c r="Z345" s="24">
        <f>IF(Z106=-3,$C$61,IF(AND(Z106&gt;=0,Z342+Y345&lt;=Z344),$C$61,0))</f>
        <v/>
      </c>
      <c r="AA345" s="24">
        <f>IF(AA106=-3,$C$61,IF(AND(AA106&gt;=0,AA342+Z345&lt;=AA344),$C$61,0))</f>
        <v/>
      </c>
      <c r="AB345" s="24">
        <f>IF(AB106=-3,$C$61,IF(AND(AB106&gt;=0,AB342+AA345&lt;=AB344),$C$61,0))</f>
        <v/>
      </c>
      <c r="AC345" s="24">
        <f>IF(AC106=-3,$C$61,IF(AND(AC106&gt;=0,AC342+AB345&lt;=AC344),$C$61,0))</f>
        <v/>
      </c>
      <c r="AD345" s="24">
        <f>IF(AD106=-3,$C$61,IF(AND(AD106&gt;=0,AD342+AC345&lt;=AD344),$C$61,0))</f>
        <v/>
      </c>
      <c r="AE345" s="24">
        <f>IF(AE106=-3,$C$61,IF(AND(AE106&gt;=0,AE342+AD345&lt;=AE344),$C$61,0))</f>
        <v/>
      </c>
      <c r="AF345" s="24">
        <f>IF(AF106=-3,$C$61,IF(AND(AF106&gt;=0,AF342+AE345&lt;=AF344),$C$61,0))</f>
        <v/>
      </c>
    </row>
    <row r="346">
      <c r="A346" s="3" t="inlineStr">
        <is>
          <t>Pagamenti ai produttori (netto IVA)</t>
        </is>
      </c>
      <c r="B346" s="4" t="inlineStr">
        <is>
          <t>€</t>
        </is>
      </c>
      <c r="C346" s="20">
        <f>C345*$C$7*$C$62+C341*$C$7*(1-$C$62)</f>
        <v/>
      </c>
      <c r="D346" s="20">
        <f>D345*$C$7*$C$62+D341*$C$7*(1-$C$62)</f>
        <v/>
      </c>
      <c r="E346" s="20">
        <f>E345*$C$7*$C$62+E341*$C$7*(1-$C$62)</f>
        <v/>
      </c>
      <c r="F346" s="20">
        <f>F345*$C$7*$C$62+F341*$C$7*(1-$C$62)</f>
        <v/>
      </c>
      <c r="G346" s="20">
        <f>G345*$C$7*$C$62+G341*$C$7*(1-$C$62)</f>
        <v/>
      </c>
      <c r="H346" s="20">
        <f>H345*$C$7*$C$62+H341*$C$7*(1-$C$62)</f>
        <v/>
      </c>
      <c r="I346" s="20">
        <f>I345*$C$7*$C$62+I341*$C$7*(1-$C$62)</f>
        <v/>
      </c>
      <c r="J346" s="20">
        <f>J345*$C$7*$C$62+J341*$C$7*(1-$C$62)</f>
        <v/>
      </c>
      <c r="K346" s="20">
        <f>K345*$C$7*$C$62+K341*$C$7*(1-$C$62)</f>
        <v/>
      </c>
      <c r="L346" s="20">
        <f>L345*$C$7*$C$62+L341*$C$7*(1-$C$62)</f>
        <v/>
      </c>
      <c r="M346" s="20">
        <f>M345*$C$7*$C$62+M341*$C$7*(1-$C$62)</f>
        <v/>
      </c>
      <c r="N346" s="20">
        <f>N345*$C$7*$C$62+N341*$C$7*(1-$C$62)</f>
        <v/>
      </c>
      <c r="O346" s="20">
        <f>O345*$C$7*$C$62+O341*$C$7*(1-$C$62)</f>
        <v/>
      </c>
      <c r="P346" s="20">
        <f>P345*$C$7*$C$62+P341*$C$7*(1-$C$62)</f>
        <v/>
      </c>
      <c r="Q346" s="20">
        <f>Q345*$C$7*$C$62+Q341*$C$7*(1-$C$62)</f>
        <v/>
      </c>
      <c r="R346" s="20">
        <f>R345*$C$7*$C$62+R341*$C$7*(1-$C$62)</f>
        <v/>
      </c>
      <c r="S346" s="20">
        <f>S345*$C$7*$C$62+S341*$C$7*(1-$C$62)</f>
        <v/>
      </c>
      <c r="T346" s="20">
        <f>T345*$C$7*$C$62+T341*$C$7*(1-$C$62)</f>
        <v/>
      </c>
      <c r="U346" s="20">
        <f>U345*$C$7*$C$62+U341*$C$7*(1-$C$62)</f>
        <v/>
      </c>
      <c r="V346" s="20">
        <f>V345*$C$7*$C$62+V341*$C$7*(1-$C$62)</f>
        <v/>
      </c>
      <c r="W346" s="20">
        <f>W345*$C$7*$C$62+W341*$C$7*(1-$C$62)</f>
        <v/>
      </c>
      <c r="X346" s="20">
        <f>X345*$C$7*$C$62+X341*$C$7*(1-$C$62)</f>
        <v/>
      </c>
      <c r="Y346" s="20">
        <f>Y345*$C$7*$C$62+Y341*$C$7*(1-$C$62)</f>
        <v/>
      </c>
      <c r="Z346" s="20">
        <f>Z345*$C$7*$C$62+Z341*$C$7*(1-$C$62)</f>
        <v/>
      </c>
      <c r="AA346" s="20">
        <f>AA345*$C$7*$C$62+AA341*$C$7*(1-$C$62)</f>
        <v/>
      </c>
      <c r="AB346" s="20">
        <f>AB345*$C$7*$C$62+AB341*$C$7*(1-$C$62)</f>
        <v/>
      </c>
      <c r="AC346" s="20">
        <f>AC345*$C$7*$C$62+AC341*$C$7*(1-$C$62)</f>
        <v/>
      </c>
      <c r="AD346" s="20">
        <f>AD345*$C$7*$C$62+AD341*$C$7*(1-$C$62)</f>
        <v/>
      </c>
      <c r="AE346" s="20">
        <f>AE345*$C$7*$C$62+AE341*$C$7*(1-$C$62)</f>
        <v/>
      </c>
      <c r="AF346" s="20">
        <f>AF345*$C$7*$C$62+AF341*$C$7*(1-$C$62)</f>
        <v/>
      </c>
    </row>
    <row r="348">
      <c r="A348" s="10" t="inlineStr">
        <is>
          <t>Costi fissi</t>
        </is>
      </c>
    </row>
    <row r="349">
      <c r="A349" s="3" t="inlineStr">
        <is>
          <t>Costi fissi (netto IVA)</t>
        </is>
      </c>
      <c r="B349" s="4" t="inlineStr">
        <is>
          <t>€</t>
        </is>
      </c>
      <c r="C349" s="20">
        <f>100+250+40+IF(C105&gt;=10,IF(C105&lt;$C$6,30,80),0)+IF(C105&gt;=$C$6-1,100,0)+IF(OR(C105=3,C105=15,C105=27),430,0)+IF(OR(C105=$C$6,C105=$C$6+12),1200,0)</f>
        <v/>
      </c>
      <c r="D349" s="20">
        <f>100+250+40+IF(D105&gt;=10,IF(D105&lt;$C$6,30,80),0)+IF(D105&gt;=$C$6-1,100,0)+IF(OR(D105=3,D105=15,D105=27),430,0)+IF(OR(D105=$C$6,D105=$C$6+12),1200,0)</f>
        <v/>
      </c>
      <c r="E349" s="20">
        <f>100+250+40+IF(E105&gt;=10,IF(E105&lt;$C$6,30,80),0)+IF(E105&gt;=$C$6-1,100,0)+IF(OR(E105=3,E105=15,E105=27),430,0)+IF(OR(E105=$C$6,E105=$C$6+12),1200,0)</f>
        <v/>
      </c>
      <c r="F349" s="20">
        <f>100+250+40+IF(F105&gt;=10,IF(F105&lt;$C$6,30,80),0)+IF(F105&gt;=$C$6-1,100,0)+IF(OR(F105=3,F105=15,F105=27),430,0)+IF(OR(F105=$C$6,F105=$C$6+12),1200,0)</f>
        <v/>
      </c>
      <c r="G349" s="20">
        <f>100+250+40+IF(G105&gt;=10,IF(G105&lt;$C$6,30,80),0)+IF(G105&gt;=$C$6-1,100,0)+IF(OR(G105=3,G105=15,G105=27),430,0)+IF(OR(G105=$C$6,G105=$C$6+12),1200,0)</f>
        <v/>
      </c>
      <c r="H349" s="20">
        <f>100+250+40+IF(H105&gt;=10,IF(H105&lt;$C$6,30,80),0)+IF(H105&gt;=$C$6-1,100,0)+IF(OR(H105=3,H105=15,H105=27),430,0)+IF(OR(H105=$C$6,H105=$C$6+12),1200,0)</f>
        <v/>
      </c>
      <c r="I349" s="20">
        <f>100+250+40+IF(I105&gt;=10,IF(I105&lt;$C$6,30,80),0)+IF(I105&gt;=$C$6-1,100,0)+IF(OR(I105=3,I105=15,I105=27),430,0)+IF(OR(I105=$C$6,I105=$C$6+12),1200,0)</f>
        <v/>
      </c>
      <c r="J349" s="20">
        <f>100+250+40+IF(J105&gt;=10,IF(J105&lt;$C$6,30,80),0)+IF(J105&gt;=$C$6-1,100,0)+IF(OR(J105=3,J105=15,J105=27),430,0)+IF(OR(J105=$C$6,J105=$C$6+12),1200,0)</f>
        <v/>
      </c>
      <c r="K349" s="20">
        <f>100+250+40+IF(K105&gt;=10,IF(K105&lt;$C$6,30,80),0)+IF(K105&gt;=$C$6-1,100,0)+IF(OR(K105=3,K105=15,K105=27),430,0)+IF(OR(K105=$C$6,K105=$C$6+12),1200,0)</f>
        <v/>
      </c>
      <c r="L349" s="20">
        <f>100+250+40+IF(L105&gt;=10,IF(L105&lt;$C$6,30,80),0)+IF(L105&gt;=$C$6-1,100,0)+IF(OR(L105=3,L105=15,L105=27),430,0)+IF(OR(L105=$C$6,L105=$C$6+12),1200,0)</f>
        <v/>
      </c>
      <c r="M349" s="20">
        <f>100+250+40+IF(M105&gt;=10,IF(M105&lt;$C$6,30,80),0)+IF(M105&gt;=$C$6-1,100,0)+IF(OR(M105=3,M105=15,M105=27),430,0)+IF(OR(M105=$C$6,M105=$C$6+12),1200,0)</f>
        <v/>
      </c>
      <c r="N349" s="20">
        <f>100+250+40+IF(N105&gt;=10,IF(N105&lt;$C$6,30,80),0)+IF(N105&gt;=$C$6-1,100,0)+IF(OR(N105=3,N105=15,N105=27),430,0)+IF(OR(N105=$C$6,N105=$C$6+12),1200,0)</f>
        <v/>
      </c>
      <c r="O349" s="20">
        <f>100+250+40+IF(O105&gt;=10,IF(O105&lt;$C$6,30,80),0)+IF(O105&gt;=$C$6-1,100,0)+IF(OR(O105=3,O105=15,O105=27),430,0)+IF(OR(O105=$C$6,O105=$C$6+12),1200,0)</f>
        <v/>
      </c>
      <c r="P349" s="20">
        <f>100+250+40+IF(P105&gt;=10,IF(P105&lt;$C$6,30,80),0)+IF(P105&gt;=$C$6-1,100,0)+IF(OR(P105=3,P105=15,P105=27),430,0)+IF(OR(P105=$C$6,P105=$C$6+12),1200,0)</f>
        <v/>
      </c>
      <c r="Q349" s="20">
        <f>100+250+40+IF(Q105&gt;=10,IF(Q105&lt;$C$6,30,80),0)+IF(Q105&gt;=$C$6-1,100,0)+IF(OR(Q105=3,Q105=15,Q105=27),430,0)+IF(OR(Q105=$C$6,Q105=$C$6+12),1200,0)</f>
        <v/>
      </c>
      <c r="R349" s="20">
        <f>100+250+40+IF(R105&gt;=10,IF(R105&lt;$C$6,30,80),0)+IF(R105&gt;=$C$6-1,100,0)+IF(OR(R105=3,R105=15,R105=27),430,0)+IF(OR(R105=$C$6,R105=$C$6+12),1200,0)</f>
        <v/>
      </c>
      <c r="S349" s="20">
        <f>100+250+40+IF(S105&gt;=10,IF(S105&lt;$C$6,30,80),0)+IF(S105&gt;=$C$6-1,100,0)+IF(OR(S105=3,S105=15,S105=27),430,0)+IF(OR(S105=$C$6,S105=$C$6+12),1200,0)</f>
        <v/>
      </c>
      <c r="T349" s="20">
        <f>100+250+40+IF(T105&gt;=10,IF(T105&lt;$C$6,30,80),0)+IF(T105&gt;=$C$6-1,100,0)+IF(OR(T105=3,T105=15,T105=27),430,0)+IF(OR(T105=$C$6,T105=$C$6+12),1200,0)</f>
        <v/>
      </c>
      <c r="U349" s="20">
        <f>100+250+40+IF(U105&gt;=10,IF(U105&lt;$C$6,30,80),0)+IF(U105&gt;=$C$6-1,100,0)+IF(OR(U105=3,U105=15,U105=27),430,0)+IF(OR(U105=$C$6,U105=$C$6+12),1200,0)</f>
        <v/>
      </c>
      <c r="V349" s="20">
        <f>100+250+40+IF(V105&gt;=10,IF(V105&lt;$C$6,30,80),0)+IF(V105&gt;=$C$6-1,100,0)+IF(OR(V105=3,V105=15,V105=27),430,0)+IF(OR(V105=$C$6,V105=$C$6+12),1200,0)</f>
        <v/>
      </c>
      <c r="W349" s="20">
        <f>100+250+40+IF(W105&gt;=10,IF(W105&lt;$C$6,30,80),0)+IF(W105&gt;=$C$6-1,100,0)+IF(OR(W105=3,W105=15,W105=27),430,0)+IF(OR(W105=$C$6,W105=$C$6+12),1200,0)</f>
        <v/>
      </c>
      <c r="X349" s="20">
        <f>100+250+40+IF(X105&gt;=10,IF(X105&lt;$C$6,30,80),0)+IF(X105&gt;=$C$6-1,100,0)+IF(OR(X105=3,X105=15,X105=27),430,0)+IF(OR(X105=$C$6,X105=$C$6+12),1200,0)</f>
        <v/>
      </c>
      <c r="Y349" s="20">
        <f>100+250+40+IF(Y105&gt;=10,IF(Y105&lt;$C$6,30,80),0)+IF(Y105&gt;=$C$6-1,100,0)+IF(OR(Y105=3,Y105=15,Y105=27),430,0)+IF(OR(Y105=$C$6,Y105=$C$6+12),1200,0)</f>
        <v/>
      </c>
      <c r="Z349" s="20">
        <f>100+250+40+IF(Z105&gt;=10,IF(Z105&lt;$C$6,30,80),0)+IF(Z105&gt;=$C$6-1,100,0)+IF(OR(Z105=3,Z105=15,Z105=27),430,0)+IF(OR(Z105=$C$6,Z105=$C$6+12),1200,0)</f>
        <v/>
      </c>
      <c r="AA349" s="20">
        <f>100+250+40+IF(AA105&gt;=10,IF(AA105&lt;$C$6,30,80),0)+IF(AA105&gt;=$C$6-1,100,0)+IF(OR(AA105=3,AA105=15,AA105=27),430,0)+IF(OR(AA105=$C$6,AA105=$C$6+12),1200,0)</f>
        <v/>
      </c>
      <c r="AB349" s="20">
        <f>100+250+40+IF(AB105&gt;=10,IF(AB105&lt;$C$6,30,80),0)+IF(AB105&gt;=$C$6-1,100,0)+IF(OR(AB105=3,AB105=15,AB105=27),430,0)+IF(OR(AB105=$C$6,AB105=$C$6+12),1200,0)</f>
        <v/>
      </c>
      <c r="AC349" s="20">
        <f>100+250+40+IF(AC105&gt;=10,IF(AC105&lt;$C$6,30,80),0)+IF(AC105&gt;=$C$6-1,100,0)+IF(OR(AC105=3,AC105=15,AC105=27),430,0)+IF(OR(AC105=$C$6,AC105=$C$6+12),1200,0)</f>
        <v/>
      </c>
      <c r="AD349" s="20">
        <f>100+250+40+IF(AD105&gt;=10,IF(AD105&lt;$C$6,30,80),0)+IF(AD105&gt;=$C$6-1,100,0)+IF(OR(AD105=3,AD105=15,AD105=27),430,0)+IF(OR(AD105=$C$6,AD105=$C$6+12),1200,0)</f>
        <v/>
      </c>
      <c r="AE349" s="20">
        <f>100+250+40+IF(AE105&gt;=10,IF(AE105&lt;$C$6,30,80),0)+IF(AE105&gt;=$C$6-1,100,0)+IF(OR(AE105=3,AE105=15,AE105=27),430,0)+IF(OR(AE105=$C$6,AE105=$C$6+12),1200,0)</f>
        <v/>
      </c>
      <c r="AF349" s="20">
        <f>100+250+40+IF(AF105&gt;=10,IF(AF105&lt;$C$6,30,80),0)+IF(AF105&gt;=$C$6-1,100,0)+IF(OR(AF105=3,AF105=15,AF105=27),430,0)+IF(OR(AF105=$C$6,AF105=$C$6+12),1200,0)</f>
        <v/>
      </c>
    </row>
    <row r="350">
      <c r="A350" s="3" t="inlineStr">
        <is>
          <t>IVA sui costi fissi</t>
        </is>
      </c>
      <c r="B350" s="4" t="inlineStr">
        <is>
          <t>€</t>
        </is>
      </c>
      <c r="C350" s="20">
        <f>(250+40*0.5+IF(C105&gt;=$C$6-1,100,0))*$C$44</f>
        <v/>
      </c>
      <c r="D350" s="20">
        <f>(250+40*0.5+IF(D105&gt;=$C$6-1,100,0))*$C$44</f>
        <v/>
      </c>
      <c r="E350" s="20">
        <f>(250+40*0.5+IF(E105&gt;=$C$6-1,100,0))*$C$44</f>
        <v/>
      </c>
      <c r="F350" s="20">
        <f>(250+40*0.5+IF(F105&gt;=$C$6-1,100,0))*$C$44</f>
        <v/>
      </c>
      <c r="G350" s="20">
        <f>(250+40*0.5+IF(G105&gt;=$C$6-1,100,0))*$C$44</f>
        <v/>
      </c>
      <c r="H350" s="20">
        <f>(250+40*0.5+IF(H105&gt;=$C$6-1,100,0))*$C$44</f>
        <v/>
      </c>
      <c r="I350" s="20">
        <f>(250+40*0.5+IF(I105&gt;=$C$6-1,100,0))*$C$44</f>
        <v/>
      </c>
      <c r="J350" s="20">
        <f>(250+40*0.5+IF(J105&gt;=$C$6-1,100,0))*$C$44</f>
        <v/>
      </c>
      <c r="K350" s="20">
        <f>(250+40*0.5+IF(K105&gt;=$C$6-1,100,0))*$C$44</f>
        <v/>
      </c>
      <c r="L350" s="20">
        <f>(250+40*0.5+IF(L105&gt;=$C$6-1,100,0))*$C$44</f>
        <v/>
      </c>
      <c r="M350" s="20">
        <f>(250+40*0.5+IF(M105&gt;=$C$6-1,100,0))*$C$44</f>
        <v/>
      </c>
      <c r="N350" s="20">
        <f>(250+40*0.5+IF(N105&gt;=$C$6-1,100,0))*$C$44</f>
        <v/>
      </c>
      <c r="O350" s="20">
        <f>(250+40*0.5+IF(O105&gt;=$C$6-1,100,0))*$C$44</f>
        <v/>
      </c>
      <c r="P350" s="20">
        <f>(250+40*0.5+IF(P105&gt;=$C$6-1,100,0))*$C$44</f>
        <v/>
      </c>
      <c r="Q350" s="20">
        <f>(250+40*0.5+IF(Q105&gt;=$C$6-1,100,0))*$C$44</f>
        <v/>
      </c>
      <c r="R350" s="20">
        <f>(250+40*0.5+IF(R105&gt;=$C$6-1,100,0))*$C$44</f>
        <v/>
      </c>
      <c r="S350" s="20">
        <f>(250+40*0.5+IF(S105&gt;=$C$6-1,100,0))*$C$44</f>
        <v/>
      </c>
      <c r="T350" s="20">
        <f>(250+40*0.5+IF(T105&gt;=$C$6-1,100,0))*$C$44</f>
        <v/>
      </c>
      <c r="U350" s="20">
        <f>(250+40*0.5+IF(U105&gt;=$C$6-1,100,0))*$C$44</f>
        <v/>
      </c>
      <c r="V350" s="20">
        <f>(250+40*0.5+IF(V105&gt;=$C$6-1,100,0))*$C$44</f>
        <v/>
      </c>
      <c r="W350" s="20">
        <f>(250+40*0.5+IF(W105&gt;=$C$6-1,100,0))*$C$44</f>
        <v/>
      </c>
      <c r="X350" s="20">
        <f>(250+40*0.5+IF(X105&gt;=$C$6-1,100,0))*$C$44</f>
        <v/>
      </c>
      <c r="Y350" s="20">
        <f>(250+40*0.5+IF(Y105&gt;=$C$6-1,100,0))*$C$44</f>
        <v/>
      </c>
      <c r="Z350" s="20">
        <f>(250+40*0.5+IF(Z105&gt;=$C$6-1,100,0))*$C$44</f>
        <v/>
      </c>
      <c r="AA350" s="20">
        <f>(250+40*0.5+IF(AA105&gt;=$C$6-1,100,0))*$C$44</f>
        <v/>
      </c>
      <c r="AB350" s="20">
        <f>(250+40*0.5+IF(AB105&gt;=$C$6-1,100,0))*$C$44</f>
        <v/>
      </c>
      <c r="AC350" s="20">
        <f>(250+40*0.5+IF(AC105&gt;=$C$6-1,100,0))*$C$44</f>
        <v/>
      </c>
      <c r="AD350" s="20">
        <f>(250+40*0.5+IF(AD105&gt;=$C$6-1,100,0))*$C$44</f>
        <v/>
      </c>
      <c r="AE350" s="20">
        <f>(250+40*0.5+IF(AE105&gt;=$C$6-1,100,0))*$C$44</f>
        <v/>
      </c>
      <c r="AF350" s="20">
        <f>(250+40*0.5+IF(AF105&gt;=$C$6-1,100,0))*$C$44</f>
        <v/>
      </c>
    </row>
    <row r="351">
      <c r="A351" s="4" t="inlineStr">
        <is>
          <t>Abbonamenti IA 100 (Fable 5.1 e ASTRA di OpenAI) · commercialista 250 · banca, PEC, dominio 40 · piattaforma e-commerce 30, poi 80 dal lancio · magazzino 100 dal mese prima del lancio · diritto camerale e libri sociali 430 nei mesi 3, 15, 27 · assicurazione RC prodotto 1.200 all'anno</t>
        </is>
      </c>
    </row>
    <row r="353">
      <c r="A353" s="10" t="inlineStr">
        <is>
          <t>IVA: posizione mensile, compensazione, versamenti</t>
        </is>
      </c>
    </row>
    <row r="354">
      <c r="A354" s="3" t="inlineStr">
        <is>
          <t>Costi di progetto (netto IVA)</t>
        </is>
      </c>
      <c r="B354" s="4" t="inlineStr">
        <is>
          <t>€</t>
        </is>
      </c>
      <c r="C354" s="20">
        <f>SUMIF($C$298:$C$337,C105,$D$298:$D$337)</f>
        <v/>
      </c>
      <c r="D354" s="20">
        <f>SUMIF($C$298:$C$337,D105,$D$298:$D$337)</f>
        <v/>
      </c>
      <c r="E354" s="20">
        <f>SUMIF($C$298:$C$337,E105,$D$298:$D$337)</f>
        <v/>
      </c>
      <c r="F354" s="20">
        <f>SUMIF($C$298:$C$337,F105,$D$298:$D$337)</f>
        <v/>
      </c>
      <c r="G354" s="20">
        <f>SUMIF($C$298:$C$337,G105,$D$298:$D$337)</f>
        <v/>
      </c>
      <c r="H354" s="20">
        <f>SUMIF($C$298:$C$337,H105,$D$298:$D$337)</f>
        <v/>
      </c>
      <c r="I354" s="20">
        <f>SUMIF($C$298:$C$337,I105,$D$298:$D$337)</f>
        <v/>
      </c>
      <c r="J354" s="20">
        <f>SUMIF($C$298:$C$337,J105,$D$298:$D$337)</f>
        <v/>
      </c>
      <c r="K354" s="20">
        <f>SUMIF($C$298:$C$337,K105,$D$298:$D$337)</f>
        <v/>
      </c>
      <c r="L354" s="20">
        <f>SUMIF($C$298:$C$337,L105,$D$298:$D$337)</f>
        <v/>
      </c>
      <c r="M354" s="20">
        <f>SUMIF($C$298:$C$337,M105,$D$298:$D$337)</f>
        <v/>
      </c>
      <c r="N354" s="20">
        <f>SUMIF($C$298:$C$337,N105,$D$298:$D$337)</f>
        <v/>
      </c>
      <c r="O354" s="20">
        <f>SUMIF($C$298:$C$337,O105,$D$298:$D$337)</f>
        <v/>
      </c>
      <c r="P354" s="20">
        <f>SUMIF($C$298:$C$337,P105,$D$298:$D$337)</f>
        <v/>
      </c>
      <c r="Q354" s="20">
        <f>SUMIF($C$298:$C$337,Q105,$D$298:$D$337)</f>
        <v/>
      </c>
      <c r="R354" s="20">
        <f>SUMIF($C$298:$C$337,R105,$D$298:$D$337)</f>
        <v/>
      </c>
      <c r="S354" s="20">
        <f>SUMIF($C$298:$C$337,S105,$D$298:$D$337)</f>
        <v/>
      </c>
      <c r="T354" s="20">
        <f>SUMIF($C$298:$C$337,T105,$D$298:$D$337)</f>
        <v/>
      </c>
      <c r="U354" s="20">
        <f>SUMIF($C$298:$C$337,U105,$D$298:$D$337)</f>
        <v/>
      </c>
      <c r="V354" s="20">
        <f>SUMIF($C$298:$C$337,V105,$D$298:$D$337)</f>
        <v/>
      </c>
      <c r="W354" s="20">
        <f>SUMIF($C$298:$C$337,W105,$D$298:$D$337)</f>
        <v/>
      </c>
      <c r="X354" s="20">
        <f>SUMIF($C$298:$C$337,X105,$D$298:$D$337)</f>
        <v/>
      </c>
      <c r="Y354" s="20">
        <f>SUMIF($C$298:$C$337,Y105,$D$298:$D$337)</f>
        <v/>
      </c>
      <c r="Z354" s="20">
        <f>SUMIF($C$298:$C$337,Z105,$D$298:$D$337)</f>
        <v/>
      </c>
      <c r="AA354" s="20">
        <f>SUMIF($C$298:$C$337,AA105,$D$298:$D$337)</f>
        <v/>
      </c>
      <c r="AB354" s="20">
        <f>SUMIF($C$298:$C$337,AB105,$D$298:$D$337)</f>
        <v/>
      </c>
      <c r="AC354" s="20">
        <f>SUMIF($C$298:$C$337,AC105,$D$298:$D$337)</f>
        <v/>
      </c>
      <c r="AD354" s="20">
        <f>SUMIF($C$298:$C$337,AD105,$D$298:$D$337)</f>
        <v/>
      </c>
      <c r="AE354" s="20">
        <f>SUMIF($C$298:$C$337,AE105,$D$298:$D$337)</f>
        <v/>
      </c>
      <c r="AF354" s="20">
        <f>SUMIF($C$298:$C$337,AF105,$D$298:$D$337)</f>
        <v/>
      </c>
    </row>
    <row r="355">
      <c r="A355" s="3" t="inlineStr">
        <is>
          <t>IVA sui costi di progetto</t>
        </is>
      </c>
      <c r="B355" s="4" t="inlineStr">
        <is>
          <t>€</t>
        </is>
      </c>
      <c r="C355" s="20">
        <f>SUMIF($C$298:$C$337,C105,$E$298:$E$337)</f>
        <v/>
      </c>
      <c r="D355" s="20">
        <f>SUMIF($C$298:$C$337,D105,$E$298:$E$337)</f>
        <v/>
      </c>
      <c r="E355" s="20">
        <f>SUMIF($C$298:$C$337,E105,$E$298:$E$337)</f>
        <v/>
      </c>
      <c r="F355" s="20">
        <f>SUMIF($C$298:$C$337,F105,$E$298:$E$337)</f>
        <v/>
      </c>
      <c r="G355" s="20">
        <f>SUMIF($C$298:$C$337,G105,$E$298:$E$337)</f>
        <v/>
      </c>
      <c r="H355" s="20">
        <f>SUMIF($C$298:$C$337,H105,$E$298:$E$337)</f>
        <v/>
      </c>
      <c r="I355" s="20">
        <f>SUMIF($C$298:$C$337,I105,$E$298:$E$337)</f>
        <v/>
      </c>
      <c r="J355" s="20">
        <f>SUMIF($C$298:$C$337,J105,$E$298:$E$337)</f>
        <v/>
      </c>
      <c r="K355" s="20">
        <f>SUMIF($C$298:$C$337,K105,$E$298:$E$337)</f>
        <v/>
      </c>
      <c r="L355" s="20">
        <f>SUMIF($C$298:$C$337,L105,$E$298:$E$337)</f>
        <v/>
      </c>
      <c r="M355" s="20">
        <f>SUMIF($C$298:$C$337,M105,$E$298:$E$337)</f>
        <v/>
      </c>
      <c r="N355" s="20">
        <f>SUMIF($C$298:$C$337,N105,$E$298:$E$337)</f>
        <v/>
      </c>
      <c r="O355" s="20">
        <f>SUMIF($C$298:$C$337,O105,$E$298:$E$337)</f>
        <v/>
      </c>
      <c r="P355" s="20">
        <f>SUMIF($C$298:$C$337,P105,$E$298:$E$337)</f>
        <v/>
      </c>
      <c r="Q355" s="20">
        <f>SUMIF($C$298:$C$337,Q105,$E$298:$E$337)</f>
        <v/>
      </c>
      <c r="R355" s="20">
        <f>SUMIF($C$298:$C$337,R105,$E$298:$E$337)</f>
        <v/>
      </c>
      <c r="S355" s="20">
        <f>SUMIF($C$298:$C$337,S105,$E$298:$E$337)</f>
        <v/>
      </c>
      <c r="T355" s="20">
        <f>SUMIF($C$298:$C$337,T105,$E$298:$E$337)</f>
        <v/>
      </c>
      <c r="U355" s="20">
        <f>SUMIF($C$298:$C$337,U105,$E$298:$E$337)</f>
        <v/>
      </c>
      <c r="V355" s="20">
        <f>SUMIF($C$298:$C$337,V105,$E$298:$E$337)</f>
        <v/>
      </c>
      <c r="W355" s="20">
        <f>SUMIF($C$298:$C$337,W105,$E$298:$E$337)</f>
        <v/>
      </c>
      <c r="X355" s="20">
        <f>SUMIF($C$298:$C$337,X105,$E$298:$E$337)</f>
        <v/>
      </c>
      <c r="Y355" s="20">
        <f>SUMIF($C$298:$C$337,Y105,$E$298:$E$337)</f>
        <v/>
      </c>
      <c r="Z355" s="20">
        <f>SUMIF($C$298:$C$337,Z105,$E$298:$E$337)</f>
        <v/>
      </c>
      <c r="AA355" s="20">
        <f>SUMIF($C$298:$C$337,AA105,$E$298:$E$337)</f>
        <v/>
      </c>
      <c r="AB355" s="20">
        <f>SUMIF($C$298:$C$337,AB105,$E$298:$E$337)</f>
        <v/>
      </c>
      <c r="AC355" s="20">
        <f>SUMIF($C$298:$C$337,AC105,$E$298:$E$337)</f>
        <v/>
      </c>
      <c r="AD355" s="20">
        <f>SUMIF($C$298:$C$337,AD105,$E$298:$E$337)</f>
        <v/>
      </c>
      <c r="AE355" s="20">
        <f>SUMIF($C$298:$C$337,AE105,$E$298:$E$337)</f>
        <v/>
      </c>
      <c r="AF355" s="20">
        <f>SUMIF($C$298:$C$337,AF105,$E$298:$E$337)</f>
        <v/>
      </c>
    </row>
    <row r="356">
      <c r="A356" s="3" t="inlineStr">
        <is>
          <t>IVA pagata ai fornitori nel mese</t>
        </is>
      </c>
      <c r="B356" s="4" t="inlineStr">
        <is>
          <t>€</t>
        </is>
      </c>
      <c r="C356" s="20">
        <f>C355+C350+C346*$C$44+C289*$C$44</f>
        <v/>
      </c>
      <c r="D356" s="20">
        <f>D355+D350+D346*$C$44+D289*$C$44</f>
        <v/>
      </c>
      <c r="E356" s="20">
        <f>E355+E350+E346*$C$44+E289*$C$44</f>
        <v/>
      </c>
      <c r="F356" s="20">
        <f>F355+F350+F346*$C$44+F289*$C$44</f>
        <v/>
      </c>
      <c r="G356" s="20">
        <f>G355+G350+G346*$C$44+G289*$C$44</f>
        <v/>
      </c>
      <c r="H356" s="20">
        <f>H355+H350+H346*$C$44+H289*$C$44</f>
        <v/>
      </c>
      <c r="I356" s="20">
        <f>I355+I350+I346*$C$44+I289*$C$44</f>
        <v/>
      </c>
      <c r="J356" s="20">
        <f>J355+J350+J346*$C$44+J289*$C$44</f>
        <v/>
      </c>
      <c r="K356" s="20">
        <f>K355+K350+K346*$C$44+K289*$C$44</f>
        <v/>
      </c>
      <c r="L356" s="20">
        <f>L355+L350+L346*$C$44+L289*$C$44</f>
        <v/>
      </c>
      <c r="M356" s="20">
        <f>M355+M350+M346*$C$44+M289*$C$44</f>
        <v/>
      </c>
      <c r="N356" s="20">
        <f>N355+N350+N346*$C$44+N289*$C$44</f>
        <v/>
      </c>
      <c r="O356" s="20">
        <f>O355+O350+O346*$C$44+O289*$C$44</f>
        <v/>
      </c>
      <c r="P356" s="20">
        <f>P355+P350+P346*$C$44+P289*$C$44</f>
        <v/>
      </c>
      <c r="Q356" s="20">
        <f>Q355+Q350+Q346*$C$44+Q289*$C$44</f>
        <v/>
      </c>
      <c r="R356" s="20">
        <f>R355+R350+R346*$C$44+R289*$C$44</f>
        <v/>
      </c>
      <c r="S356" s="20">
        <f>S355+S350+S346*$C$44+S289*$C$44</f>
        <v/>
      </c>
      <c r="T356" s="20">
        <f>T355+T350+T346*$C$44+T289*$C$44</f>
        <v/>
      </c>
      <c r="U356" s="20">
        <f>U355+U350+U346*$C$44+U289*$C$44</f>
        <v/>
      </c>
      <c r="V356" s="20">
        <f>V355+V350+V346*$C$44+V289*$C$44</f>
        <v/>
      </c>
      <c r="W356" s="20">
        <f>W355+W350+W346*$C$44+W289*$C$44</f>
        <v/>
      </c>
      <c r="X356" s="20">
        <f>X355+X350+X346*$C$44+X289*$C$44</f>
        <v/>
      </c>
      <c r="Y356" s="20">
        <f>Y355+Y350+Y346*$C$44+Y289*$C$44</f>
        <v/>
      </c>
      <c r="Z356" s="20">
        <f>Z355+Z350+Z346*$C$44+Z289*$C$44</f>
        <v/>
      </c>
      <c r="AA356" s="20">
        <f>AA355+AA350+AA346*$C$44+AA289*$C$44</f>
        <v/>
      </c>
      <c r="AB356" s="20">
        <f>AB355+AB350+AB346*$C$44+AB289*$C$44</f>
        <v/>
      </c>
      <c r="AC356" s="20">
        <f>AC355+AC350+AC346*$C$44+AC289*$C$44</f>
        <v/>
      </c>
      <c r="AD356" s="20">
        <f>AD355+AD350+AD346*$C$44+AD289*$C$44</f>
        <v/>
      </c>
      <c r="AE356" s="20">
        <f>AE355+AE350+AE346*$C$44+AE289*$C$44</f>
        <v/>
      </c>
      <c r="AF356" s="20">
        <f>AF355+AF350+AF346*$C$44+AF289*$C$44</f>
        <v/>
      </c>
    </row>
    <row r="357">
      <c r="A357" s="3" t="inlineStr">
        <is>
          <t>IVA del mese: vendite meno rimborsi meno acquisti</t>
        </is>
      </c>
      <c r="B357" s="4" t="inlineStr">
        <is>
          <t>€</t>
        </is>
      </c>
      <c r="C357" s="20">
        <f>C286-C288-C356</f>
        <v/>
      </c>
      <c r="D357" s="20">
        <f>D286-D288-D356</f>
        <v/>
      </c>
      <c r="E357" s="20">
        <f>E286-E288-E356</f>
        <v/>
      </c>
      <c r="F357" s="20">
        <f>F286-F288-F356</f>
        <v/>
      </c>
      <c r="G357" s="20">
        <f>G286-G288-G356</f>
        <v/>
      </c>
      <c r="H357" s="20">
        <f>H286-H288-H356</f>
        <v/>
      </c>
      <c r="I357" s="20">
        <f>I286-I288-I356</f>
        <v/>
      </c>
      <c r="J357" s="20">
        <f>J286-J288-J356</f>
        <v/>
      </c>
      <c r="K357" s="20">
        <f>K286-K288-K356</f>
        <v/>
      </c>
      <c r="L357" s="20">
        <f>L286-L288-L356</f>
        <v/>
      </c>
      <c r="M357" s="20">
        <f>M286-M288-M356</f>
        <v/>
      </c>
      <c r="N357" s="20">
        <f>N286-N288-N356</f>
        <v/>
      </c>
      <c r="O357" s="20">
        <f>O286-O288-O356</f>
        <v/>
      </c>
      <c r="P357" s="20">
        <f>P286-P288-P356</f>
        <v/>
      </c>
      <c r="Q357" s="20">
        <f>Q286-Q288-Q356</f>
        <v/>
      </c>
      <c r="R357" s="20">
        <f>R286-R288-R356</f>
        <v/>
      </c>
      <c r="S357" s="20">
        <f>S286-S288-S356</f>
        <v/>
      </c>
      <c r="T357" s="20">
        <f>T286-T288-T356</f>
        <v/>
      </c>
      <c r="U357" s="20">
        <f>U286-U288-U356</f>
        <v/>
      </c>
      <c r="V357" s="20">
        <f>V286-V288-V356</f>
        <v/>
      </c>
      <c r="W357" s="20">
        <f>W286-W288-W356</f>
        <v/>
      </c>
      <c r="X357" s="20">
        <f>X286-X288-X356</f>
        <v/>
      </c>
      <c r="Y357" s="20">
        <f>Y286-Y288-Y356</f>
        <v/>
      </c>
      <c r="Z357" s="20">
        <f>Z286-Z288-Z356</f>
        <v/>
      </c>
      <c r="AA357" s="20">
        <f>AA286-AA288-AA356</f>
        <v/>
      </c>
      <c r="AB357" s="20">
        <f>AB286-AB288-AB356</f>
        <v/>
      </c>
      <c r="AC357" s="20">
        <f>AC286-AC288-AC356</f>
        <v/>
      </c>
      <c r="AD357" s="20">
        <f>AD286-AD288-AD356</f>
        <v/>
      </c>
      <c r="AE357" s="20">
        <f>AE286-AE288-AE356</f>
        <v/>
      </c>
      <c r="AF357" s="20">
        <f>AF286-AF288-AF356</f>
        <v/>
      </c>
    </row>
    <row r="358">
      <c r="A358" s="3" t="inlineStr">
        <is>
          <t>Posizione prima del versamento</t>
        </is>
      </c>
      <c r="B358" s="4" t="inlineStr">
        <is>
          <t>€</t>
        </is>
      </c>
      <c r="C358" s="20">
        <f>C357</f>
        <v/>
      </c>
      <c r="D358" s="20">
        <f>C360+D357</f>
        <v/>
      </c>
      <c r="E358" s="20">
        <f>D360+E357</f>
        <v/>
      </c>
      <c r="F358" s="20">
        <f>E360+F357</f>
        <v/>
      </c>
      <c r="G358" s="20">
        <f>F360+G357</f>
        <v/>
      </c>
      <c r="H358" s="20">
        <f>G360+H357</f>
        <v/>
      </c>
      <c r="I358" s="20">
        <f>H360+I357</f>
        <v/>
      </c>
      <c r="J358" s="20">
        <f>I360+J357</f>
        <v/>
      </c>
      <c r="K358" s="20">
        <f>J360+K357</f>
        <v/>
      </c>
      <c r="L358" s="20">
        <f>K360+L357</f>
        <v/>
      </c>
      <c r="M358" s="20">
        <f>L360+M357</f>
        <v/>
      </c>
      <c r="N358" s="20">
        <f>M360+N357</f>
        <v/>
      </c>
      <c r="O358" s="20">
        <f>N360+O357</f>
        <v/>
      </c>
      <c r="P358" s="20">
        <f>O360+P357</f>
        <v/>
      </c>
      <c r="Q358" s="20">
        <f>P360+Q357</f>
        <v/>
      </c>
      <c r="R358" s="20">
        <f>Q360+R357</f>
        <v/>
      </c>
      <c r="S358" s="20">
        <f>R360+S357</f>
        <v/>
      </c>
      <c r="T358" s="20">
        <f>S360+T357</f>
        <v/>
      </c>
      <c r="U358" s="20">
        <f>T360+U357</f>
        <v/>
      </c>
      <c r="V358" s="20">
        <f>U360+V357</f>
        <v/>
      </c>
      <c r="W358" s="20">
        <f>V360+W357</f>
        <v/>
      </c>
      <c r="X358" s="20">
        <f>W360+X357</f>
        <v/>
      </c>
      <c r="Y358" s="20">
        <f>X360+Y357</f>
        <v/>
      </c>
      <c r="Z358" s="20">
        <f>Y360+Z357</f>
        <v/>
      </c>
      <c r="AA358" s="20">
        <f>Z360+AA357</f>
        <v/>
      </c>
      <c r="AB358" s="20">
        <f>AA360+AB357</f>
        <v/>
      </c>
      <c r="AC358" s="20">
        <f>AB360+AC357</f>
        <v/>
      </c>
      <c r="AD358" s="20">
        <f>AC360+AD357</f>
        <v/>
      </c>
      <c r="AE358" s="20">
        <f>AD360+AE357</f>
        <v/>
      </c>
      <c r="AF358" s="20">
        <f>AE360+AF357</f>
        <v/>
      </c>
    </row>
    <row r="359">
      <c r="A359" s="3" t="inlineStr">
        <is>
          <t>IVA da versare il mese successivo</t>
        </is>
      </c>
      <c r="B359" s="4" t="inlineStr">
        <is>
          <t>€</t>
        </is>
      </c>
      <c r="C359" s="20">
        <f>MAX(0,C358)</f>
        <v/>
      </c>
      <c r="D359" s="20">
        <f>MAX(0,D358)</f>
        <v/>
      </c>
      <c r="E359" s="20">
        <f>MAX(0,E358)</f>
        <v/>
      </c>
      <c r="F359" s="20">
        <f>MAX(0,F358)</f>
        <v/>
      </c>
      <c r="G359" s="20">
        <f>MAX(0,G358)</f>
        <v/>
      </c>
      <c r="H359" s="20">
        <f>MAX(0,H358)</f>
        <v/>
      </c>
      <c r="I359" s="20">
        <f>MAX(0,I358)</f>
        <v/>
      </c>
      <c r="J359" s="20">
        <f>MAX(0,J358)</f>
        <v/>
      </c>
      <c r="K359" s="20">
        <f>MAX(0,K358)</f>
        <v/>
      </c>
      <c r="L359" s="20">
        <f>MAX(0,L358)</f>
        <v/>
      </c>
      <c r="M359" s="20">
        <f>MAX(0,M358)</f>
        <v/>
      </c>
      <c r="N359" s="20">
        <f>MAX(0,N358)</f>
        <v/>
      </c>
      <c r="O359" s="20">
        <f>MAX(0,O358)</f>
        <v/>
      </c>
      <c r="P359" s="20">
        <f>MAX(0,P358)</f>
        <v/>
      </c>
      <c r="Q359" s="20">
        <f>MAX(0,Q358)</f>
        <v/>
      </c>
      <c r="R359" s="20">
        <f>MAX(0,R358)</f>
        <v/>
      </c>
      <c r="S359" s="20">
        <f>MAX(0,S358)</f>
        <v/>
      </c>
      <c r="T359" s="20">
        <f>MAX(0,T358)</f>
        <v/>
      </c>
      <c r="U359" s="20">
        <f>MAX(0,U358)</f>
        <v/>
      </c>
      <c r="V359" s="20">
        <f>MAX(0,V358)</f>
        <v/>
      </c>
      <c r="W359" s="20">
        <f>MAX(0,W358)</f>
        <v/>
      </c>
      <c r="X359" s="20">
        <f>MAX(0,X358)</f>
        <v/>
      </c>
      <c r="Y359" s="20">
        <f>MAX(0,Y358)</f>
        <v/>
      </c>
      <c r="Z359" s="20">
        <f>MAX(0,Z358)</f>
        <v/>
      </c>
      <c r="AA359" s="20">
        <f>MAX(0,AA358)</f>
        <v/>
      </c>
      <c r="AB359" s="20">
        <f>MAX(0,AB358)</f>
        <v/>
      </c>
      <c r="AC359" s="20">
        <f>MAX(0,AC358)</f>
        <v/>
      </c>
      <c r="AD359" s="20">
        <f>MAX(0,AD358)</f>
        <v/>
      </c>
      <c r="AE359" s="20">
        <f>MAX(0,AE358)</f>
        <v/>
      </c>
      <c r="AF359" s="20">
        <f>MAX(0,AF358)</f>
        <v/>
      </c>
    </row>
    <row r="360">
      <c r="A360" s="3" t="inlineStr">
        <is>
          <t>Posizione dopo il versamento (negativo = credito)</t>
        </is>
      </c>
      <c r="B360" s="4" t="inlineStr">
        <is>
          <t>€</t>
        </is>
      </c>
      <c r="C360" s="20">
        <f>MIN(0,C358)</f>
        <v/>
      </c>
      <c r="D360" s="20">
        <f>MIN(0,D358)</f>
        <v/>
      </c>
      <c r="E360" s="20">
        <f>MIN(0,E358)</f>
        <v/>
      </c>
      <c r="F360" s="20">
        <f>MIN(0,F358)</f>
        <v/>
      </c>
      <c r="G360" s="20">
        <f>MIN(0,G358)</f>
        <v/>
      </c>
      <c r="H360" s="20">
        <f>MIN(0,H358)</f>
        <v/>
      </c>
      <c r="I360" s="20">
        <f>MIN(0,I358)</f>
        <v/>
      </c>
      <c r="J360" s="20">
        <f>MIN(0,J358)</f>
        <v/>
      </c>
      <c r="K360" s="20">
        <f>MIN(0,K358)</f>
        <v/>
      </c>
      <c r="L360" s="20">
        <f>MIN(0,L358)</f>
        <v/>
      </c>
      <c r="M360" s="20">
        <f>MIN(0,M358)</f>
        <v/>
      </c>
      <c r="N360" s="20">
        <f>MIN(0,N358)</f>
        <v/>
      </c>
      <c r="O360" s="20">
        <f>MIN(0,O358)</f>
        <v/>
      </c>
      <c r="P360" s="20">
        <f>MIN(0,P358)</f>
        <v/>
      </c>
      <c r="Q360" s="20">
        <f>MIN(0,Q358)</f>
        <v/>
      </c>
      <c r="R360" s="20">
        <f>MIN(0,R358)</f>
        <v/>
      </c>
      <c r="S360" s="20">
        <f>MIN(0,S358)</f>
        <v/>
      </c>
      <c r="T360" s="20">
        <f>MIN(0,T358)</f>
        <v/>
      </c>
      <c r="U360" s="20">
        <f>MIN(0,U358)</f>
        <v/>
      </c>
      <c r="V360" s="20">
        <f>MIN(0,V358)</f>
        <v/>
      </c>
      <c r="W360" s="20">
        <f>MIN(0,W358)</f>
        <v/>
      </c>
      <c r="X360" s="20">
        <f>MIN(0,X358)</f>
        <v/>
      </c>
      <c r="Y360" s="20">
        <f>MIN(0,Y358)</f>
        <v/>
      </c>
      <c r="Z360" s="20">
        <f>MIN(0,Z358)</f>
        <v/>
      </c>
      <c r="AA360" s="20">
        <f>MIN(0,AA358)</f>
        <v/>
      </c>
      <c r="AB360" s="20">
        <f>MIN(0,AB358)</f>
        <v/>
      </c>
      <c r="AC360" s="20">
        <f>MIN(0,AC358)</f>
        <v/>
      </c>
      <c r="AD360" s="20">
        <f>MIN(0,AD358)</f>
        <v/>
      </c>
      <c r="AE360" s="20">
        <f>MIN(0,AE358)</f>
        <v/>
      </c>
      <c r="AF360" s="20">
        <f>MIN(0,AF358)</f>
        <v/>
      </c>
    </row>
    <row r="361">
      <c r="A361" s="3" t="inlineStr">
        <is>
          <t>IVA versata nel mese</t>
        </is>
      </c>
      <c r="B361" s="4" t="inlineStr">
        <is>
          <t>€</t>
        </is>
      </c>
      <c r="C361" s="20" t="n">
        <v>0</v>
      </c>
      <c r="D361" s="20">
        <f>C359</f>
        <v/>
      </c>
      <c r="E361" s="20">
        <f>D359</f>
        <v/>
      </c>
      <c r="F361" s="20">
        <f>E359</f>
        <v/>
      </c>
      <c r="G361" s="20">
        <f>F359</f>
        <v/>
      </c>
      <c r="H361" s="20">
        <f>G359</f>
        <v/>
      </c>
      <c r="I361" s="20">
        <f>H359</f>
        <v/>
      </c>
      <c r="J361" s="20">
        <f>I359</f>
        <v/>
      </c>
      <c r="K361" s="20">
        <f>J359</f>
        <v/>
      </c>
      <c r="L361" s="20">
        <f>K359</f>
        <v/>
      </c>
      <c r="M361" s="20">
        <f>L359</f>
        <v/>
      </c>
      <c r="N361" s="20">
        <f>M359</f>
        <v/>
      </c>
      <c r="O361" s="20">
        <f>N359</f>
        <v/>
      </c>
      <c r="P361" s="20">
        <f>O359</f>
        <v/>
      </c>
      <c r="Q361" s="20">
        <f>P359</f>
        <v/>
      </c>
      <c r="R361" s="20">
        <f>Q359</f>
        <v/>
      </c>
      <c r="S361" s="20">
        <f>R359</f>
        <v/>
      </c>
      <c r="T361" s="20">
        <f>S359</f>
        <v/>
      </c>
      <c r="U361" s="20">
        <f>T359</f>
        <v/>
      </c>
      <c r="V361" s="20">
        <f>U359</f>
        <v/>
      </c>
      <c r="W361" s="20">
        <f>V359</f>
        <v/>
      </c>
      <c r="X361" s="20">
        <f>W359</f>
        <v/>
      </c>
      <c r="Y361" s="20">
        <f>X359</f>
        <v/>
      </c>
      <c r="Z361" s="20">
        <f>Y359</f>
        <v/>
      </c>
      <c r="AA361" s="20">
        <f>Z359</f>
        <v/>
      </c>
      <c r="AB361" s="20">
        <f>AA359</f>
        <v/>
      </c>
      <c r="AC361" s="20">
        <f>AB359</f>
        <v/>
      </c>
      <c r="AD361" s="20">
        <f>AC359</f>
        <v/>
      </c>
      <c r="AE361" s="20">
        <f>AD359</f>
        <v/>
      </c>
      <c r="AF361" s="20">
        <f>AE359</f>
        <v/>
      </c>
    </row>
    <row r="362">
      <c r="A362" s="3" t="inlineStr">
        <is>
          <t>Credito IVA a fine mese</t>
        </is>
      </c>
      <c r="B362" s="4" t="inlineStr">
        <is>
          <t>€</t>
        </is>
      </c>
      <c r="C362" s="20">
        <f>-C360</f>
        <v/>
      </c>
      <c r="D362" s="20">
        <f>-D360</f>
        <v/>
      </c>
      <c r="E362" s="20">
        <f>-E360</f>
        <v/>
      </c>
      <c r="F362" s="20">
        <f>-F360</f>
        <v/>
      </c>
      <c r="G362" s="20">
        <f>-G360</f>
        <v/>
      </c>
      <c r="H362" s="20">
        <f>-H360</f>
        <v/>
      </c>
      <c r="I362" s="20">
        <f>-I360</f>
        <v/>
      </c>
      <c r="J362" s="20">
        <f>-J360</f>
        <v/>
      </c>
      <c r="K362" s="20">
        <f>-K360</f>
        <v/>
      </c>
      <c r="L362" s="20">
        <f>-L360</f>
        <v/>
      </c>
      <c r="M362" s="20">
        <f>-M360</f>
        <v/>
      </c>
      <c r="N362" s="20">
        <f>-N360</f>
        <v/>
      </c>
      <c r="O362" s="20">
        <f>-O360</f>
        <v/>
      </c>
      <c r="P362" s="20">
        <f>-P360</f>
        <v/>
      </c>
      <c r="Q362" s="20">
        <f>-Q360</f>
        <v/>
      </c>
      <c r="R362" s="20">
        <f>-R360</f>
        <v/>
      </c>
      <c r="S362" s="20">
        <f>-S360</f>
        <v/>
      </c>
      <c r="T362" s="20">
        <f>-T360</f>
        <v/>
      </c>
      <c r="U362" s="20">
        <f>-U360</f>
        <v/>
      </c>
      <c r="V362" s="20">
        <f>-V360</f>
        <v/>
      </c>
      <c r="W362" s="20">
        <f>-W360</f>
        <v/>
      </c>
      <c r="X362" s="20">
        <f>-X360</f>
        <v/>
      </c>
      <c r="Y362" s="20">
        <f>-Y360</f>
        <v/>
      </c>
      <c r="Z362" s="20">
        <f>-Z360</f>
        <v/>
      </c>
      <c r="AA362" s="20">
        <f>-AA360</f>
        <v/>
      </c>
      <c r="AB362" s="20">
        <f>-AB360</f>
        <v/>
      </c>
      <c r="AC362" s="20">
        <f>-AC360</f>
        <v/>
      </c>
      <c r="AD362" s="20">
        <f>-AD360</f>
        <v/>
      </c>
      <c r="AE362" s="20">
        <f>-AE360</f>
        <v/>
      </c>
      <c r="AF362" s="20">
        <f>-AF360</f>
        <v/>
      </c>
    </row>
    <row r="364">
      <c r="A364" s="10" t="inlineStr">
        <is>
          <t>Cassa</t>
        </is>
      </c>
    </row>
    <row r="365">
      <c r="A365" s="3" t="inlineStr">
        <is>
          <t>Capitale versato</t>
        </is>
      </c>
      <c r="B365" s="4" t="inlineStr">
        <is>
          <t>€</t>
        </is>
      </c>
      <c r="C365" s="20">
        <f>IF(C105=1,$C$41,0)+IF(C105=$C$42,$C$43,0)</f>
        <v/>
      </c>
      <c r="D365" s="20">
        <f>IF(D105=1,$C$41,0)+IF(D105=$C$42,$C$43,0)</f>
        <v/>
      </c>
      <c r="E365" s="20">
        <f>IF(E105=1,$C$41,0)+IF(E105=$C$42,$C$43,0)</f>
        <v/>
      </c>
      <c r="F365" s="20">
        <f>IF(F105=1,$C$41,0)+IF(F105=$C$42,$C$43,0)</f>
        <v/>
      </c>
      <c r="G365" s="20">
        <f>IF(G105=1,$C$41,0)+IF(G105=$C$42,$C$43,0)</f>
        <v/>
      </c>
      <c r="H365" s="20">
        <f>IF(H105=1,$C$41,0)+IF(H105=$C$42,$C$43,0)</f>
        <v/>
      </c>
      <c r="I365" s="20">
        <f>IF(I105=1,$C$41,0)+IF(I105=$C$42,$C$43,0)</f>
        <v/>
      </c>
      <c r="J365" s="20">
        <f>IF(J105=1,$C$41,0)+IF(J105=$C$42,$C$43,0)</f>
        <v/>
      </c>
      <c r="K365" s="20">
        <f>IF(K105=1,$C$41,0)+IF(K105=$C$42,$C$43,0)</f>
        <v/>
      </c>
      <c r="L365" s="20">
        <f>IF(L105=1,$C$41,0)+IF(L105=$C$42,$C$43,0)</f>
        <v/>
      </c>
      <c r="M365" s="20">
        <f>IF(M105=1,$C$41,0)+IF(M105=$C$42,$C$43,0)</f>
        <v/>
      </c>
      <c r="N365" s="20">
        <f>IF(N105=1,$C$41,0)+IF(N105=$C$42,$C$43,0)</f>
        <v/>
      </c>
      <c r="O365" s="20">
        <f>IF(O105=1,$C$41,0)+IF(O105=$C$42,$C$43,0)</f>
        <v/>
      </c>
      <c r="P365" s="20">
        <f>IF(P105=1,$C$41,0)+IF(P105=$C$42,$C$43,0)</f>
        <v/>
      </c>
      <c r="Q365" s="20">
        <f>IF(Q105=1,$C$41,0)+IF(Q105=$C$42,$C$43,0)</f>
        <v/>
      </c>
      <c r="R365" s="20">
        <f>IF(R105=1,$C$41,0)+IF(R105=$C$42,$C$43,0)</f>
        <v/>
      </c>
      <c r="S365" s="20">
        <f>IF(S105=1,$C$41,0)+IF(S105=$C$42,$C$43,0)</f>
        <v/>
      </c>
      <c r="T365" s="20">
        <f>IF(T105=1,$C$41,0)+IF(T105=$C$42,$C$43,0)</f>
        <v/>
      </c>
      <c r="U365" s="20">
        <f>IF(U105=1,$C$41,0)+IF(U105=$C$42,$C$43,0)</f>
        <v/>
      </c>
      <c r="V365" s="20">
        <f>IF(V105=1,$C$41,0)+IF(V105=$C$42,$C$43,0)</f>
        <v/>
      </c>
      <c r="W365" s="20">
        <f>IF(W105=1,$C$41,0)+IF(W105=$C$42,$C$43,0)</f>
        <v/>
      </c>
      <c r="X365" s="20">
        <f>IF(X105=1,$C$41,0)+IF(X105=$C$42,$C$43,0)</f>
        <v/>
      </c>
      <c r="Y365" s="20">
        <f>IF(Y105=1,$C$41,0)+IF(Y105=$C$42,$C$43,0)</f>
        <v/>
      </c>
      <c r="Z365" s="20">
        <f>IF(Z105=1,$C$41,0)+IF(Z105=$C$42,$C$43,0)</f>
        <v/>
      </c>
      <c r="AA365" s="20">
        <f>IF(AA105=1,$C$41,0)+IF(AA105=$C$42,$C$43,0)</f>
        <v/>
      </c>
      <c r="AB365" s="20">
        <f>IF(AB105=1,$C$41,0)+IF(AB105=$C$42,$C$43,0)</f>
        <v/>
      </c>
      <c r="AC365" s="20">
        <f>IF(AC105=1,$C$41,0)+IF(AC105=$C$42,$C$43,0)</f>
        <v/>
      </c>
      <c r="AD365" s="20">
        <f>IF(AD105=1,$C$41,0)+IF(AD105=$C$42,$C$43,0)</f>
        <v/>
      </c>
      <c r="AE365" s="20">
        <f>IF(AE105=1,$C$41,0)+IF(AE105=$C$42,$C$43,0)</f>
        <v/>
      </c>
      <c r="AF365" s="20">
        <f>IF(AF105=1,$C$41,0)+IF(AF105=$C$42,$C$43,0)</f>
        <v/>
      </c>
    </row>
    <row r="366">
      <c r="A366" s="3" t="inlineStr">
        <is>
          <t>Entrate: capitale e incassi</t>
        </is>
      </c>
      <c r="B366" s="4" t="inlineStr">
        <is>
          <t>€</t>
        </is>
      </c>
      <c r="C366" s="20">
        <f>C365+C284</f>
        <v/>
      </c>
      <c r="D366" s="20">
        <f>D365+D284</f>
        <v/>
      </c>
      <c r="E366" s="20">
        <f>E365+E284</f>
        <v/>
      </c>
      <c r="F366" s="20">
        <f>F365+F284</f>
        <v/>
      </c>
      <c r="G366" s="20">
        <f>G365+G284</f>
        <v/>
      </c>
      <c r="H366" s="20">
        <f>H365+H284</f>
        <v/>
      </c>
      <c r="I366" s="20">
        <f>I365+I284</f>
        <v/>
      </c>
      <c r="J366" s="20">
        <f>J365+J284</f>
        <v/>
      </c>
      <c r="K366" s="20">
        <f>K365+K284</f>
        <v/>
      </c>
      <c r="L366" s="20">
        <f>L365+L284</f>
        <v/>
      </c>
      <c r="M366" s="20">
        <f>M365+M284</f>
        <v/>
      </c>
      <c r="N366" s="20">
        <f>N365+N284</f>
        <v/>
      </c>
      <c r="O366" s="20">
        <f>O365+O284</f>
        <v/>
      </c>
      <c r="P366" s="20">
        <f>P365+P284</f>
        <v/>
      </c>
      <c r="Q366" s="20">
        <f>Q365+Q284</f>
        <v/>
      </c>
      <c r="R366" s="20">
        <f>R365+R284</f>
        <v/>
      </c>
      <c r="S366" s="20">
        <f>S365+S284</f>
        <v/>
      </c>
      <c r="T366" s="20">
        <f>T365+T284</f>
        <v/>
      </c>
      <c r="U366" s="20">
        <f>U365+U284</f>
        <v/>
      </c>
      <c r="V366" s="20">
        <f>V365+V284</f>
        <v/>
      </c>
      <c r="W366" s="20">
        <f>W365+W284</f>
        <v/>
      </c>
      <c r="X366" s="20">
        <f>X365+X284</f>
        <v/>
      </c>
      <c r="Y366" s="20">
        <f>Y365+Y284</f>
        <v/>
      </c>
      <c r="Z366" s="20">
        <f>Z365+Z284</f>
        <v/>
      </c>
      <c r="AA366" s="20">
        <f>AA365+AA284</f>
        <v/>
      </c>
      <c r="AB366" s="20">
        <f>AB365+AB284</f>
        <v/>
      </c>
      <c r="AC366" s="20">
        <f>AC365+AC284</f>
        <v/>
      </c>
      <c r="AD366" s="20">
        <f>AD365+AD284</f>
        <v/>
      </c>
      <c r="AE366" s="20">
        <f>AE365+AE284</f>
        <v/>
      </c>
      <c r="AF366" s="20">
        <f>AF365+AF284</f>
        <v/>
      </c>
    </row>
    <row r="367">
      <c r="A367" s="3" t="inlineStr">
        <is>
          <t>Uscite totali</t>
        </is>
      </c>
      <c r="B367" s="4" t="inlineStr">
        <is>
          <t>€</t>
        </is>
      </c>
      <c r="C367" s="20">
        <f>C287+C289*(1+$C$44)+C290+C291+C107+C116+C354+C355+C349+C350+C346*(1+$C$44)+C361</f>
        <v/>
      </c>
      <c r="D367" s="20">
        <f>D287+D289*(1+$C$44)+D290+D291+D107+D116+D354+D355+D349+D350+D346*(1+$C$44)+D361</f>
        <v/>
      </c>
      <c r="E367" s="20">
        <f>E287+E289*(1+$C$44)+E290+E291+E107+E116+E354+E355+E349+E350+E346*(1+$C$44)+E361</f>
        <v/>
      </c>
      <c r="F367" s="20">
        <f>F287+F289*(1+$C$44)+F290+F291+F107+F116+F354+F355+F349+F350+F346*(1+$C$44)+F361</f>
        <v/>
      </c>
      <c r="G367" s="20">
        <f>G287+G289*(1+$C$44)+G290+G291+G107+G116+G354+G355+G349+G350+G346*(1+$C$44)+G361</f>
        <v/>
      </c>
      <c r="H367" s="20">
        <f>H287+H289*(1+$C$44)+H290+H291+H107+H116+H354+H355+H349+H350+H346*(1+$C$44)+H361</f>
        <v/>
      </c>
      <c r="I367" s="20">
        <f>I287+I289*(1+$C$44)+I290+I291+I107+I116+I354+I355+I349+I350+I346*(1+$C$44)+I361</f>
        <v/>
      </c>
      <c r="J367" s="20">
        <f>J287+J289*(1+$C$44)+J290+J291+J107+J116+J354+J355+J349+J350+J346*(1+$C$44)+J361</f>
        <v/>
      </c>
      <c r="K367" s="20">
        <f>K287+K289*(1+$C$44)+K290+K291+K107+K116+K354+K355+K349+K350+K346*(1+$C$44)+K361</f>
        <v/>
      </c>
      <c r="L367" s="20">
        <f>L287+L289*(1+$C$44)+L290+L291+L107+L116+L354+L355+L349+L350+L346*(1+$C$44)+L361</f>
        <v/>
      </c>
      <c r="M367" s="20">
        <f>M287+M289*(1+$C$44)+M290+M291+M107+M116+M354+M355+M349+M350+M346*(1+$C$44)+M361</f>
        <v/>
      </c>
      <c r="N367" s="20">
        <f>N287+N289*(1+$C$44)+N290+N291+N107+N116+N354+N355+N349+N350+N346*(1+$C$44)+N361</f>
        <v/>
      </c>
      <c r="O367" s="20">
        <f>O287+O289*(1+$C$44)+O290+O291+O107+O116+O354+O355+O349+O350+O346*(1+$C$44)+O361</f>
        <v/>
      </c>
      <c r="P367" s="20">
        <f>P287+P289*(1+$C$44)+P290+P291+P107+P116+P354+P355+P349+P350+P346*(1+$C$44)+P361</f>
        <v/>
      </c>
      <c r="Q367" s="20">
        <f>Q287+Q289*(1+$C$44)+Q290+Q291+Q107+Q116+Q354+Q355+Q349+Q350+Q346*(1+$C$44)+Q361</f>
        <v/>
      </c>
      <c r="R367" s="20">
        <f>R287+R289*(1+$C$44)+R290+R291+R107+R116+R354+R355+R349+R350+R346*(1+$C$44)+R361</f>
        <v/>
      </c>
      <c r="S367" s="20">
        <f>S287+S289*(1+$C$44)+S290+S291+S107+S116+S354+S355+S349+S350+S346*(1+$C$44)+S361</f>
        <v/>
      </c>
      <c r="T367" s="20">
        <f>T287+T289*(1+$C$44)+T290+T291+T107+T116+T354+T355+T349+T350+T346*(1+$C$44)+T361</f>
        <v/>
      </c>
      <c r="U367" s="20">
        <f>U287+U289*(1+$C$44)+U290+U291+U107+U116+U354+U355+U349+U350+U346*(1+$C$44)+U361</f>
        <v/>
      </c>
      <c r="V367" s="20">
        <f>V287+V289*(1+$C$44)+V290+V291+V107+V116+V354+V355+V349+V350+V346*(1+$C$44)+V361</f>
        <v/>
      </c>
      <c r="W367" s="20">
        <f>W287+W289*(1+$C$44)+W290+W291+W107+W116+W354+W355+W349+W350+W346*(1+$C$44)+W361</f>
        <v/>
      </c>
      <c r="X367" s="20">
        <f>X287+X289*(1+$C$44)+X290+X291+X107+X116+X354+X355+X349+X350+X346*(1+$C$44)+X361</f>
        <v/>
      </c>
      <c r="Y367" s="20">
        <f>Y287+Y289*(1+$C$44)+Y290+Y291+Y107+Y116+Y354+Y355+Y349+Y350+Y346*(1+$C$44)+Y361</f>
        <v/>
      </c>
      <c r="Z367" s="20">
        <f>Z287+Z289*(1+$C$44)+Z290+Z291+Z107+Z116+Z354+Z355+Z349+Z350+Z346*(1+$C$44)+Z361</f>
        <v/>
      </c>
      <c r="AA367" s="20">
        <f>AA287+AA289*(1+$C$44)+AA290+AA291+AA107+AA116+AA354+AA355+AA349+AA350+AA346*(1+$C$44)+AA361</f>
        <v/>
      </c>
      <c r="AB367" s="20">
        <f>AB287+AB289*(1+$C$44)+AB290+AB291+AB107+AB116+AB354+AB355+AB349+AB350+AB346*(1+$C$44)+AB361</f>
        <v/>
      </c>
      <c r="AC367" s="20">
        <f>AC287+AC289*(1+$C$44)+AC290+AC291+AC107+AC116+AC354+AC355+AC349+AC350+AC346*(1+$C$44)+AC361</f>
        <v/>
      </c>
      <c r="AD367" s="20">
        <f>AD287+AD289*(1+$C$44)+AD290+AD291+AD107+AD116+AD354+AD355+AD349+AD350+AD346*(1+$C$44)+AD361</f>
        <v/>
      </c>
      <c r="AE367" s="20">
        <f>AE287+AE289*(1+$C$44)+AE290+AE291+AE107+AE116+AE354+AE355+AE349+AE350+AE346*(1+$C$44)+AE361</f>
        <v/>
      </c>
      <c r="AF367" s="20">
        <f>AF287+AF289*(1+$C$44)+AF290+AF291+AF107+AF116+AF354+AF355+AF349+AF350+AF346*(1+$C$44)+AF361</f>
        <v/>
      </c>
    </row>
    <row r="368">
      <c r="A368" s="3" t="inlineStr">
        <is>
          <t>Cassa a fine mese</t>
        </is>
      </c>
      <c r="B368" s="4" t="inlineStr">
        <is>
          <t>€</t>
        </is>
      </c>
      <c r="C368" s="26">
        <f>C366-C367</f>
        <v/>
      </c>
      <c r="D368" s="26">
        <f>C368+D366-D367</f>
        <v/>
      </c>
      <c r="E368" s="26">
        <f>D368+E366-E367</f>
        <v/>
      </c>
      <c r="F368" s="26">
        <f>E368+F366-F367</f>
        <v/>
      </c>
      <c r="G368" s="26">
        <f>F368+G366-G367</f>
        <v/>
      </c>
      <c r="H368" s="26">
        <f>G368+H366-H367</f>
        <v/>
      </c>
      <c r="I368" s="26">
        <f>H368+I366-I367</f>
        <v/>
      </c>
      <c r="J368" s="26">
        <f>I368+J366-J367</f>
        <v/>
      </c>
      <c r="K368" s="26">
        <f>J368+K366-K367</f>
        <v/>
      </c>
      <c r="L368" s="26">
        <f>K368+L366-L367</f>
        <v/>
      </c>
      <c r="M368" s="26">
        <f>L368+M366-M367</f>
        <v/>
      </c>
      <c r="N368" s="26">
        <f>M368+N366-N367</f>
        <v/>
      </c>
      <c r="O368" s="26">
        <f>N368+O366-O367</f>
        <v/>
      </c>
      <c r="P368" s="26">
        <f>O368+P366-P367</f>
        <v/>
      </c>
      <c r="Q368" s="26">
        <f>P368+Q366-Q367</f>
        <v/>
      </c>
      <c r="R368" s="26">
        <f>Q368+R366-R367</f>
        <v/>
      </c>
      <c r="S368" s="26">
        <f>R368+S366-S367</f>
        <v/>
      </c>
      <c r="T368" s="26">
        <f>S368+T366-T367</f>
        <v/>
      </c>
      <c r="U368" s="26">
        <f>T368+U366-U367</f>
        <v/>
      </c>
      <c r="V368" s="26">
        <f>U368+V366-V367</f>
        <v/>
      </c>
      <c r="W368" s="26">
        <f>V368+W366-W367</f>
        <v/>
      </c>
      <c r="X368" s="26">
        <f>W368+X366-X367</f>
        <v/>
      </c>
      <c r="Y368" s="26">
        <f>X368+Y366-Y367</f>
        <v/>
      </c>
      <c r="Z368" s="26">
        <f>Y368+Z366-Z367</f>
        <v/>
      </c>
      <c r="AA368" s="26">
        <f>Z368+AA366-AA367</f>
        <v/>
      </c>
      <c r="AB368" s="26">
        <f>AA368+AB366-AB367</f>
        <v/>
      </c>
      <c r="AC368" s="26">
        <f>AB368+AC366-AC367</f>
        <v/>
      </c>
      <c r="AD368" s="26">
        <f>AC368+AD366-AD367</f>
        <v/>
      </c>
      <c r="AE368" s="26">
        <f>AD368+AE366-AE367</f>
        <v/>
      </c>
      <c r="AF368" s="26">
        <f>AE368+AF366-AF367</f>
        <v/>
      </c>
    </row>
    <row r="369">
      <c r="A369" s="3" t="inlineStr">
        <is>
          <t>Garanzia: rimborsi attesi non ancora pagati (lordi)</t>
        </is>
      </c>
      <c r="B369" s="4" t="inlineStr">
        <is>
          <t>€</t>
        </is>
      </c>
      <c r="C369" s="20">
        <f>SUM($C$112:C112)*$C$12*$C$13*$H$76-SUM($C$287:C287)</f>
        <v/>
      </c>
      <c r="D369" s="20">
        <f>SUM($C$112:D112)*$C$12*$C$13*$H$76-SUM($C$287:D287)</f>
        <v/>
      </c>
      <c r="E369" s="20">
        <f>SUM($C$112:E112)*$C$12*$C$13*$H$76-SUM($C$287:E287)</f>
        <v/>
      </c>
      <c r="F369" s="20">
        <f>SUM($C$112:F112)*$C$12*$C$13*$H$76-SUM($C$287:F287)</f>
        <v/>
      </c>
      <c r="G369" s="20">
        <f>SUM($C$112:G112)*$C$12*$C$13*$H$76-SUM($C$287:G287)</f>
        <v/>
      </c>
      <c r="H369" s="20">
        <f>SUM($C$112:H112)*$C$12*$C$13*$H$76-SUM($C$287:H287)</f>
        <v/>
      </c>
      <c r="I369" s="20">
        <f>SUM($C$112:I112)*$C$12*$C$13*$H$76-SUM($C$287:I287)</f>
        <v/>
      </c>
      <c r="J369" s="20">
        <f>SUM($C$112:J112)*$C$12*$C$13*$H$76-SUM($C$287:J287)</f>
        <v/>
      </c>
      <c r="K369" s="20">
        <f>SUM($C$112:K112)*$C$12*$C$13*$H$76-SUM($C$287:K287)</f>
        <v/>
      </c>
      <c r="L369" s="20">
        <f>SUM($C$112:L112)*$C$12*$C$13*$H$76-SUM($C$287:L287)</f>
        <v/>
      </c>
      <c r="M369" s="20">
        <f>SUM($C$112:M112)*$C$12*$C$13*$H$76-SUM($C$287:M287)</f>
        <v/>
      </c>
      <c r="N369" s="20">
        <f>SUM($C$112:N112)*$C$12*$C$13*$H$76-SUM($C$287:N287)</f>
        <v/>
      </c>
      <c r="O369" s="20">
        <f>SUM($C$112:O112)*$C$12*$C$13*$H$76-SUM($C$287:O287)</f>
        <v/>
      </c>
      <c r="P369" s="20">
        <f>SUM($C$112:P112)*$C$12*$C$13*$H$76-SUM($C$287:P287)</f>
        <v/>
      </c>
      <c r="Q369" s="20">
        <f>SUM($C$112:Q112)*$C$12*$C$13*$H$76-SUM($C$287:Q287)</f>
        <v/>
      </c>
      <c r="R369" s="20">
        <f>SUM($C$112:R112)*$C$12*$C$13*$H$76-SUM($C$287:R287)</f>
        <v/>
      </c>
      <c r="S369" s="20">
        <f>SUM($C$112:S112)*$C$12*$C$13*$H$76-SUM($C$287:S287)</f>
        <v/>
      </c>
      <c r="T369" s="20">
        <f>SUM($C$112:T112)*$C$12*$C$13*$H$76-SUM($C$287:T287)</f>
        <v/>
      </c>
      <c r="U369" s="20">
        <f>SUM($C$112:U112)*$C$12*$C$13*$H$76-SUM($C$287:U287)</f>
        <v/>
      </c>
      <c r="V369" s="20">
        <f>SUM($C$112:V112)*$C$12*$C$13*$H$76-SUM($C$287:V287)</f>
        <v/>
      </c>
      <c r="W369" s="20">
        <f>SUM($C$112:W112)*$C$12*$C$13*$H$76-SUM($C$287:W287)</f>
        <v/>
      </c>
      <c r="X369" s="20">
        <f>SUM($C$112:X112)*$C$12*$C$13*$H$76-SUM($C$287:X287)</f>
        <v/>
      </c>
      <c r="Y369" s="20">
        <f>SUM($C$112:Y112)*$C$12*$C$13*$H$76-SUM($C$287:Y287)</f>
        <v/>
      </c>
      <c r="Z369" s="20">
        <f>SUM($C$112:Z112)*$C$12*$C$13*$H$76-SUM($C$287:Z287)</f>
        <v/>
      </c>
      <c r="AA369" s="20">
        <f>SUM($C$112:AA112)*$C$12*$C$13*$H$76-SUM($C$287:AA287)</f>
        <v/>
      </c>
      <c r="AB369" s="20">
        <f>SUM($C$112:AB112)*$C$12*$C$13*$H$76-SUM($C$287:AB287)</f>
        <v/>
      </c>
      <c r="AC369" s="20">
        <f>SUM($C$112:AC112)*$C$12*$C$13*$H$76-SUM($C$287:AC287)</f>
        <v/>
      </c>
      <c r="AD369" s="20">
        <f>SUM($C$112:AD112)*$C$12*$C$13*$H$76-SUM($C$287:AD287)</f>
        <v/>
      </c>
      <c r="AE369" s="20">
        <f>SUM($C$112:AE112)*$C$12*$C$13*$H$76-SUM($C$287:AE287)</f>
        <v/>
      </c>
      <c r="AF369" s="20">
        <f>SUM($C$112:AF112)*$C$12*$C$13*$H$76-SUM($C$287:AF287)</f>
        <v/>
      </c>
    </row>
    <row r="370">
      <c r="A370" s="3" t="inlineStr">
        <is>
          <t>Risultato operativo del mese (competenza semplificata)</t>
        </is>
      </c>
      <c r="B370" s="4" t="inlineStr">
        <is>
          <t>€</t>
        </is>
      </c>
      <c r="C370" s="20">
        <f>C285-C292-C289-C290-C291-(C287-C288)-C107-C116-C349</f>
        <v/>
      </c>
      <c r="D370" s="20">
        <f>D285-D292-D289-D290-D291-(D287-D288)-D107-D116-D349</f>
        <v/>
      </c>
      <c r="E370" s="20">
        <f>E285-E292-E289-E290-E291-(E287-E288)-E107-E116-E349</f>
        <v/>
      </c>
      <c r="F370" s="20">
        <f>F285-F292-F289-F290-F291-(F287-F288)-F107-F116-F349</f>
        <v/>
      </c>
      <c r="G370" s="20">
        <f>G285-G292-G289-G290-G291-(G287-G288)-G107-G116-G349</f>
        <v/>
      </c>
      <c r="H370" s="20">
        <f>H285-H292-H289-H290-H291-(H287-H288)-H107-H116-H349</f>
        <v/>
      </c>
      <c r="I370" s="20">
        <f>I285-I292-I289-I290-I291-(I287-I288)-I107-I116-I349</f>
        <v/>
      </c>
      <c r="J370" s="20">
        <f>J285-J292-J289-J290-J291-(J287-J288)-J107-J116-J349</f>
        <v/>
      </c>
      <c r="K370" s="20">
        <f>K285-K292-K289-K290-K291-(K287-K288)-K107-K116-K349</f>
        <v/>
      </c>
      <c r="L370" s="20">
        <f>L285-L292-L289-L290-L291-(L287-L288)-L107-L116-L349</f>
        <v/>
      </c>
      <c r="M370" s="20">
        <f>M285-M292-M289-M290-M291-(M287-M288)-M107-M116-M349</f>
        <v/>
      </c>
      <c r="N370" s="20">
        <f>N285-N292-N289-N290-N291-(N287-N288)-N107-N116-N349</f>
        <v/>
      </c>
      <c r="O370" s="20">
        <f>O285-O292-O289-O290-O291-(O287-O288)-O107-O116-O349</f>
        <v/>
      </c>
      <c r="P370" s="20">
        <f>P285-P292-P289-P290-P291-(P287-P288)-P107-P116-P349</f>
        <v/>
      </c>
      <c r="Q370" s="20">
        <f>Q285-Q292-Q289-Q290-Q291-(Q287-Q288)-Q107-Q116-Q349</f>
        <v/>
      </c>
      <c r="R370" s="20">
        <f>R285-R292-R289-R290-R291-(R287-R288)-R107-R116-R349</f>
        <v/>
      </c>
      <c r="S370" s="20">
        <f>S285-S292-S289-S290-S291-(S287-S288)-S107-S116-S349</f>
        <v/>
      </c>
      <c r="T370" s="20">
        <f>T285-T292-T289-T290-T291-(T287-T288)-T107-T116-T349</f>
        <v/>
      </c>
      <c r="U370" s="20">
        <f>U285-U292-U289-U290-U291-(U287-U288)-U107-U116-U349</f>
        <v/>
      </c>
      <c r="V370" s="20">
        <f>V285-V292-V289-V290-V291-(V287-V288)-V107-V116-V349</f>
        <v/>
      </c>
      <c r="W370" s="20">
        <f>W285-W292-W289-W290-W291-(W287-W288)-W107-W116-W349</f>
        <v/>
      </c>
      <c r="X370" s="20">
        <f>X285-X292-X289-X290-X291-(X287-X288)-X107-X116-X349</f>
        <v/>
      </c>
      <c r="Y370" s="20">
        <f>Y285-Y292-Y289-Y290-Y291-(Y287-Y288)-Y107-Y116-Y349</f>
        <v/>
      </c>
      <c r="Z370" s="20">
        <f>Z285-Z292-Z289-Z290-Z291-(Z287-Z288)-Z107-Z116-Z349</f>
        <v/>
      </c>
      <c r="AA370" s="20">
        <f>AA285-AA292-AA289-AA290-AA291-(AA287-AA288)-AA107-AA116-AA349</f>
        <v/>
      </c>
      <c r="AB370" s="20">
        <f>AB285-AB292-AB289-AB290-AB291-(AB287-AB288)-AB107-AB116-AB349</f>
        <v/>
      </c>
      <c r="AC370" s="20">
        <f>AC285-AC292-AC289-AC290-AC291-(AC287-AC288)-AC107-AC116-AC349</f>
        <v/>
      </c>
      <c r="AD370" s="20">
        <f>AD285-AD292-AD289-AD290-AD291-(AD287-AD288)-AD107-AD116-AD349</f>
        <v/>
      </c>
      <c r="AE370" s="20">
        <f>AE285-AE292-AE289-AE290-AE291-(AE287-AE288)-AE107-AE116-AE349</f>
        <v/>
      </c>
      <c r="AF370" s="20">
        <f>AF285-AF292-AF289-AF290-AF291-(AF287-AF288)-AF107-AF116-AF349</f>
        <v/>
      </c>
    </row>
    <row r="372">
      <c r="A372" s="10" t="inlineStr">
        <is>
          <t>Sintesi dello scenario</t>
        </is>
      </c>
    </row>
    <row r="373">
      <c r="A373" s="3" t="inlineStr">
        <is>
          <t>Cassa minima</t>
        </is>
      </c>
      <c r="C373" s="27">
        <f>MIN($C$368:$AF$368)</f>
        <v/>
      </c>
    </row>
    <row r="374">
      <c r="A374" s="3" t="inlineStr">
        <is>
          <t>Mese della cassa minima</t>
        </is>
      </c>
      <c r="C374" s="28">
        <f>INDEX($C$105:$AF$105,1,MATCH(MIN($C$368:$AF$368),$C$368:$AF$368,0))</f>
        <v/>
      </c>
    </row>
    <row r="375">
      <c r="A375" s="3" t="inlineStr">
        <is>
          <t>Capitale assorbito fino al minimo (versato meno cassa minima)</t>
        </is>
      </c>
      <c r="C375" s="27">
        <f>SUM($C$365:$AF$365)-MIN($C$368:$AF$368)</f>
        <v/>
      </c>
    </row>
    <row r="376">
      <c r="A376" s="3" t="inlineStr">
        <is>
          <t>Cassa al mese 24</t>
        </is>
      </c>
      <c r="C376" s="27">
        <f>$Z$368</f>
        <v/>
      </c>
    </row>
    <row r="377">
      <c r="A377" s="3" t="inlineStr">
        <is>
          <t>Cassa al mese 30</t>
        </is>
      </c>
      <c r="C377" s="27">
        <f>$AF$368</f>
        <v/>
      </c>
    </row>
    <row r="378">
      <c r="A378" s="3" t="inlineStr">
        <is>
          <t>Nuovi clienti fino al mese 30</t>
        </is>
      </c>
      <c r="C378" s="29">
        <f>SUM($C$111:$AF$111)</f>
        <v/>
      </c>
    </row>
    <row r="379">
      <c r="A379" s="3" t="inlineStr">
        <is>
          <t>di cui da pubblicità</t>
        </is>
      </c>
      <c r="C379" s="29">
        <f>SUM($C$109:$AF$109)</f>
        <v/>
      </c>
    </row>
    <row r="380">
      <c r="A380" s="3" t="inlineStr">
        <is>
          <t>Pubblicità fino al mese 30</t>
        </is>
      </c>
      <c r="C380" s="27">
        <f>SUM($C$107:$AF$107)</f>
        <v/>
      </c>
    </row>
    <row r="381">
      <c r="A381" s="3" t="inlineStr">
        <is>
          <t>Ricavi netti fino al mese 30</t>
        </is>
      </c>
      <c r="C381" s="27">
        <f>SUM($C$285:$AF$285)</f>
        <v/>
      </c>
    </row>
    <row r="382">
      <c r="A382" s="3" t="inlineStr">
        <is>
          <t>Rimborsi di garanzia pagati fino al mese 30</t>
        </is>
      </c>
      <c r="C382" s="27">
        <f>SUM($C$287:$AF$287)</f>
        <v/>
      </c>
    </row>
    <row r="383">
      <c r="A383" s="3" t="inlineStr">
        <is>
          <t>Lotti ordinati</t>
        </is>
      </c>
      <c r="C383" s="28">
        <f>SUM($C$345:$AF$345)/$C$61</f>
        <v/>
      </c>
    </row>
    <row r="384">
      <c r="A384" s="3" t="inlineStr">
        <is>
          <t>Credito IVA massimo</t>
        </is>
      </c>
      <c r="C384" s="27">
        <f>MAX($C$362:$AF$362)</f>
        <v/>
      </c>
    </row>
    <row r="385">
      <c r="A385" s="3" t="inlineStr">
        <is>
          <t>Esposizione di garanzia massima</t>
        </is>
      </c>
      <c r="C385" s="27">
        <f>MAX($C$369:$AF$369)</f>
        <v/>
      </c>
    </row>
    <row r="386">
      <c r="A386" s="3" t="inlineStr">
        <is>
          <t>Valore del cliente medio a 6 mesi</t>
        </is>
      </c>
      <c r="C386" s="30">
        <f>$H$102</f>
        <v/>
      </c>
    </row>
    <row r="387">
      <c r="A387" s="3" t="inlineStr">
        <is>
          <t>Valore del cliente medio a 12 mesi</t>
        </is>
      </c>
      <c r="C387" s="30">
        <f>$N$102</f>
        <v/>
      </c>
    </row>
    <row r="388">
      <c r="A388" s="3" t="inlineStr">
        <is>
          <t>Valore del cliente medio a 24 mesi</t>
        </is>
      </c>
      <c r="C388" s="30">
        <f>$Z$102</f>
        <v/>
      </c>
    </row>
    <row r="389">
      <c r="A389" s="3" t="inlineStr">
        <is>
          <t>CAC massimo con la regola 2:1 sul valore a 24 mesi</t>
        </is>
      </c>
      <c r="C389" s="30">
        <f>$Z$102/2</f>
        <v/>
      </c>
    </row>
    <row r="390">
      <c r="A390" s="3" t="inlineStr">
        <is>
          <t>Contribuzione media del primo ordine</t>
        </is>
      </c>
      <c r="C390" s="30">
        <f>$C$102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Scenario 5: Tutto insieme</t>
        </is>
      </c>
    </row>
    <row r="2">
      <c r="A2" s="4" t="inlineStr">
        <is>
          <t>Indice dello scenario (colonna di Parametri)</t>
        </is>
      </c>
      <c r="C2" s="2" t="n">
        <v>5</v>
      </c>
    </row>
    <row r="5">
      <c r="A5" s="10" t="inlineStr">
        <is>
          <t>Parametri dello scenario (da Parametri)</t>
        </is>
      </c>
    </row>
    <row r="6">
      <c r="A6" s="3" t="inlineStr">
        <is>
          <t>Mese del lancio</t>
        </is>
      </c>
      <c r="B6" s="4" t="inlineStr">
        <is>
          <t>mese</t>
        </is>
      </c>
      <c r="C6" s="21">
        <f>INDEX(Parametri!$D$5:$H$5,1,$C$2)</f>
        <v/>
      </c>
    </row>
    <row r="7">
      <c r="A7" s="3" t="inlineStr">
        <is>
          <t>Costo industriale per flacone</t>
        </is>
      </c>
      <c r="B7" s="4" t="inlineStr">
        <is>
          <t>€</t>
        </is>
      </c>
      <c r="C7" s="9">
        <f>INDEX(Parametri!$D$6:$H$6,1,$C$2)</f>
        <v/>
      </c>
    </row>
    <row r="8">
      <c r="A8" s="3" t="inlineStr">
        <is>
          <t>Quota nuovi clienti: percorso da 6</t>
        </is>
      </c>
      <c r="B8" s="4" t="inlineStr">
        <is>
          <t>%</t>
        </is>
      </c>
      <c r="C8" s="22">
        <f>INDEX(Parametri!$D$7:$H$7,1,$C$2)</f>
        <v/>
      </c>
    </row>
    <row r="9">
      <c r="A9" s="3" t="inlineStr">
        <is>
          <t>Quota nuovi clienti: percorso da 3</t>
        </is>
      </c>
      <c r="B9" s="4" t="inlineStr">
        <is>
          <t>%</t>
        </is>
      </c>
      <c r="C9" s="22">
        <f>INDEX(Parametri!$D$8:$H$8,1,$C$2)</f>
        <v/>
      </c>
    </row>
    <row r="10">
      <c r="A10" s="3" t="inlineStr">
        <is>
          <t>Quota nuovi clienti: abbonamento</t>
        </is>
      </c>
      <c r="B10" s="4" t="inlineStr">
        <is>
          <t>%</t>
        </is>
      </c>
      <c r="C10" s="22">
        <f>INDEX(Parametri!$D$9:$H$9,1,$C$2)</f>
        <v/>
      </c>
    </row>
    <row r="11">
      <c r="A11" s="3" t="inlineStr">
        <is>
          <t>Quota nuovi clienti: flacone singolo</t>
        </is>
      </c>
      <c r="B11" s="4" t="inlineStr">
        <is>
          <t>%</t>
        </is>
      </c>
      <c r="C11" s="22">
        <f>INDEX(Parametri!$D$10:$H$10,1,$C$2)</f>
        <v/>
      </c>
    </row>
    <row r="12">
      <c r="A12" s="3" t="inlineStr">
        <is>
          <t>Percorso da 6: quota che lo completa</t>
        </is>
      </c>
      <c r="B12" s="4" t="inlineStr">
        <is>
          <t>%</t>
        </is>
      </c>
      <c r="C12" s="22">
        <f>INDEX(Parametri!$D$11:$H$11,1,$C$2)</f>
        <v/>
      </c>
    </row>
    <row r="13">
      <c r="A13" s="3" t="inlineStr">
        <is>
          <t>Percorso da 6: chi completa e chiede il rimborso</t>
        </is>
      </c>
      <c r="B13" s="4" t="inlineStr">
        <is>
          <t>%</t>
        </is>
      </c>
      <c r="C13" s="22">
        <f>INDEX(Parametri!$D$12:$H$12,1,$C$2)</f>
        <v/>
      </c>
    </row>
    <row r="14">
      <c r="A14" s="3" t="inlineStr">
        <is>
          <t>Percorso da 6: riacquisto di chi completa senza rimborso</t>
        </is>
      </c>
      <c r="B14" s="4" t="inlineStr">
        <is>
          <t>%</t>
        </is>
      </c>
      <c r="C14" s="22">
        <f>INDEX(Parametri!$D$13:$H$13,1,$C$2)</f>
        <v/>
      </c>
    </row>
    <row r="15">
      <c r="A15" s="3" t="inlineStr">
        <is>
          <t>Percorso da 6: riacquisti successivi</t>
        </is>
      </c>
      <c r="B15" s="4" t="inlineStr">
        <is>
          <t>%</t>
        </is>
      </c>
      <c r="C15" s="22">
        <f>INDEX(Parametri!$D$14:$H$14,1,$C$2)</f>
        <v/>
      </c>
    </row>
    <row r="16">
      <c r="A16" s="3" t="inlineStr">
        <is>
          <t>Percorso da 3: riacquisto a 3 mesi</t>
        </is>
      </c>
      <c r="B16" s="4" t="inlineStr">
        <is>
          <t>%</t>
        </is>
      </c>
      <c r="C16" s="22">
        <f>INDEX(Parametri!$D$15:$H$15,1,$C$2)</f>
        <v/>
      </c>
    </row>
    <row r="17">
      <c r="A17" s="3" t="inlineStr">
        <is>
          <t>Percorso da 3: riacquisti successivi</t>
        </is>
      </c>
      <c r="B17" s="4" t="inlineStr">
        <is>
          <t>%</t>
        </is>
      </c>
      <c r="C17" s="22">
        <f>INDEX(Parametri!$D$16:$H$16,1,$C$2)</f>
        <v/>
      </c>
    </row>
    <row r="18">
      <c r="A18" s="3" t="inlineStr">
        <is>
          <t>Abbonamento: rinnovo dopo il 1° invio</t>
        </is>
      </c>
      <c r="B18" s="4" t="inlineStr">
        <is>
          <t>%</t>
        </is>
      </c>
      <c r="C18" s="22">
        <f>INDEX(Parametri!$D$17:$H$17,1,$C$2)</f>
        <v/>
      </c>
    </row>
    <row r="19">
      <c r="A19" s="3" t="inlineStr">
        <is>
          <t>Abbonamento: rinnovo dopo il 2° invio</t>
        </is>
      </c>
      <c r="B19" s="4" t="inlineStr">
        <is>
          <t>%</t>
        </is>
      </c>
      <c r="C19" s="22">
        <f>INDEX(Parametri!$D$18:$H$18,1,$C$2)</f>
        <v/>
      </c>
    </row>
    <row r="20">
      <c r="A20" s="3" t="inlineStr">
        <is>
          <t>Abbonamento: rinnovo dopo il 3° invio</t>
        </is>
      </c>
      <c r="B20" s="4" t="inlineStr">
        <is>
          <t>%</t>
        </is>
      </c>
      <c r="C20" s="22">
        <f>INDEX(Parametri!$D$19:$H$19,1,$C$2)</f>
        <v/>
      </c>
    </row>
    <row r="21">
      <c r="A21" s="3" t="inlineStr">
        <is>
          <t>Abbonamento: rinnovo dopo il 4° invio</t>
        </is>
      </c>
      <c r="B21" s="4" t="inlineStr">
        <is>
          <t>%</t>
        </is>
      </c>
      <c r="C21" s="22">
        <f>INDEX(Parametri!$D$20:$H$20,1,$C$2)</f>
        <v/>
      </c>
    </row>
    <row r="22">
      <c r="A22" s="3" t="inlineStr">
        <is>
          <t>Abbonamento: rinnovo dopo il 5° invio</t>
        </is>
      </c>
      <c r="B22" s="4" t="inlineStr">
        <is>
          <t>%</t>
        </is>
      </c>
      <c r="C22" s="22">
        <f>INDEX(Parametri!$D$21:$H$21,1,$C$2)</f>
        <v/>
      </c>
    </row>
    <row r="23">
      <c r="A23" s="3" t="inlineStr">
        <is>
          <t>Abbonamento: rinnovo dal 6° invio in poi</t>
        </is>
      </c>
      <c r="B23" s="4" t="inlineStr">
        <is>
          <t>%</t>
        </is>
      </c>
      <c r="C23" s="22">
        <f>INDEX(Parametri!$D$22:$H$22,1,$C$2)</f>
        <v/>
      </c>
    </row>
    <row r="24">
      <c r="A24" s="3" t="inlineStr">
        <is>
          <t>Flacone singolo: probabilità di un nuovo acquisto</t>
        </is>
      </c>
      <c r="B24" s="4" t="inlineStr">
        <is>
          <t>%</t>
        </is>
      </c>
      <c r="C24" s="22">
        <f>INDEX(Parametri!$D$23:$H$23,1,$C$2)</f>
        <v/>
      </c>
    </row>
    <row r="25">
      <c r="A25" s="3" t="inlineStr">
        <is>
          <t>Sconto medio sul primo ordine</t>
        </is>
      </c>
      <c r="B25" s="4" t="inlineStr">
        <is>
          <t>%</t>
        </is>
      </c>
      <c r="C25" s="22">
        <f>INDEX(Parametri!$D$24:$H$24,1,$C$2)</f>
        <v/>
      </c>
    </row>
    <row r="26">
      <c r="A26" s="3" t="inlineStr">
        <is>
          <t>Clienti da canali non pagati, al mese</t>
        </is>
      </c>
      <c r="B26" s="4" t="inlineStr">
        <is>
          <t>clienti</t>
        </is>
      </c>
      <c r="C26" s="21">
        <f>INDEX(Parametri!$D$25:$H$25,1,$C$2)</f>
        <v/>
      </c>
    </row>
    <row r="27">
      <c r="A27" s="3" t="inlineStr">
        <is>
          <t>Pubblicità tranche 1 (totale)</t>
        </is>
      </c>
      <c r="B27" s="4" t="inlineStr">
        <is>
          <t>€</t>
        </is>
      </c>
      <c r="C27" s="9">
        <f>INDEX(Parametri!$D$26:$H$26,1,$C$2)</f>
        <v/>
      </c>
    </row>
    <row r="28">
      <c r="A28" s="3" t="inlineStr">
        <is>
          <t>Tranche 1: durata</t>
        </is>
      </c>
      <c r="B28" s="4" t="inlineStr">
        <is>
          <t>mesi</t>
        </is>
      </c>
      <c r="C28" s="21">
        <f>INDEX(Parametri!$D$27:$H$27,1,$C$2)</f>
        <v/>
      </c>
    </row>
    <row r="29">
      <c r="A29" s="3" t="inlineStr">
        <is>
          <t>CAC pubblicitario tranche 1</t>
        </is>
      </c>
      <c r="B29" s="4" t="inlineStr">
        <is>
          <t>€</t>
        </is>
      </c>
      <c r="C29" s="9">
        <f>INDEX(Parametri!$D$28:$H$28,1,$C$2)</f>
        <v/>
      </c>
    </row>
    <row r="30">
      <c r="A30" s="3" t="inlineStr">
        <is>
          <t>Pubblicità tranche 2 (totale)</t>
        </is>
      </c>
      <c r="B30" s="4" t="inlineStr">
        <is>
          <t>€</t>
        </is>
      </c>
      <c r="C30" s="9">
        <f>INDEX(Parametri!$D$29:$H$29,1,$C$2)</f>
        <v/>
      </c>
    </row>
    <row r="31">
      <c r="A31" s="3" t="inlineStr">
        <is>
          <t>Tranche 2: durata</t>
        </is>
      </c>
      <c r="B31" s="4" t="inlineStr">
        <is>
          <t>mesi</t>
        </is>
      </c>
      <c r="C31" s="21">
        <f>INDEX(Parametri!$D$30:$H$30,1,$C$2)</f>
        <v/>
      </c>
    </row>
    <row r="32">
      <c r="A32" s="3" t="inlineStr">
        <is>
          <t>CAC pubblicitario tranche 2</t>
        </is>
      </c>
      <c r="B32" s="4" t="inlineStr">
        <is>
          <t>€</t>
        </is>
      </c>
      <c r="C32" s="9">
        <f>INDEX(Parametri!$D$31:$H$31,1,$C$2)</f>
        <v/>
      </c>
    </row>
    <row r="33">
      <c r="A33" s="3" t="inlineStr">
        <is>
          <t>Pubblicità tranche 3 (totale)</t>
        </is>
      </c>
      <c r="B33" s="4" t="inlineStr">
        <is>
          <t>€</t>
        </is>
      </c>
      <c r="C33" s="9">
        <f>INDEX(Parametri!$D$32:$H$32,1,$C$2)</f>
        <v/>
      </c>
    </row>
    <row r="34">
      <c r="A34" s="3" t="inlineStr">
        <is>
          <t>Tranche 3: durata</t>
        </is>
      </c>
      <c r="B34" s="4" t="inlineStr">
        <is>
          <t>mesi</t>
        </is>
      </c>
      <c r="C34" s="21">
        <f>INDEX(Parametri!$D$33:$H$33,1,$C$2)</f>
        <v/>
      </c>
    </row>
    <row r="35">
      <c r="A35" s="3" t="inlineStr">
        <is>
          <t>CAC pubblicitario tranche 3 (marginale)</t>
        </is>
      </c>
      <c r="B35" s="4" t="inlineStr">
        <is>
          <t>€</t>
        </is>
      </c>
      <c r="C35" s="9">
        <f>INDEX(Parametri!$D$34:$H$34,1,$C$2)</f>
        <v/>
      </c>
    </row>
    <row r="36">
      <c r="A36" s="3" t="inlineStr">
        <is>
          <t>Pubblicità mensile dopo le tranche</t>
        </is>
      </c>
      <c r="B36" s="4" t="inlineStr">
        <is>
          <t>€/mese</t>
        </is>
      </c>
      <c r="C36" s="9">
        <f>INDEX(Parametri!$D$35:$H$35,1,$C$2)</f>
        <v/>
      </c>
    </row>
    <row r="37">
      <c r="A37" s="3" t="inlineStr">
        <is>
          <t>CAC dopo le tranche</t>
        </is>
      </c>
      <c r="B37" s="4" t="inlineStr">
        <is>
          <t>€</t>
        </is>
      </c>
      <c r="C37" s="9">
        <f>INDEX(Parametri!$D$36:$H$36,1,$C$2)</f>
        <v/>
      </c>
    </row>
    <row r="38">
      <c r="A38" s="3" t="inlineStr">
        <is>
          <t>Creatività e gestione campagne</t>
        </is>
      </c>
      <c r="B38" s="4" t="inlineStr">
        <is>
          <t>€/mese</t>
        </is>
      </c>
      <c r="C38" s="9">
        <f>INDEX(Parametri!$D$37:$H$37,1,$C$2)</f>
        <v/>
      </c>
    </row>
    <row r="39">
      <c r="A39" s="3" t="inlineStr">
        <is>
          <t>Ciclo di laboratorio aggiuntivo, mese 10</t>
        </is>
      </c>
      <c r="B39" s="4" t="inlineStr">
        <is>
          <t>€</t>
        </is>
      </c>
      <c r="C39" s="9">
        <f>INDEX(Parametri!$D$38:$H$38,1,$C$2)</f>
        <v/>
      </c>
    </row>
    <row r="40">
      <c r="A40" s="3" t="inlineStr">
        <is>
          <t>Ciclo di laboratorio aggiuntivo, mese 11</t>
        </is>
      </c>
      <c r="B40" s="4" t="inlineStr">
        <is>
          <t>€</t>
        </is>
      </c>
      <c r="C40" s="9">
        <f>INDEX(Parametri!$D$39:$H$39,1,$C$2)</f>
        <v/>
      </c>
    </row>
    <row r="41">
      <c r="A41" s="3" t="inlineStr">
        <is>
          <t>Capitale versato al mese 1</t>
        </is>
      </c>
      <c r="B41" s="4" t="inlineStr">
        <is>
          <t>€</t>
        </is>
      </c>
      <c r="C41" s="9">
        <f>INDEX(Parametri!$D$40:$H$40,1,$C$2)</f>
        <v/>
      </c>
    </row>
    <row r="42">
      <c r="A42" s="3" t="inlineStr">
        <is>
          <t>Mese della seconda tranche di capitale</t>
        </is>
      </c>
      <c r="B42" s="4" t="inlineStr">
        <is>
          <t>mese</t>
        </is>
      </c>
      <c r="C42" s="21">
        <f>INDEX(Parametri!$D$41:$H$41,1,$C$2)</f>
        <v/>
      </c>
    </row>
    <row r="43">
      <c r="A43" s="3" t="inlineStr">
        <is>
          <t>Seconda tranche di capitale</t>
        </is>
      </c>
      <c r="B43" s="4" t="inlineStr">
        <is>
          <t>€</t>
        </is>
      </c>
      <c r="C43" s="9">
        <f>INDEX(Parametri!$D$42:$H$42,1,$C$2)</f>
        <v/>
      </c>
    </row>
    <row r="44">
      <c r="A44" s="3" t="inlineStr">
        <is>
          <t>Aliquota IVA</t>
        </is>
      </c>
      <c r="B44" s="4" t="inlineStr">
        <is>
          <t>%</t>
        </is>
      </c>
      <c r="C44" s="22">
        <f>Parametri!$D$45</f>
        <v/>
      </c>
    </row>
    <row r="45">
      <c r="A45" s="3" t="inlineStr">
        <is>
          <t>Prezzo percorso da 6 flaconi</t>
        </is>
      </c>
      <c r="B45" s="4" t="inlineStr">
        <is>
          <t>€ IVA incl.</t>
        </is>
      </c>
      <c r="C45" s="21">
        <f>Parametri!$D$46</f>
        <v/>
      </c>
    </row>
    <row r="46">
      <c r="A46" s="3" t="inlineStr">
        <is>
          <t>Prezzo percorso da 3 flaconi</t>
        </is>
      </c>
      <c r="B46" s="4" t="inlineStr">
        <is>
          <t>€ IVA incl.</t>
        </is>
      </c>
      <c r="C46" s="21">
        <f>Parametri!$D$47</f>
        <v/>
      </c>
    </row>
    <row r="47">
      <c r="A47" s="3" t="inlineStr">
        <is>
          <t>Prezzo abbonamento, ogni 28 giorni</t>
        </is>
      </c>
      <c r="B47" s="4" t="inlineStr">
        <is>
          <t>€ IVA incl.</t>
        </is>
      </c>
      <c r="C47" s="21">
        <f>Parametri!$D$48</f>
        <v/>
      </c>
    </row>
    <row r="48">
      <c r="A48" s="3" t="inlineStr">
        <is>
          <t>Prezzo flacone singolo</t>
        </is>
      </c>
      <c r="B48" s="4" t="inlineStr">
        <is>
          <t>€ IVA incl.</t>
        </is>
      </c>
      <c r="C48" s="21">
        <f>Parametri!$D$49</f>
        <v/>
      </c>
    </row>
    <row r="49">
      <c r="A49" s="3" t="inlineStr">
        <is>
          <t>Flaconi: percorso da 6</t>
        </is>
      </c>
      <c r="B49" s="4" t="inlineStr">
        <is>
          <t>n</t>
        </is>
      </c>
      <c r="C49" s="21">
        <f>Parametri!$D$50</f>
        <v/>
      </c>
    </row>
    <row r="50">
      <c r="A50" s="3" t="inlineStr">
        <is>
          <t>Flaconi: percorso da 3</t>
        </is>
      </c>
      <c r="B50" s="4" t="inlineStr">
        <is>
          <t>n</t>
        </is>
      </c>
      <c r="C50" s="21">
        <f>Parametri!$D$51</f>
        <v/>
      </c>
    </row>
    <row r="51">
      <c r="A51" s="3" t="inlineStr">
        <is>
          <t>Flaconi: abbonamento</t>
        </is>
      </c>
      <c r="B51" s="4" t="inlineStr">
        <is>
          <t>n</t>
        </is>
      </c>
      <c r="C51" s="21">
        <f>Parametri!$D$52</f>
        <v/>
      </c>
    </row>
    <row r="52">
      <c r="A52" s="3" t="inlineStr">
        <is>
          <t>Flaconi: singolo</t>
        </is>
      </c>
      <c r="B52" s="4" t="inlineStr">
        <is>
          <t>n</t>
        </is>
      </c>
      <c r="C52" s="21">
        <f>Parametri!$D$53</f>
        <v/>
      </c>
    </row>
    <row r="53">
      <c r="A53" s="3" t="inlineStr">
        <is>
          <t>Corriere: 6 flaconi</t>
        </is>
      </c>
      <c r="B53" s="4" t="inlineStr">
        <is>
          <t>€</t>
        </is>
      </c>
      <c r="C53" s="21">
        <f>Parametri!$D$54</f>
        <v/>
      </c>
    </row>
    <row r="54">
      <c r="A54" s="3" t="inlineStr">
        <is>
          <t>Corriere: 3 flaconi</t>
        </is>
      </c>
      <c r="B54" s="4" t="inlineStr">
        <is>
          <t>€</t>
        </is>
      </c>
      <c r="C54" s="21">
        <f>Parametri!$D$55</f>
        <v/>
      </c>
    </row>
    <row r="55">
      <c r="A55" s="3" t="inlineStr">
        <is>
          <t>Corriere: 1 flacone (abbonamento)</t>
        </is>
      </c>
      <c r="B55" s="4" t="inlineStr">
        <is>
          <t>€</t>
        </is>
      </c>
      <c r="C55" s="21">
        <f>Parametri!$D$56</f>
        <v/>
      </c>
    </row>
    <row r="56">
      <c r="A56" s="3" t="inlineStr">
        <is>
          <t>Corriere: 1 flacone (singolo)</t>
        </is>
      </c>
      <c r="B56" s="4" t="inlineStr">
        <is>
          <t>€</t>
        </is>
      </c>
      <c r="C56" s="21">
        <f>Parametri!$D$57</f>
        <v/>
      </c>
    </row>
    <row r="57">
      <c r="A57" s="3" t="inlineStr">
        <is>
          <t>Prelievo e imballo per ordine</t>
        </is>
      </c>
      <c r="B57" s="4" t="inlineStr">
        <is>
          <t>€</t>
        </is>
      </c>
      <c r="C57" s="21">
        <f>Parametri!$D$58</f>
        <v/>
      </c>
    </row>
    <row r="58">
      <c r="A58" s="3" t="inlineStr">
        <is>
          <t>Commissione di incasso, percentuale</t>
        </is>
      </c>
      <c r="B58" s="4" t="inlineStr">
        <is>
          <t>%</t>
        </is>
      </c>
      <c r="C58" s="22">
        <f>Parametri!$D$59</f>
        <v/>
      </c>
    </row>
    <row r="59">
      <c r="A59" s="3" t="inlineStr">
        <is>
          <t>Commissione di incasso, fissa</t>
        </is>
      </c>
      <c r="B59" s="4" t="inlineStr">
        <is>
          <t>€</t>
        </is>
      </c>
      <c r="C59" s="21">
        <f>Parametri!$D$60</f>
        <v/>
      </c>
    </row>
    <row r="60">
      <c r="A60" s="3" t="inlineStr">
        <is>
          <t>Assistenza, resi ordinari, sostituzioni</t>
        </is>
      </c>
      <c r="B60" s="4" t="inlineStr">
        <is>
          <t>% ricavo netto</t>
        </is>
      </c>
      <c r="C60" s="22">
        <f>Parametri!$D$61</f>
        <v/>
      </c>
    </row>
    <row r="61">
      <c r="A61" s="3" t="inlineStr">
        <is>
          <t>Lotto di produzione</t>
        </is>
      </c>
      <c r="B61" s="4" t="inlineStr">
        <is>
          <t>flaconi</t>
        </is>
      </c>
      <c r="C61" s="21">
        <f>Parametri!$D$62</f>
        <v/>
      </c>
    </row>
    <row r="62">
      <c r="A62" s="3" t="inlineStr">
        <is>
          <t>Acconto all'ordine del lotto</t>
        </is>
      </c>
      <c r="B62" s="4" t="inlineStr">
        <is>
          <t>%</t>
        </is>
      </c>
      <c r="C62" s="22">
        <f>Parametri!$D$63</f>
        <v/>
      </c>
    </row>
    <row r="63">
      <c r="A63" s="3" t="inlineStr">
        <is>
          <t>Tempo di fornitura</t>
        </is>
      </c>
      <c r="B63" s="4" t="inlineStr">
        <is>
          <t>mesi</t>
        </is>
      </c>
      <c r="C63" s="21">
        <f>Parametri!$D$64</f>
        <v/>
      </c>
    </row>
    <row r="64">
      <c r="A64" s="3" t="inlineStr">
        <is>
          <t>Scorta di sicurezza</t>
        </is>
      </c>
      <c r="B64" s="4" t="inlineStr">
        <is>
          <t>mesi di consumo</t>
        </is>
      </c>
      <c r="C64" s="21">
        <f>Parametri!$D$65</f>
        <v/>
      </c>
    </row>
    <row r="65">
      <c r="A65" s="3" t="inlineStr">
        <is>
          <t>Scarto di produzione</t>
        </is>
      </c>
      <c r="B65" s="4" t="inlineStr">
        <is>
          <t>%</t>
        </is>
      </c>
      <c r="C65" s="22">
        <f>Parametri!$D$66</f>
        <v/>
      </c>
    </row>
    <row r="66">
      <c r="A66" s="3" t="inlineStr">
        <is>
          <t>Flaconi trattenuti per lotto (analisi e campioni di riserva)</t>
        </is>
      </c>
      <c r="B66" s="4" t="inlineStr">
        <is>
          <t>flaconi</t>
        </is>
      </c>
      <c r="C66" s="21">
        <f>Parametri!$D$67</f>
        <v/>
      </c>
    </row>
    <row r="67">
      <c r="A67" s="3" t="inlineStr">
        <is>
          <t>Campioni al lancio</t>
        </is>
      </c>
      <c r="B67" s="4" t="inlineStr">
        <is>
          <t>flaconi</t>
        </is>
      </c>
      <c r="C67" s="21">
        <f>Parametri!$D$68</f>
        <v/>
      </c>
    </row>
    <row r="68">
      <c r="A68" s="3" t="inlineStr">
        <is>
          <t>Campioni al mese dopo il lancio</t>
        </is>
      </c>
      <c r="B68" s="4" t="inlineStr">
        <is>
          <t>flaconi</t>
        </is>
      </c>
      <c r="C68" s="21">
        <f>Parametri!$D$69</f>
        <v/>
      </c>
    </row>
    <row r="69">
      <c r="A69" s="3" t="inlineStr">
        <is>
          <t>Sostituzioni fisiche</t>
        </is>
      </c>
      <c r="B69" s="4" t="inlineStr">
        <is>
          <t>% flaconi spediti</t>
        </is>
      </c>
      <c r="C69" s="22">
        <f>Parametri!$D$70</f>
        <v/>
      </c>
    </row>
    <row r="70">
      <c r="A70" s="3" t="inlineStr">
        <is>
          <t>Intervallo abbonamento</t>
        </is>
      </c>
      <c r="B70" s="4" t="inlineStr">
        <is>
          <t>giorni</t>
        </is>
      </c>
      <c r="C70" s="21">
        <f>Parametri!$D$71</f>
        <v/>
      </c>
    </row>
    <row r="71">
      <c r="A71" s="3" t="inlineStr">
        <is>
          <t>Durata di un flacone</t>
        </is>
      </c>
      <c r="B71" s="4" t="inlineStr">
        <is>
          <t>giorni</t>
        </is>
      </c>
      <c r="C71" s="21">
        <f>Parametri!$D$72</f>
        <v/>
      </c>
    </row>
    <row r="72">
      <c r="A72" s="3" t="inlineStr">
        <is>
          <t>Giorni per mese</t>
        </is>
      </c>
      <c r="B72" s="4" t="inlineStr">
        <is>
          <t>giorni</t>
        </is>
      </c>
      <c r="C72" s="21">
        <f>Parametri!$D$73</f>
        <v/>
      </c>
    </row>
    <row r="74">
      <c r="A74" s="10" t="inlineStr">
        <is>
          <t>Economia per ordine (colonne C-F ordini successivi, H-K primo ordine con sconto)</t>
        </is>
      </c>
    </row>
    <row r="75">
      <c r="C75" s="2" t="inlineStr">
        <is>
          <t>Percorso 6</t>
        </is>
      </c>
      <c r="D75" s="2" t="inlineStr">
        <is>
          <t>Percorso 3</t>
        </is>
      </c>
      <c r="E75" s="2" t="inlineStr">
        <is>
          <t>Abbonamento</t>
        </is>
      </c>
      <c r="F75" s="2" t="inlineStr">
        <is>
          <t>Singolo</t>
        </is>
      </c>
      <c r="H75" s="2" t="inlineStr">
        <is>
          <t>Percorso 6, 1° ord.</t>
        </is>
      </c>
      <c r="I75" s="2" t="inlineStr">
        <is>
          <t>Percorso 3, 1° ord.</t>
        </is>
      </c>
      <c r="J75" s="2" t="inlineStr">
        <is>
          <t>Abbonamento, 1° ord.</t>
        </is>
      </c>
      <c r="K75" s="2" t="inlineStr">
        <is>
          <t>Singolo, 1° ord.</t>
        </is>
      </c>
    </row>
    <row r="76">
      <c r="A76" s="3" t="inlineStr">
        <is>
          <t>Prezzo pagato (IVA incl.)</t>
        </is>
      </c>
      <c r="B76" s="4" t="inlineStr">
        <is>
          <t>€</t>
        </is>
      </c>
      <c r="C76" s="13">
        <f>$C$45*(1-0)</f>
        <v/>
      </c>
      <c r="D76" s="13">
        <f>$C$46*(1-0)</f>
        <v/>
      </c>
      <c r="E76" s="13">
        <f>$C$47*(1-0)</f>
        <v/>
      </c>
      <c r="F76" s="13">
        <f>$C$48*(1-0)</f>
        <v/>
      </c>
      <c r="H76" s="13">
        <f>$C$45*(1-$C$25)</f>
        <v/>
      </c>
      <c r="I76" s="13">
        <f>$C$46*(1-$C$25)</f>
        <v/>
      </c>
      <c r="J76" s="13">
        <f>$C$47*(1-$C$25)</f>
        <v/>
      </c>
      <c r="K76" s="13">
        <f>$C$48*(1-$C$25)</f>
        <v/>
      </c>
    </row>
    <row r="77">
      <c r="A77" s="3" t="inlineStr">
        <is>
          <t>Ricavo netto IVA</t>
        </is>
      </c>
      <c r="B77" s="4" t="inlineStr">
        <is>
          <t>€</t>
        </is>
      </c>
      <c r="C77" s="13">
        <f>C76/(1+$C$44)</f>
        <v/>
      </c>
      <c r="D77" s="13">
        <f>D76/(1+$C$44)</f>
        <v/>
      </c>
      <c r="E77" s="13">
        <f>E76/(1+$C$44)</f>
        <v/>
      </c>
      <c r="F77" s="13">
        <f>F76/(1+$C$44)</f>
        <v/>
      </c>
      <c r="H77" s="13">
        <f>H76/(1+$C$44)</f>
        <v/>
      </c>
      <c r="I77" s="13">
        <f>I76/(1+$C$44)</f>
        <v/>
      </c>
      <c r="J77" s="13">
        <f>J76/(1+$C$44)</f>
        <v/>
      </c>
      <c r="K77" s="13">
        <f>K76/(1+$C$44)</f>
        <v/>
      </c>
    </row>
    <row r="78">
      <c r="A78" s="3" t="inlineStr">
        <is>
          <t>Costo del prodotto</t>
        </is>
      </c>
      <c r="B78" s="4" t="inlineStr">
        <is>
          <t>€</t>
        </is>
      </c>
      <c r="C78" s="13">
        <f>$C$7*$C$49</f>
        <v/>
      </c>
      <c r="D78" s="13">
        <f>$C$7*$C$50</f>
        <v/>
      </c>
      <c r="E78" s="13">
        <f>$C$7*$C$51</f>
        <v/>
      </c>
      <c r="F78" s="13">
        <f>$C$7*$C$52</f>
        <v/>
      </c>
      <c r="H78" s="13">
        <f>$C$7*$C$49</f>
        <v/>
      </c>
      <c r="I78" s="13">
        <f>$C$7*$C$50</f>
        <v/>
      </c>
      <c r="J78" s="13">
        <f>$C$7*$C$51</f>
        <v/>
      </c>
      <c r="K78" s="13">
        <f>$C$7*$C$52</f>
        <v/>
      </c>
    </row>
    <row r="79">
      <c r="A79" s="3" t="inlineStr">
        <is>
          <t>Logistica</t>
        </is>
      </c>
      <c r="B79" s="4" t="inlineStr">
        <is>
          <t>€</t>
        </is>
      </c>
      <c r="C79" s="13">
        <f>$C$57+$C$53</f>
        <v/>
      </c>
      <c r="D79" s="13">
        <f>$C$57+$C$54</f>
        <v/>
      </c>
      <c r="E79" s="13">
        <f>$C$57+$C$55</f>
        <v/>
      </c>
      <c r="F79" s="13">
        <f>$C$57+$C$56</f>
        <v/>
      </c>
      <c r="H79" s="13">
        <f>$C$57+$C$53</f>
        <v/>
      </c>
      <c r="I79" s="13">
        <f>$C$57+$C$54</f>
        <v/>
      </c>
      <c r="J79" s="13">
        <f>$C$57+$C$55</f>
        <v/>
      </c>
      <c r="K79" s="13">
        <f>$C$57+$C$56</f>
        <v/>
      </c>
    </row>
    <row r="80">
      <c r="A80" s="3" t="inlineStr">
        <is>
          <t>Commissione di incasso</t>
        </is>
      </c>
      <c r="B80" s="4" t="inlineStr">
        <is>
          <t>€</t>
        </is>
      </c>
      <c r="C80" s="13">
        <f>C76*$C$58+$C$59</f>
        <v/>
      </c>
      <c r="D80" s="13">
        <f>D76*$C$58+$C$59</f>
        <v/>
      </c>
      <c r="E80" s="13">
        <f>E76*$C$58+$C$59</f>
        <v/>
      </c>
      <c r="F80" s="13">
        <f>F76*$C$58+$C$59</f>
        <v/>
      </c>
      <c r="H80" s="13">
        <f>H76*$C$58+$C$59</f>
        <v/>
      </c>
      <c r="I80" s="13">
        <f>I76*$C$58+$C$59</f>
        <v/>
      </c>
      <c r="J80" s="13">
        <f>J76*$C$58+$C$59</f>
        <v/>
      </c>
      <c r="K80" s="13">
        <f>K76*$C$58+$C$59</f>
        <v/>
      </c>
    </row>
    <row r="81">
      <c r="A81" s="3" t="inlineStr">
        <is>
          <t>Assistenza e resi ordinari</t>
        </is>
      </c>
      <c r="B81" s="4" t="inlineStr">
        <is>
          <t>€</t>
        </is>
      </c>
      <c r="C81" s="13">
        <f>C77*$C$60</f>
        <v/>
      </c>
      <c r="D81" s="13">
        <f>D77*$C$60</f>
        <v/>
      </c>
      <c r="E81" s="13">
        <f>E77*$C$60</f>
        <v/>
      </c>
      <c r="F81" s="13">
        <f>F77*$C$60</f>
        <v/>
      </c>
      <c r="H81" s="13">
        <f>H77*$C$60</f>
        <v/>
      </c>
      <c r="I81" s="13">
        <f>I77*$C$60</f>
        <v/>
      </c>
      <c r="J81" s="13">
        <f>J77*$C$60</f>
        <v/>
      </c>
      <c r="K81" s="13">
        <f>K77*$C$60</f>
        <v/>
      </c>
    </row>
    <row r="82">
      <c r="A82" s="3" t="inlineStr">
        <is>
          <t>Contribuzione per ordine</t>
        </is>
      </c>
      <c r="B82" s="4" t="inlineStr">
        <is>
          <t>€</t>
        </is>
      </c>
      <c r="C82" s="13">
        <f>C77-C78-C79-C80-C81</f>
        <v/>
      </c>
      <c r="D82" s="13">
        <f>D77-D78-D79-D80-D81</f>
        <v/>
      </c>
      <c r="E82" s="13">
        <f>E77-E78-E79-E80-E81</f>
        <v/>
      </c>
      <c r="F82" s="13">
        <f>F77-F78-F79-F80-F81</f>
        <v/>
      </c>
      <c r="H82" s="13">
        <f>H77-H78-H79-H80-H81</f>
        <v/>
      </c>
      <c r="I82" s="13">
        <f>I77-I78-I79-I80-I81</f>
        <v/>
      </c>
      <c r="J82" s="13">
        <f>J77-J78-J79-J80-J81</f>
        <v/>
      </c>
      <c r="K82" s="13">
        <f>K77-K78-K79-K80-K81</f>
        <v/>
      </c>
    </row>
    <row r="84">
      <c r="A84" s="10" t="inlineStr">
        <is>
          <t>Sequenza degli invii: abbonamento e flacone singolo (colonna = invio k)</t>
        </is>
      </c>
    </row>
    <row r="85">
      <c r="A85" s="3" t="inlineStr">
        <is>
          <t>Invio k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  <c r="J85" t="n">
        <v>8</v>
      </c>
      <c r="K85" t="n">
        <v>9</v>
      </c>
      <c r="L85" t="n">
        <v>10</v>
      </c>
      <c r="M85" t="n">
        <v>11</v>
      </c>
      <c r="N85" t="n">
        <v>12</v>
      </c>
      <c r="O85" t="n">
        <v>13</v>
      </c>
      <c r="P85" t="n">
        <v>14</v>
      </c>
      <c r="Q85" t="n">
        <v>15</v>
      </c>
      <c r="R85" t="n">
        <v>16</v>
      </c>
      <c r="S85" t="n">
        <v>17</v>
      </c>
      <c r="T85" t="n">
        <v>18</v>
      </c>
      <c r="U85" t="n">
        <v>19</v>
      </c>
      <c r="V85" t="n">
        <v>20</v>
      </c>
      <c r="W85" t="n">
        <v>21</v>
      </c>
      <c r="X85" t="n">
        <v>22</v>
      </c>
      <c r="Y85" t="n">
        <v>23</v>
      </c>
      <c r="Z85" t="n">
        <v>24</v>
      </c>
      <c r="AA85" t="n">
        <v>25</v>
      </c>
      <c r="AB85" t="n">
        <v>26</v>
      </c>
      <c r="AC85" t="n">
        <v>27</v>
      </c>
      <c r="AD85" t="n">
        <v>28</v>
      </c>
      <c r="AE85" t="n">
        <v>29</v>
      </c>
      <c r="AF85" t="n">
        <v>30</v>
      </c>
      <c r="AG85" t="n">
        <v>31</v>
      </c>
      <c r="AH85" t="n">
        <v>32</v>
      </c>
      <c r="AI85" t="n">
        <v>33</v>
      </c>
      <c r="AJ85" t="n">
        <v>34</v>
      </c>
      <c r="AK85" t="n">
        <v>35</v>
      </c>
      <c r="AL85" t="n">
        <v>36</v>
      </c>
      <c r="AM85" t="n">
        <v>37</v>
      </c>
      <c r="AN85" t="n">
        <v>38</v>
      </c>
      <c r="AO85" t="n">
        <v>39</v>
      </c>
      <c r="AP85" t="n">
        <v>40</v>
      </c>
      <c r="AQ85" t="n">
        <v>41</v>
      </c>
      <c r="AR85" t="n">
        <v>42</v>
      </c>
      <c r="AS85" t="n">
        <v>43</v>
      </c>
      <c r="AT85" t="n">
        <v>44</v>
      </c>
      <c r="AU85" t="n">
        <v>45</v>
      </c>
    </row>
    <row r="86">
      <c r="A86" s="3" t="inlineStr">
        <is>
          <t>Abbonamento: mese di età dell'invio</t>
        </is>
      </c>
      <c r="C86">
        <f>INT($C$70*(C85-1)/$C$72+0.5)</f>
        <v/>
      </c>
      <c r="D86">
        <f>INT($C$70*(D85-1)/$C$72+0.5)</f>
        <v/>
      </c>
      <c r="E86">
        <f>INT($C$70*(E85-1)/$C$72+0.5)</f>
        <v/>
      </c>
      <c r="F86">
        <f>INT($C$70*(F85-1)/$C$72+0.5)</f>
        <v/>
      </c>
      <c r="G86">
        <f>INT($C$70*(G85-1)/$C$72+0.5)</f>
        <v/>
      </c>
      <c r="H86">
        <f>INT($C$70*(H85-1)/$C$72+0.5)</f>
        <v/>
      </c>
      <c r="I86">
        <f>INT($C$70*(I85-1)/$C$72+0.5)</f>
        <v/>
      </c>
      <c r="J86">
        <f>INT($C$70*(J85-1)/$C$72+0.5)</f>
        <v/>
      </c>
      <c r="K86">
        <f>INT($C$70*(K85-1)/$C$72+0.5)</f>
        <v/>
      </c>
      <c r="L86">
        <f>INT($C$70*(L85-1)/$C$72+0.5)</f>
        <v/>
      </c>
      <c r="M86">
        <f>INT($C$70*(M85-1)/$C$72+0.5)</f>
        <v/>
      </c>
      <c r="N86">
        <f>INT($C$70*(N85-1)/$C$72+0.5)</f>
        <v/>
      </c>
      <c r="O86">
        <f>INT($C$70*(O85-1)/$C$72+0.5)</f>
        <v/>
      </c>
      <c r="P86">
        <f>INT($C$70*(P85-1)/$C$72+0.5)</f>
        <v/>
      </c>
      <c r="Q86">
        <f>INT($C$70*(Q85-1)/$C$72+0.5)</f>
        <v/>
      </c>
      <c r="R86">
        <f>INT($C$70*(R85-1)/$C$72+0.5)</f>
        <v/>
      </c>
      <c r="S86">
        <f>INT($C$70*(S85-1)/$C$72+0.5)</f>
        <v/>
      </c>
      <c r="T86">
        <f>INT($C$70*(T85-1)/$C$72+0.5)</f>
        <v/>
      </c>
      <c r="U86">
        <f>INT($C$70*(U85-1)/$C$72+0.5)</f>
        <v/>
      </c>
      <c r="V86">
        <f>INT($C$70*(V85-1)/$C$72+0.5)</f>
        <v/>
      </c>
      <c r="W86">
        <f>INT($C$70*(W85-1)/$C$72+0.5)</f>
        <v/>
      </c>
      <c r="X86">
        <f>INT($C$70*(X85-1)/$C$72+0.5)</f>
        <v/>
      </c>
      <c r="Y86">
        <f>INT($C$70*(Y85-1)/$C$72+0.5)</f>
        <v/>
      </c>
      <c r="Z86">
        <f>INT($C$70*(Z85-1)/$C$72+0.5)</f>
        <v/>
      </c>
      <c r="AA86">
        <f>INT($C$70*(AA85-1)/$C$72+0.5)</f>
        <v/>
      </c>
      <c r="AB86">
        <f>INT($C$70*(AB85-1)/$C$72+0.5)</f>
        <v/>
      </c>
      <c r="AC86">
        <f>INT($C$70*(AC85-1)/$C$72+0.5)</f>
        <v/>
      </c>
      <c r="AD86">
        <f>INT($C$70*(AD85-1)/$C$72+0.5)</f>
        <v/>
      </c>
      <c r="AE86">
        <f>INT($C$70*(AE85-1)/$C$72+0.5)</f>
        <v/>
      </c>
      <c r="AF86">
        <f>INT($C$70*(AF85-1)/$C$72+0.5)</f>
        <v/>
      </c>
      <c r="AG86">
        <f>INT($C$70*(AG85-1)/$C$72+0.5)</f>
        <v/>
      </c>
      <c r="AH86">
        <f>INT($C$70*(AH85-1)/$C$72+0.5)</f>
        <v/>
      </c>
      <c r="AI86">
        <f>INT($C$70*(AI85-1)/$C$72+0.5)</f>
        <v/>
      </c>
      <c r="AJ86">
        <f>INT($C$70*(AJ85-1)/$C$72+0.5)</f>
        <v/>
      </c>
      <c r="AK86">
        <f>INT($C$70*(AK85-1)/$C$72+0.5)</f>
        <v/>
      </c>
      <c r="AL86">
        <f>INT($C$70*(AL85-1)/$C$72+0.5)</f>
        <v/>
      </c>
      <c r="AM86">
        <f>INT($C$70*(AM85-1)/$C$72+0.5)</f>
        <v/>
      </c>
      <c r="AN86">
        <f>INT($C$70*(AN85-1)/$C$72+0.5)</f>
        <v/>
      </c>
      <c r="AO86">
        <f>INT($C$70*(AO85-1)/$C$72+0.5)</f>
        <v/>
      </c>
      <c r="AP86">
        <f>INT($C$70*(AP85-1)/$C$72+0.5)</f>
        <v/>
      </c>
      <c r="AQ86">
        <f>INT($C$70*(AQ85-1)/$C$72+0.5)</f>
        <v/>
      </c>
      <c r="AR86">
        <f>INT($C$70*(AR85-1)/$C$72+0.5)</f>
        <v/>
      </c>
      <c r="AS86">
        <f>INT($C$70*(AS85-1)/$C$72+0.5)</f>
        <v/>
      </c>
      <c r="AT86">
        <f>INT($C$70*(AT85-1)/$C$72+0.5)</f>
        <v/>
      </c>
      <c r="AU86">
        <f>INT($C$70*(AU85-1)/$C$72+0.5)</f>
        <v/>
      </c>
    </row>
    <row r="87">
      <c r="A87" s="3" t="inlineStr">
        <is>
          <t>Abbonamento: clienti ancora attivi</t>
        </is>
      </c>
      <c r="C87" s="23" t="n">
        <v>1</v>
      </c>
      <c r="D87" s="23">
        <f>C87*$C$18</f>
        <v/>
      </c>
      <c r="E87" s="23">
        <f>D87*$C$19</f>
        <v/>
      </c>
      <c r="F87" s="23">
        <f>E87*$C$20</f>
        <v/>
      </c>
      <c r="G87" s="23">
        <f>F87*$C$21</f>
        <v/>
      </c>
      <c r="H87" s="23">
        <f>G87*$C$22</f>
        <v/>
      </c>
      <c r="I87" s="23">
        <f>H87*$C$23</f>
        <v/>
      </c>
      <c r="J87" s="23">
        <f>I87*$C$23</f>
        <v/>
      </c>
      <c r="K87" s="23">
        <f>J87*$C$23</f>
        <v/>
      </c>
      <c r="L87" s="23">
        <f>K87*$C$23</f>
        <v/>
      </c>
      <c r="M87" s="23">
        <f>L87*$C$23</f>
        <v/>
      </c>
      <c r="N87" s="23">
        <f>M87*$C$23</f>
        <v/>
      </c>
      <c r="O87" s="23">
        <f>N87*$C$23</f>
        <v/>
      </c>
      <c r="P87" s="23">
        <f>O87*$C$23</f>
        <v/>
      </c>
      <c r="Q87" s="23">
        <f>P87*$C$23</f>
        <v/>
      </c>
      <c r="R87" s="23">
        <f>Q87*$C$23</f>
        <v/>
      </c>
      <c r="S87" s="23">
        <f>R87*$C$23</f>
        <v/>
      </c>
      <c r="T87" s="23">
        <f>S87*$C$23</f>
        <v/>
      </c>
      <c r="U87" s="23">
        <f>T87*$C$23</f>
        <v/>
      </c>
      <c r="V87" s="23">
        <f>U87*$C$23</f>
        <v/>
      </c>
      <c r="W87" s="23">
        <f>V87*$C$23</f>
        <v/>
      </c>
      <c r="X87" s="23">
        <f>W87*$C$23</f>
        <v/>
      </c>
      <c r="Y87" s="23">
        <f>X87*$C$23</f>
        <v/>
      </c>
      <c r="Z87" s="23">
        <f>Y87*$C$23</f>
        <v/>
      </c>
      <c r="AA87" s="23">
        <f>Z87*$C$23</f>
        <v/>
      </c>
      <c r="AB87" s="23">
        <f>AA87*$C$23</f>
        <v/>
      </c>
      <c r="AC87" s="23">
        <f>AB87*$C$23</f>
        <v/>
      </c>
      <c r="AD87" s="23">
        <f>AC87*$C$23</f>
        <v/>
      </c>
      <c r="AE87" s="23">
        <f>AD87*$C$23</f>
        <v/>
      </c>
      <c r="AF87" s="23">
        <f>AE87*$C$23</f>
        <v/>
      </c>
      <c r="AG87" s="23">
        <f>AF87*$C$23</f>
        <v/>
      </c>
      <c r="AH87" s="23">
        <f>AG87*$C$23</f>
        <v/>
      </c>
      <c r="AI87" s="23">
        <f>AH87*$C$23</f>
        <v/>
      </c>
      <c r="AJ87" s="23">
        <f>AI87*$C$23</f>
        <v/>
      </c>
      <c r="AK87" s="23">
        <f>AJ87*$C$23</f>
        <v/>
      </c>
      <c r="AL87" s="23">
        <f>AK87*$C$23</f>
        <v/>
      </c>
      <c r="AM87" s="23">
        <f>AL87*$C$23</f>
        <v/>
      </c>
      <c r="AN87" s="23">
        <f>AM87*$C$23</f>
        <v/>
      </c>
      <c r="AO87" s="23">
        <f>AN87*$C$23</f>
        <v/>
      </c>
      <c r="AP87" s="23">
        <f>AO87*$C$23</f>
        <v/>
      </c>
      <c r="AQ87" s="23">
        <f>AP87*$C$23</f>
        <v/>
      </c>
      <c r="AR87" s="23">
        <f>AQ87*$C$23</f>
        <v/>
      </c>
      <c r="AS87" s="23">
        <f>AR87*$C$23</f>
        <v/>
      </c>
      <c r="AT87" s="23">
        <f>AS87*$C$23</f>
        <v/>
      </c>
      <c r="AU87" s="23">
        <f>AT87*$C$23</f>
        <v/>
      </c>
    </row>
    <row r="88">
      <c r="A88" s="3" t="inlineStr">
        <is>
          <t>Singolo: mese di età dell'acquisto</t>
        </is>
      </c>
      <c r="C88">
        <f>INT($C$71*(C85-1)/$C$72+0.5)</f>
        <v/>
      </c>
      <c r="D88">
        <f>INT($C$71*(D85-1)/$C$72+0.5)</f>
        <v/>
      </c>
      <c r="E88">
        <f>INT($C$71*(E85-1)/$C$72+0.5)</f>
        <v/>
      </c>
      <c r="F88">
        <f>INT($C$71*(F85-1)/$C$72+0.5)</f>
        <v/>
      </c>
      <c r="G88">
        <f>INT($C$71*(G85-1)/$C$72+0.5)</f>
        <v/>
      </c>
      <c r="H88">
        <f>INT($C$71*(H85-1)/$C$72+0.5)</f>
        <v/>
      </c>
      <c r="I88">
        <f>INT($C$71*(I85-1)/$C$72+0.5)</f>
        <v/>
      </c>
      <c r="J88">
        <f>INT($C$71*(J85-1)/$C$72+0.5)</f>
        <v/>
      </c>
      <c r="K88">
        <f>INT($C$71*(K85-1)/$C$72+0.5)</f>
        <v/>
      </c>
      <c r="L88">
        <f>INT($C$71*(L85-1)/$C$72+0.5)</f>
        <v/>
      </c>
      <c r="M88">
        <f>INT($C$71*(M85-1)/$C$72+0.5)</f>
        <v/>
      </c>
      <c r="N88">
        <f>INT($C$71*(N85-1)/$C$72+0.5)</f>
        <v/>
      </c>
      <c r="O88">
        <f>INT($C$71*(O85-1)/$C$72+0.5)</f>
        <v/>
      </c>
      <c r="P88">
        <f>INT($C$71*(P85-1)/$C$72+0.5)</f>
        <v/>
      </c>
      <c r="Q88">
        <f>INT($C$71*(Q85-1)/$C$72+0.5)</f>
        <v/>
      </c>
      <c r="R88">
        <f>INT($C$71*(R85-1)/$C$72+0.5)</f>
        <v/>
      </c>
      <c r="S88">
        <f>INT($C$71*(S85-1)/$C$72+0.5)</f>
        <v/>
      </c>
      <c r="T88">
        <f>INT($C$71*(T85-1)/$C$72+0.5)</f>
        <v/>
      </c>
      <c r="U88">
        <f>INT($C$71*(U85-1)/$C$72+0.5)</f>
        <v/>
      </c>
      <c r="V88">
        <f>INT($C$71*(V85-1)/$C$72+0.5)</f>
        <v/>
      </c>
      <c r="W88">
        <f>INT($C$71*(W85-1)/$C$72+0.5)</f>
        <v/>
      </c>
      <c r="X88">
        <f>INT($C$71*(X85-1)/$C$72+0.5)</f>
        <v/>
      </c>
      <c r="Y88">
        <f>INT($C$71*(Y85-1)/$C$72+0.5)</f>
        <v/>
      </c>
      <c r="Z88">
        <f>INT($C$71*(Z85-1)/$C$72+0.5)</f>
        <v/>
      </c>
      <c r="AA88">
        <f>INT($C$71*(AA85-1)/$C$72+0.5)</f>
        <v/>
      </c>
      <c r="AB88">
        <f>INT($C$71*(AB85-1)/$C$72+0.5)</f>
        <v/>
      </c>
      <c r="AC88">
        <f>INT($C$71*(AC85-1)/$C$72+0.5)</f>
        <v/>
      </c>
      <c r="AD88">
        <f>INT($C$71*(AD85-1)/$C$72+0.5)</f>
        <v/>
      </c>
      <c r="AE88">
        <f>INT($C$71*(AE85-1)/$C$72+0.5)</f>
        <v/>
      </c>
      <c r="AF88">
        <f>INT($C$71*(AF85-1)/$C$72+0.5)</f>
        <v/>
      </c>
      <c r="AG88">
        <f>INT($C$71*(AG85-1)/$C$72+0.5)</f>
        <v/>
      </c>
      <c r="AH88">
        <f>INT($C$71*(AH85-1)/$C$72+0.5)</f>
        <v/>
      </c>
      <c r="AI88">
        <f>INT($C$71*(AI85-1)/$C$72+0.5)</f>
        <v/>
      </c>
      <c r="AJ88">
        <f>INT($C$71*(AJ85-1)/$C$72+0.5)</f>
        <v/>
      </c>
      <c r="AK88">
        <f>INT($C$71*(AK85-1)/$C$72+0.5)</f>
        <v/>
      </c>
      <c r="AL88">
        <f>INT($C$71*(AL85-1)/$C$72+0.5)</f>
        <v/>
      </c>
      <c r="AM88">
        <f>INT($C$71*(AM85-1)/$C$72+0.5)</f>
        <v/>
      </c>
      <c r="AN88">
        <f>INT($C$71*(AN85-1)/$C$72+0.5)</f>
        <v/>
      </c>
      <c r="AO88">
        <f>INT($C$71*(AO85-1)/$C$72+0.5)</f>
        <v/>
      </c>
      <c r="AP88">
        <f>INT($C$71*(AP85-1)/$C$72+0.5)</f>
        <v/>
      </c>
      <c r="AQ88">
        <f>INT($C$71*(AQ85-1)/$C$72+0.5)</f>
        <v/>
      </c>
      <c r="AR88">
        <f>INT($C$71*(AR85-1)/$C$72+0.5)</f>
        <v/>
      </c>
      <c r="AS88">
        <f>INT($C$71*(AS85-1)/$C$72+0.5)</f>
        <v/>
      </c>
      <c r="AT88">
        <f>INT($C$71*(AT85-1)/$C$72+0.5)</f>
        <v/>
      </c>
      <c r="AU88">
        <f>INT($C$71*(AU85-1)/$C$72+0.5)</f>
        <v/>
      </c>
    </row>
    <row r="89">
      <c r="A89" s="3" t="inlineStr">
        <is>
          <t>Singolo: probabilità dell'acquisto</t>
        </is>
      </c>
      <c r="C89" s="23" t="n">
        <v>1</v>
      </c>
      <c r="D89" s="23">
        <f>C89*$C$24</f>
        <v/>
      </c>
      <c r="E89" s="23">
        <f>D89*$C$24</f>
        <v/>
      </c>
      <c r="F89" s="23">
        <f>E89*$C$24</f>
        <v/>
      </c>
      <c r="G89" s="23">
        <f>F89*$C$24</f>
        <v/>
      </c>
      <c r="H89" s="23">
        <f>G89*$C$24</f>
        <v/>
      </c>
      <c r="I89" s="23">
        <f>H89*$C$24</f>
        <v/>
      </c>
      <c r="J89" s="23">
        <f>I89*$C$24</f>
        <v/>
      </c>
      <c r="K89" s="23">
        <f>J89*$C$24</f>
        <v/>
      </c>
      <c r="L89" s="23">
        <f>K89*$C$24</f>
        <v/>
      </c>
      <c r="M89" s="23">
        <f>L89*$C$24</f>
        <v/>
      </c>
      <c r="N89" s="23">
        <f>M89*$C$24</f>
        <v/>
      </c>
      <c r="O89" s="23">
        <f>N89*$C$24</f>
        <v/>
      </c>
      <c r="P89" s="23">
        <f>O89*$C$24</f>
        <v/>
      </c>
      <c r="Q89" s="23">
        <f>P89*$C$24</f>
        <v/>
      </c>
      <c r="R89" s="23">
        <f>Q89*$C$24</f>
        <v/>
      </c>
      <c r="S89" s="23">
        <f>R89*$C$24</f>
        <v/>
      </c>
      <c r="T89" s="23">
        <f>S89*$C$24</f>
        <v/>
      </c>
      <c r="U89" s="23">
        <f>T89*$C$24</f>
        <v/>
      </c>
      <c r="V89" s="23">
        <f>U89*$C$24</f>
        <v/>
      </c>
      <c r="W89" s="23">
        <f>V89*$C$24</f>
        <v/>
      </c>
      <c r="X89" s="23">
        <f>W89*$C$24</f>
        <v/>
      </c>
      <c r="Y89" s="23">
        <f>X89*$C$24</f>
        <v/>
      </c>
      <c r="Z89" s="23">
        <f>Y89*$C$24</f>
        <v/>
      </c>
      <c r="AA89" s="23">
        <f>Z89*$C$24</f>
        <v/>
      </c>
      <c r="AB89" s="23">
        <f>AA89*$C$24</f>
        <v/>
      </c>
      <c r="AC89" s="23">
        <f>AB89*$C$24</f>
        <v/>
      </c>
      <c r="AD89" s="23">
        <f>AC89*$C$24</f>
        <v/>
      </c>
      <c r="AE89" s="23">
        <f>AD89*$C$24</f>
        <v/>
      </c>
      <c r="AF89" s="23">
        <f>AE89*$C$24</f>
        <v/>
      </c>
      <c r="AG89" s="23">
        <f>AF89*$C$24</f>
        <v/>
      </c>
      <c r="AH89" s="23">
        <f>AG89*$C$24</f>
        <v/>
      </c>
      <c r="AI89" s="23">
        <f>AH89*$C$24</f>
        <v/>
      </c>
      <c r="AJ89" s="23">
        <f>AI89*$C$24</f>
        <v/>
      </c>
      <c r="AK89" s="23">
        <f>AJ89*$C$24</f>
        <v/>
      </c>
      <c r="AL89" s="23">
        <f>AK89*$C$24</f>
        <v/>
      </c>
      <c r="AM89" s="23">
        <f>AL89*$C$24</f>
        <v/>
      </c>
      <c r="AN89" s="23">
        <f>AM89*$C$24</f>
        <v/>
      </c>
      <c r="AO89" s="23">
        <f>AN89*$C$24</f>
        <v/>
      </c>
      <c r="AP89" s="23">
        <f>AO89*$C$24</f>
        <v/>
      </c>
      <c r="AQ89" s="23">
        <f>AP89*$C$24</f>
        <v/>
      </c>
      <c r="AR89" s="23">
        <f>AQ89*$C$24</f>
        <v/>
      </c>
      <c r="AS89" s="23">
        <f>AR89*$C$24</f>
        <v/>
      </c>
      <c r="AT89" s="23">
        <f>AS89*$C$24</f>
        <v/>
      </c>
      <c r="AU89" s="23">
        <f>AT89*$C$24</f>
        <v/>
      </c>
    </row>
    <row r="91">
      <c r="A91" s="10" t="inlineStr">
        <is>
          <t>Ordini e rimborsi per cliente iniziale, per mese di età (0 = mese dell'acquisto)</t>
        </is>
      </c>
    </row>
    <row r="92">
      <c r="A92" s="3" t="inlineStr">
        <is>
          <t>Età (mesi)</t>
        </is>
      </c>
      <c r="C92" t="n">
        <v>0</v>
      </c>
      <c r="D92" t="n">
        <v>1</v>
      </c>
      <c r="E92" t="n">
        <v>2</v>
      </c>
      <c r="F92" t="n">
        <v>3</v>
      </c>
      <c r="G92" t="n">
        <v>4</v>
      </c>
      <c r="H92" t="n">
        <v>5</v>
      </c>
      <c r="I92" t="n">
        <v>6</v>
      </c>
      <c r="J92" t="n">
        <v>7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13</v>
      </c>
      <c r="Q92" t="n">
        <v>14</v>
      </c>
      <c r="R92" t="n">
        <v>15</v>
      </c>
      <c r="S92" t="n">
        <v>16</v>
      </c>
      <c r="T92" t="n">
        <v>17</v>
      </c>
      <c r="U92" t="n">
        <v>18</v>
      </c>
      <c r="V92" t="n">
        <v>19</v>
      </c>
      <c r="W92" t="n">
        <v>20</v>
      </c>
      <c r="X92" t="n">
        <v>21</v>
      </c>
      <c r="Y92" t="n">
        <v>22</v>
      </c>
      <c r="Z92" t="n">
        <v>23</v>
      </c>
      <c r="AA92" t="n">
        <v>24</v>
      </c>
      <c r="AB92" t="n">
        <v>25</v>
      </c>
      <c r="AC92" t="n">
        <v>26</v>
      </c>
      <c r="AD92" t="n">
        <v>27</v>
      </c>
      <c r="AE92" t="n">
        <v>28</v>
      </c>
      <c r="AF92" t="n">
        <v>29</v>
      </c>
      <c r="AG92" t="n">
        <v>30</v>
      </c>
      <c r="AH92" t="n">
        <v>31</v>
      </c>
      <c r="AI92" t="n">
        <v>32</v>
      </c>
      <c r="AJ92" t="n">
        <v>33</v>
      </c>
      <c r="AK92" t="n">
        <v>34</v>
      </c>
      <c r="AL92" t="n">
        <v>35</v>
      </c>
    </row>
    <row r="93">
      <c r="A93" s="3" t="inlineStr">
        <is>
          <t>Percorso 6: ordini</t>
        </is>
      </c>
      <c r="C93" s="23">
        <f>IF(C92=0,1,IF(MOD(C92,6)=0,$C$12*(1-$C$13)*$C$14*$C$15^(C92/6-1),0))</f>
        <v/>
      </c>
      <c r="D93" s="23">
        <f>IF(D92=0,1,IF(MOD(D92,6)=0,$C$12*(1-$C$13)*$C$14*$C$15^(D92/6-1),0))</f>
        <v/>
      </c>
      <c r="E93" s="23">
        <f>IF(E92=0,1,IF(MOD(E92,6)=0,$C$12*(1-$C$13)*$C$14*$C$15^(E92/6-1),0))</f>
        <v/>
      </c>
      <c r="F93" s="23">
        <f>IF(F92=0,1,IF(MOD(F92,6)=0,$C$12*(1-$C$13)*$C$14*$C$15^(F92/6-1),0))</f>
        <v/>
      </c>
      <c r="G93" s="23">
        <f>IF(G92=0,1,IF(MOD(G92,6)=0,$C$12*(1-$C$13)*$C$14*$C$15^(G92/6-1),0))</f>
        <v/>
      </c>
      <c r="H93" s="23">
        <f>IF(H92=0,1,IF(MOD(H92,6)=0,$C$12*(1-$C$13)*$C$14*$C$15^(H92/6-1),0))</f>
        <v/>
      </c>
      <c r="I93" s="23">
        <f>IF(I92=0,1,IF(MOD(I92,6)=0,$C$12*(1-$C$13)*$C$14*$C$15^(I92/6-1),0))</f>
        <v/>
      </c>
      <c r="J93" s="23">
        <f>IF(J92=0,1,IF(MOD(J92,6)=0,$C$12*(1-$C$13)*$C$14*$C$15^(J92/6-1),0))</f>
        <v/>
      </c>
      <c r="K93" s="23">
        <f>IF(K92=0,1,IF(MOD(K92,6)=0,$C$12*(1-$C$13)*$C$14*$C$15^(K92/6-1),0))</f>
        <v/>
      </c>
      <c r="L93" s="23">
        <f>IF(L92=0,1,IF(MOD(L92,6)=0,$C$12*(1-$C$13)*$C$14*$C$15^(L92/6-1),0))</f>
        <v/>
      </c>
      <c r="M93" s="23">
        <f>IF(M92=0,1,IF(MOD(M92,6)=0,$C$12*(1-$C$13)*$C$14*$C$15^(M92/6-1),0))</f>
        <v/>
      </c>
      <c r="N93" s="23">
        <f>IF(N92=0,1,IF(MOD(N92,6)=0,$C$12*(1-$C$13)*$C$14*$C$15^(N92/6-1),0))</f>
        <v/>
      </c>
      <c r="O93" s="23">
        <f>IF(O92=0,1,IF(MOD(O92,6)=0,$C$12*(1-$C$13)*$C$14*$C$15^(O92/6-1),0))</f>
        <v/>
      </c>
      <c r="P93" s="23">
        <f>IF(P92=0,1,IF(MOD(P92,6)=0,$C$12*(1-$C$13)*$C$14*$C$15^(P92/6-1),0))</f>
        <v/>
      </c>
      <c r="Q93" s="23">
        <f>IF(Q92=0,1,IF(MOD(Q92,6)=0,$C$12*(1-$C$13)*$C$14*$C$15^(Q92/6-1),0))</f>
        <v/>
      </c>
      <c r="R93" s="23">
        <f>IF(R92=0,1,IF(MOD(R92,6)=0,$C$12*(1-$C$13)*$C$14*$C$15^(R92/6-1),0))</f>
        <v/>
      </c>
      <c r="S93" s="23">
        <f>IF(S92=0,1,IF(MOD(S92,6)=0,$C$12*(1-$C$13)*$C$14*$C$15^(S92/6-1),0))</f>
        <v/>
      </c>
      <c r="T93" s="23">
        <f>IF(T92=0,1,IF(MOD(T92,6)=0,$C$12*(1-$C$13)*$C$14*$C$15^(T92/6-1),0))</f>
        <v/>
      </c>
      <c r="U93" s="23">
        <f>IF(U92=0,1,IF(MOD(U92,6)=0,$C$12*(1-$C$13)*$C$14*$C$15^(U92/6-1),0))</f>
        <v/>
      </c>
      <c r="V93" s="23">
        <f>IF(V92=0,1,IF(MOD(V92,6)=0,$C$12*(1-$C$13)*$C$14*$C$15^(V92/6-1),0))</f>
        <v/>
      </c>
      <c r="W93" s="23">
        <f>IF(W92=0,1,IF(MOD(W92,6)=0,$C$12*(1-$C$13)*$C$14*$C$15^(W92/6-1),0))</f>
        <v/>
      </c>
      <c r="X93" s="23">
        <f>IF(X92=0,1,IF(MOD(X92,6)=0,$C$12*(1-$C$13)*$C$14*$C$15^(X92/6-1),0))</f>
        <v/>
      </c>
      <c r="Y93" s="23">
        <f>IF(Y92=0,1,IF(MOD(Y92,6)=0,$C$12*(1-$C$13)*$C$14*$C$15^(Y92/6-1),0))</f>
        <v/>
      </c>
      <c r="Z93" s="23">
        <f>IF(Z92=0,1,IF(MOD(Z92,6)=0,$C$12*(1-$C$13)*$C$14*$C$15^(Z92/6-1),0))</f>
        <v/>
      </c>
      <c r="AA93" s="23">
        <f>IF(AA92=0,1,IF(MOD(AA92,6)=0,$C$12*(1-$C$13)*$C$14*$C$15^(AA92/6-1),0))</f>
        <v/>
      </c>
      <c r="AB93" s="23">
        <f>IF(AB92=0,1,IF(MOD(AB92,6)=0,$C$12*(1-$C$13)*$C$14*$C$15^(AB92/6-1),0))</f>
        <v/>
      </c>
      <c r="AC93" s="23">
        <f>IF(AC92=0,1,IF(MOD(AC92,6)=0,$C$12*(1-$C$13)*$C$14*$C$15^(AC92/6-1),0))</f>
        <v/>
      </c>
      <c r="AD93" s="23">
        <f>IF(AD92=0,1,IF(MOD(AD92,6)=0,$C$12*(1-$C$13)*$C$14*$C$15^(AD92/6-1),0))</f>
        <v/>
      </c>
      <c r="AE93" s="23">
        <f>IF(AE92=0,1,IF(MOD(AE92,6)=0,$C$12*(1-$C$13)*$C$14*$C$15^(AE92/6-1),0))</f>
        <v/>
      </c>
      <c r="AF93" s="23">
        <f>IF(AF92=0,1,IF(MOD(AF92,6)=0,$C$12*(1-$C$13)*$C$14*$C$15^(AF92/6-1),0))</f>
        <v/>
      </c>
      <c r="AG93" s="23">
        <f>IF(AG92=0,1,IF(MOD(AG92,6)=0,$C$12*(1-$C$13)*$C$14*$C$15^(AG92/6-1),0))</f>
        <v/>
      </c>
      <c r="AH93" s="23">
        <f>IF(AH92=0,1,IF(MOD(AH92,6)=0,$C$12*(1-$C$13)*$C$14*$C$15^(AH92/6-1),0))</f>
        <v/>
      </c>
      <c r="AI93" s="23">
        <f>IF(AI92=0,1,IF(MOD(AI92,6)=0,$C$12*(1-$C$13)*$C$14*$C$15^(AI92/6-1),0))</f>
        <v/>
      </c>
      <c r="AJ93" s="23">
        <f>IF(AJ92=0,1,IF(MOD(AJ92,6)=0,$C$12*(1-$C$13)*$C$14*$C$15^(AJ92/6-1),0))</f>
        <v/>
      </c>
      <c r="AK93" s="23">
        <f>IF(AK92=0,1,IF(MOD(AK92,6)=0,$C$12*(1-$C$13)*$C$14*$C$15^(AK92/6-1),0))</f>
        <v/>
      </c>
      <c r="AL93" s="23">
        <f>IF(AL92=0,1,IF(MOD(AL92,6)=0,$C$12*(1-$C$13)*$C$14*$C$15^(AL92/6-1),0))</f>
        <v/>
      </c>
    </row>
    <row r="94">
      <c r="A94" s="3" t="inlineStr">
        <is>
          <t>Percorso 6: rimborsi di garanzia</t>
        </is>
      </c>
      <c r="C94" s="23">
        <f>IF(OR(C92=5,C92=6),$C$12*$C$13/2,0)</f>
        <v/>
      </c>
      <c r="D94" s="23">
        <f>IF(OR(D92=5,D92=6),$C$12*$C$13/2,0)</f>
        <v/>
      </c>
      <c r="E94" s="23">
        <f>IF(OR(E92=5,E92=6),$C$12*$C$13/2,0)</f>
        <v/>
      </c>
      <c r="F94" s="23">
        <f>IF(OR(F92=5,F92=6),$C$12*$C$13/2,0)</f>
        <v/>
      </c>
      <c r="G94" s="23">
        <f>IF(OR(G92=5,G92=6),$C$12*$C$13/2,0)</f>
        <v/>
      </c>
      <c r="H94" s="23">
        <f>IF(OR(H92=5,H92=6),$C$12*$C$13/2,0)</f>
        <v/>
      </c>
      <c r="I94" s="23">
        <f>IF(OR(I92=5,I92=6),$C$12*$C$13/2,0)</f>
        <v/>
      </c>
      <c r="J94" s="23">
        <f>IF(OR(J92=5,J92=6),$C$12*$C$13/2,0)</f>
        <v/>
      </c>
      <c r="K94" s="23">
        <f>IF(OR(K92=5,K92=6),$C$12*$C$13/2,0)</f>
        <v/>
      </c>
      <c r="L94" s="23">
        <f>IF(OR(L92=5,L92=6),$C$12*$C$13/2,0)</f>
        <v/>
      </c>
      <c r="M94" s="23">
        <f>IF(OR(M92=5,M92=6),$C$12*$C$13/2,0)</f>
        <v/>
      </c>
      <c r="N94" s="23">
        <f>IF(OR(N92=5,N92=6),$C$12*$C$13/2,0)</f>
        <v/>
      </c>
      <c r="O94" s="23">
        <f>IF(OR(O92=5,O92=6),$C$12*$C$13/2,0)</f>
        <v/>
      </c>
      <c r="P94" s="23">
        <f>IF(OR(P92=5,P92=6),$C$12*$C$13/2,0)</f>
        <v/>
      </c>
      <c r="Q94" s="23">
        <f>IF(OR(Q92=5,Q92=6),$C$12*$C$13/2,0)</f>
        <v/>
      </c>
      <c r="R94" s="23">
        <f>IF(OR(R92=5,R92=6),$C$12*$C$13/2,0)</f>
        <v/>
      </c>
      <c r="S94" s="23">
        <f>IF(OR(S92=5,S92=6),$C$12*$C$13/2,0)</f>
        <v/>
      </c>
      <c r="T94" s="23">
        <f>IF(OR(T92=5,T92=6),$C$12*$C$13/2,0)</f>
        <v/>
      </c>
      <c r="U94" s="23">
        <f>IF(OR(U92=5,U92=6),$C$12*$C$13/2,0)</f>
        <v/>
      </c>
      <c r="V94" s="23">
        <f>IF(OR(V92=5,V92=6),$C$12*$C$13/2,0)</f>
        <v/>
      </c>
      <c r="W94" s="23">
        <f>IF(OR(W92=5,W92=6),$C$12*$C$13/2,0)</f>
        <v/>
      </c>
      <c r="X94" s="23">
        <f>IF(OR(X92=5,X92=6),$C$12*$C$13/2,0)</f>
        <v/>
      </c>
      <c r="Y94" s="23">
        <f>IF(OR(Y92=5,Y92=6),$C$12*$C$13/2,0)</f>
        <v/>
      </c>
      <c r="Z94" s="23">
        <f>IF(OR(Z92=5,Z92=6),$C$12*$C$13/2,0)</f>
        <v/>
      </c>
      <c r="AA94" s="23">
        <f>IF(OR(AA92=5,AA92=6),$C$12*$C$13/2,0)</f>
        <v/>
      </c>
      <c r="AB94" s="23">
        <f>IF(OR(AB92=5,AB92=6),$C$12*$C$13/2,0)</f>
        <v/>
      </c>
      <c r="AC94" s="23">
        <f>IF(OR(AC92=5,AC92=6),$C$12*$C$13/2,0)</f>
        <v/>
      </c>
      <c r="AD94" s="23">
        <f>IF(OR(AD92=5,AD92=6),$C$12*$C$13/2,0)</f>
        <v/>
      </c>
      <c r="AE94" s="23">
        <f>IF(OR(AE92=5,AE92=6),$C$12*$C$13/2,0)</f>
        <v/>
      </c>
      <c r="AF94" s="23">
        <f>IF(OR(AF92=5,AF92=6),$C$12*$C$13/2,0)</f>
        <v/>
      </c>
      <c r="AG94" s="23">
        <f>IF(OR(AG92=5,AG92=6),$C$12*$C$13/2,0)</f>
        <v/>
      </c>
      <c r="AH94" s="23">
        <f>IF(OR(AH92=5,AH92=6),$C$12*$C$13/2,0)</f>
        <v/>
      </c>
      <c r="AI94" s="23">
        <f>IF(OR(AI92=5,AI92=6),$C$12*$C$13/2,0)</f>
        <v/>
      </c>
      <c r="AJ94" s="23">
        <f>IF(OR(AJ92=5,AJ92=6),$C$12*$C$13/2,0)</f>
        <v/>
      </c>
      <c r="AK94" s="23">
        <f>IF(OR(AK92=5,AK92=6),$C$12*$C$13/2,0)</f>
        <v/>
      </c>
      <c r="AL94" s="23">
        <f>IF(OR(AL92=5,AL92=6),$C$12*$C$13/2,0)</f>
        <v/>
      </c>
    </row>
    <row r="95">
      <c r="A95" s="3" t="inlineStr">
        <is>
          <t>Percorso 3: ordini</t>
        </is>
      </c>
      <c r="C95" s="23">
        <f>IF(C92=0,1,IF(MOD(C92,3)=0,$C$16*$C$17^(C92/3-1),0))</f>
        <v/>
      </c>
      <c r="D95" s="23">
        <f>IF(D92=0,1,IF(MOD(D92,3)=0,$C$16*$C$17^(D92/3-1),0))</f>
        <v/>
      </c>
      <c r="E95" s="23">
        <f>IF(E92=0,1,IF(MOD(E92,3)=0,$C$16*$C$17^(E92/3-1),0))</f>
        <v/>
      </c>
      <c r="F95" s="23">
        <f>IF(F92=0,1,IF(MOD(F92,3)=0,$C$16*$C$17^(F92/3-1),0))</f>
        <v/>
      </c>
      <c r="G95" s="23">
        <f>IF(G92=0,1,IF(MOD(G92,3)=0,$C$16*$C$17^(G92/3-1),0))</f>
        <v/>
      </c>
      <c r="H95" s="23">
        <f>IF(H92=0,1,IF(MOD(H92,3)=0,$C$16*$C$17^(H92/3-1),0))</f>
        <v/>
      </c>
      <c r="I95" s="23">
        <f>IF(I92=0,1,IF(MOD(I92,3)=0,$C$16*$C$17^(I92/3-1),0))</f>
        <v/>
      </c>
      <c r="J95" s="23">
        <f>IF(J92=0,1,IF(MOD(J92,3)=0,$C$16*$C$17^(J92/3-1),0))</f>
        <v/>
      </c>
      <c r="K95" s="23">
        <f>IF(K92=0,1,IF(MOD(K92,3)=0,$C$16*$C$17^(K92/3-1),0))</f>
        <v/>
      </c>
      <c r="L95" s="23">
        <f>IF(L92=0,1,IF(MOD(L92,3)=0,$C$16*$C$17^(L92/3-1),0))</f>
        <v/>
      </c>
      <c r="M95" s="23">
        <f>IF(M92=0,1,IF(MOD(M92,3)=0,$C$16*$C$17^(M92/3-1),0))</f>
        <v/>
      </c>
      <c r="N95" s="23">
        <f>IF(N92=0,1,IF(MOD(N92,3)=0,$C$16*$C$17^(N92/3-1),0))</f>
        <v/>
      </c>
      <c r="O95" s="23">
        <f>IF(O92=0,1,IF(MOD(O92,3)=0,$C$16*$C$17^(O92/3-1),0))</f>
        <v/>
      </c>
      <c r="P95" s="23">
        <f>IF(P92=0,1,IF(MOD(P92,3)=0,$C$16*$C$17^(P92/3-1),0))</f>
        <v/>
      </c>
      <c r="Q95" s="23">
        <f>IF(Q92=0,1,IF(MOD(Q92,3)=0,$C$16*$C$17^(Q92/3-1),0))</f>
        <v/>
      </c>
      <c r="R95" s="23">
        <f>IF(R92=0,1,IF(MOD(R92,3)=0,$C$16*$C$17^(R92/3-1),0))</f>
        <v/>
      </c>
      <c r="S95" s="23">
        <f>IF(S92=0,1,IF(MOD(S92,3)=0,$C$16*$C$17^(S92/3-1),0))</f>
        <v/>
      </c>
      <c r="T95" s="23">
        <f>IF(T92=0,1,IF(MOD(T92,3)=0,$C$16*$C$17^(T92/3-1),0))</f>
        <v/>
      </c>
      <c r="U95" s="23">
        <f>IF(U92=0,1,IF(MOD(U92,3)=0,$C$16*$C$17^(U92/3-1),0))</f>
        <v/>
      </c>
      <c r="V95" s="23">
        <f>IF(V92=0,1,IF(MOD(V92,3)=0,$C$16*$C$17^(V92/3-1),0))</f>
        <v/>
      </c>
      <c r="W95" s="23">
        <f>IF(W92=0,1,IF(MOD(W92,3)=0,$C$16*$C$17^(W92/3-1),0))</f>
        <v/>
      </c>
      <c r="X95" s="23">
        <f>IF(X92=0,1,IF(MOD(X92,3)=0,$C$16*$C$17^(X92/3-1),0))</f>
        <v/>
      </c>
      <c r="Y95" s="23">
        <f>IF(Y92=0,1,IF(MOD(Y92,3)=0,$C$16*$C$17^(Y92/3-1),0))</f>
        <v/>
      </c>
      <c r="Z95" s="23">
        <f>IF(Z92=0,1,IF(MOD(Z92,3)=0,$C$16*$C$17^(Z92/3-1),0))</f>
        <v/>
      </c>
      <c r="AA95" s="23">
        <f>IF(AA92=0,1,IF(MOD(AA92,3)=0,$C$16*$C$17^(AA92/3-1),0))</f>
        <v/>
      </c>
      <c r="AB95" s="23">
        <f>IF(AB92=0,1,IF(MOD(AB92,3)=0,$C$16*$C$17^(AB92/3-1),0))</f>
        <v/>
      </c>
      <c r="AC95" s="23">
        <f>IF(AC92=0,1,IF(MOD(AC92,3)=0,$C$16*$C$17^(AC92/3-1),0))</f>
        <v/>
      </c>
      <c r="AD95" s="23">
        <f>IF(AD92=0,1,IF(MOD(AD92,3)=0,$C$16*$C$17^(AD92/3-1),0))</f>
        <v/>
      </c>
      <c r="AE95" s="23">
        <f>IF(AE92=0,1,IF(MOD(AE92,3)=0,$C$16*$C$17^(AE92/3-1),0))</f>
        <v/>
      </c>
      <c r="AF95" s="23">
        <f>IF(AF92=0,1,IF(MOD(AF92,3)=0,$C$16*$C$17^(AF92/3-1),0))</f>
        <v/>
      </c>
      <c r="AG95" s="23">
        <f>IF(AG92=0,1,IF(MOD(AG92,3)=0,$C$16*$C$17^(AG92/3-1),0))</f>
        <v/>
      </c>
      <c r="AH95" s="23">
        <f>IF(AH92=0,1,IF(MOD(AH92,3)=0,$C$16*$C$17^(AH92/3-1),0))</f>
        <v/>
      </c>
      <c r="AI95" s="23">
        <f>IF(AI92=0,1,IF(MOD(AI92,3)=0,$C$16*$C$17^(AI92/3-1),0))</f>
        <v/>
      </c>
      <c r="AJ95" s="23">
        <f>IF(AJ92=0,1,IF(MOD(AJ92,3)=0,$C$16*$C$17^(AJ92/3-1),0))</f>
        <v/>
      </c>
      <c r="AK95" s="23">
        <f>IF(AK92=0,1,IF(MOD(AK92,3)=0,$C$16*$C$17^(AK92/3-1),0))</f>
        <v/>
      </c>
      <c r="AL95" s="23">
        <f>IF(AL92=0,1,IF(MOD(AL92,3)=0,$C$16*$C$17^(AL92/3-1),0))</f>
        <v/>
      </c>
    </row>
    <row r="96">
      <c r="A96" s="3" t="inlineStr">
        <is>
          <t>Abbonamento: ordini</t>
        </is>
      </c>
      <c r="C96" s="23">
        <f>SUMIF($C$86:$AU$86,C92,$C$87:$AU$87)</f>
        <v/>
      </c>
      <c r="D96" s="23">
        <f>SUMIF($C$86:$AU$86,D92,$C$87:$AU$87)</f>
        <v/>
      </c>
      <c r="E96" s="23">
        <f>SUMIF($C$86:$AU$86,E92,$C$87:$AU$87)</f>
        <v/>
      </c>
      <c r="F96" s="23">
        <f>SUMIF($C$86:$AU$86,F92,$C$87:$AU$87)</f>
        <v/>
      </c>
      <c r="G96" s="23">
        <f>SUMIF($C$86:$AU$86,G92,$C$87:$AU$87)</f>
        <v/>
      </c>
      <c r="H96" s="23">
        <f>SUMIF($C$86:$AU$86,H92,$C$87:$AU$87)</f>
        <v/>
      </c>
      <c r="I96" s="23">
        <f>SUMIF($C$86:$AU$86,I92,$C$87:$AU$87)</f>
        <v/>
      </c>
      <c r="J96" s="23">
        <f>SUMIF($C$86:$AU$86,J92,$C$87:$AU$87)</f>
        <v/>
      </c>
      <c r="K96" s="23">
        <f>SUMIF($C$86:$AU$86,K92,$C$87:$AU$87)</f>
        <v/>
      </c>
      <c r="L96" s="23">
        <f>SUMIF($C$86:$AU$86,L92,$C$87:$AU$87)</f>
        <v/>
      </c>
      <c r="M96" s="23">
        <f>SUMIF($C$86:$AU$86,M92,$C$87:$AU$87)</f>
        <v/>
      </c>
      <c r="N96" s="23">
        <f>SUMIF($C$86:$AU$86,N92,$C$87:$AU$87)</f>
        <v/>
      </c>
      <c r="O96" s="23">
        <f>SUMIF($C$86:$AU$86,O92,$C$87:$AU$87)</f>
        <v/>
      </c>
      <c r="P96" s="23">
        <f>SUMIF($C$86:$AU$86,P92,$C$87:$AU$87)</f>
        <v/>
      </c>
      <c r="Q96" s="23">
        <f>SUMIF($C$86:$AU$86,Q92,$C$87:$AU$87)</f>
        <v/>
      </c>
      <c r="R96" s="23">
        <f>SUMIF($C$86:$AU$86,R92,$C$87:$AU$87)</f>
        <v/>
      </c>
      <c r="S96" s="23">
        <f>SUMIF($C$86:$AU$86,S92,$C$87:$AU$87)</f>
        <v/>
      </c>
      <c r="T96" s="23">
        <f>SUMIF($C$86:$AU$86,T92,$C$87:$AU$87)</f>
        <v/>
      </c>
      <c r="U96" s="23">
        <f>SUMIF($C$86:$AU$86,U92,$C$87:$AU$87)</f>
        <v/>
      </c>
      <c r="V96" s="23">
        <f>SUMIF($C$86:$AU$86,V92,$C$87:$AU$87)</f>
        <v/>
      </c>
      <c r="W96" s="23">
        <f>SUMIF($C$86:$AU$86,W92,$C$87:$AU$87)</f>
        <v/>
      </c>
      <c r="X96" s="23">
        <f>SUMIF($C$86:$AU$86,X92,$C$87:$AU$87)</f>
        <v/>
      </c>
      <c r="Y96" s="23">
        <f>SUMIF($C$86:$AU$86,Y92,$C$87:$AU$87)</f>
        <v/>
      </c>
      <c r="Z96" s="23">
        <f>SUMIF($C$86:$AU$86,Z92,$C$87:$AU$87)</f>
        <v/>
      </c>
      <c r="AA96" s="23">
        <f>SUMIF($C$86:$AU$86,AA92,$C$87:$AU$87)</f>
        <v/>
      </c>
      <c r="AB96" s="23">
        <f>SUMIF($C$86:$AU$86,AB92,$C$87:$AU$87)</f>
        <v/>
      </c>
      <c r="AC96" s="23">
        <f>SUMIF($C$86:$AU$86,AC92,$C$87:$AU$87)</f>
        <v/>
      </c>
      <c r="AD96" s="23">
        <f>SUMIF($C$86:$AU$86,AD92,$C$87:$AU$87)</f>
        <v/>
      </c>
      <c r="AE96" s="23">
        <f>SUMIF($C$86:$AU$86,AE92,$C$87:$AU$87)</f>
        <v/>
      </c>
      <c r="AF96" s="23">
        <f>SUMIF($C$86:$AU$86,AF92,$C$87:$AU$87)</f>
        <v/>
      </c>
      <c r="AG96" s="23">
        <f>SUMIF($C$86:$AU$86,AG92,$C$87:$AU$87)</f>
        <v/>
      </c>
      <c r="AH96" s="23">
        <f>SUMIF($C$86:$AU$86,AH92,$C$87:$AU$87)</f>
        <v/>
      </c>
      <c r="AI96" s="23">
        <f>SUMIF($C$86:$AU$86,AI92,$C$87:$AU$87)</f>
        <v/>
      </c>
      <c r="AJ96" s="23">
        <f>SUMIF($C$86:$AU$86,AJ92,$C$87:$AU$87)</f>
        <v/>
      </c>
      <c r="AK96" s="23">
        <f>SUMIF($C$86:$AU$86,AK92,$C$87:$AU$87)</f>
        <v/>
      </c>
      <c r="AL96" s="23">
        <f>SUMIF($C$86:$AU$86,AL92,$C$87:$AU$87)</f>
        <v/>
      </c>
    </row>
    <row r="97">
      <c r="A97" s="3" t="inlineStr">
        <is>
          <t>Singolo: ordini</t>
        </is>
      </c>
      <c r="C97" s="23">
        <f>SUMIF($C$88:$AU$88,C92,$C$89:$AU$89)</f>
        <v/>
      </c>
      <c r="D97" s="23">
        <f>SUMIF($C$88:$AU$88,D92,$C$89:$AU$89)</f>
        <v/>
      </c>
      <c r="E97" s="23">
        <f>SUMIF($C$88:$AU$88,E92,$C$89:$AU$89)</f>
        <v/>
      </c>
      <c r="F97" s="23">
        <f>SUMIF($C$88:$AU$88,F92,$C$89:$AU$89)</f>
        <v/>
      </c>
      <c r="G97" s="23">
        <f>SUMIF($C$88:$AU$88,G92,$C$89:$AU$89)</f>
        <v/>
      </c>
      <c r="H97" s="23">
        <f>SUMIF($C$88:$AU$88,H92,$C$89:$AU$89)</f>
        <v/>
      </c>
      <c r="I97" s="23">
        <f>SUMIF($C$88:$AU$88,I92,$C$89:$AU$89)</f>
        <v/>
      </c>
      <c r="J97" s="23">
        <f>SUMIF($C$88:$AU$88,J92,$C$89:$AU$89)</f>
        <v/>
      </c>
      <c r="K97" s="23">
        <f>SUMIF($C$88:$AU$88,K92,$C$89:$AU$89)</f>
        <v/>
      </c>
      <c r="L97" s="23">
        <f>SUMIF($C$88:$AU$88,L92,$C$89:$AU$89)</f>
        <v/>
      </c>
      <c r="M97" s="23">
        <f>SUMIF($C$88:$AU$88,M92,$C$89:$AU$89)</f>
        <v/>
      </c>
      <c r="N97" s="23">
        <f>SUMIF($C$88:$AU$88,N92,$C$89:$AU$89)</f>
        <v/>
      </c>
      <c r="O97" s="23">
        <f>SUMIF($C$88:$AU$88,O92,$C$89:$AU$89)</f>
        <v/>
      </c>
      <c r="P97" s="23">
        <f>SUMIF($C$88:$AU$88,P92,$C$89:$AU$89)</f>
        <v/>
      </c>
      <c r="Q97" s="23">
        <f>SUMIF($C$88:$AU$88,Q92,$C$89:$AU$89)</f>
        <v/>
      </c>
      <c r="R97" s="23">
        <f>SUMIF($C$88:$AU$88,R92,$C$89:$AU$89)</f>
        <v/>
      </c>
      <c r="S97" s="23">
        <f>SUMIF($C$88:$AU$88,S92,$C$89:$AU$89)</f>
        <v/>
      </c>
      <c r="T97" s="23">
        <f>SUMIF($C$88:$AU$88,T92,$C$89:$AU$89)</f>
        <v/>
      </c>
      <c r="U97" s="23">
        <f>SUMIF($C$88:$AU$88,U92,$C$89:$AU$89)</f>
        <v/>
      </c>
      <c r="V97" s="23">
        <f>SUMIF($C$88:$AU$88,V92,$C$89:$AU$89)</f>
        <v/>
      </c>
      <c r="W97" s="23">
        <f>SUMIF($C$88:$AU$88,W92,$C$89:$AU$89)</f>
        <v/>
      </c>
      <c r="X97" s="23">
        <f>SUMIF($C$88:$AU$88,X92,$C$89:$AU$89)</f>
        <v/>
      </c>
      <c r="Y97" s="23">
        <f>SUMIF($C$88:$AU$88,Y92,$C$89:$AU$89)</f>
        <v/>
      </c>
      <c r="Z97" s="23">
        <f>SUMIF($C$88:$AU$88,Z92,$C$89:$AU$89)</f>
        <v/>
      </c>
      <c r="AA97" s="23">
        <f>SUMIF($C$88:$AU$88,AA92,$C$89:$AU$89)</f>
        <v/>
      </c>
      <c r="AB97" s="23">
        <f>SUMIF($C$88:$AU$88,AB92,$C$89:$AU$89)</f>
        <v/>
      </c>
      <c r="AC97" s="23">
        <f>SUMIF($C$88:$AU$88,AC92,$C$89:$AU$89)</f>
        <v/>
      </c>
      <c r="AD97" s="23">
        <f>SUMIF($C$88:$AU$88,AD92,$C$89:$AU$89)</f>
        <v/>
      </c>
      <c r="AE97" s="23">
        <f>SUMIF($C$88:$AU$88,AE92,$C$89:$AU$89)</f>
        <v/>
      </c>
      <c r="AF97" s="23">
        <f>SUMIF($C$88:$AU$88,AF92,$C$89:$AU$89)</f>
        <v/>
      </c>
      <c r="AG97" s="23">
        <f>SUMIF($C$88:$AU$88,AG92,$C$89:$AU$89)</f>
        <v/>
      </c>
      <c r="AH97" s="23">
        <f>SUMIF($C$88:$AU$88,AH92,$C$89:$AU$89)</f>
        <v/>
      </c>
      <c r="AI97" s="23">
        <f>SUMIF($C$88:$AU$88,AI92,$C$89:$AU$89)</f>
        <v/>
      </c>
      <c r="AJ97" s="23">
        <f>SUMIF($C$88:$AU$88,AJ92,$C$89:$AU$89)</f>
        <v/>
      </c>
      <c r="AK97" s="23">
        <f>SUMIF($C$88:$AU$88,AK92,$C$89:$AU$89)</f>
        <v/>
      </c>
      <c r="AL97" s="23">
        <f>SUMIF($C$88:$AU$88,AL92,$C$89:$AU$89)</f>
        <v/>
      </c>
    </row>
    <row r="98">
      <c r="A98" s="3" t="inlineStr">
        <is>
          <t>Percorso 6: contribuzione cumulata</t>
        </is>
      </c>
      <c r="B98" s="4" t="inlineStr">
        <is>
          <t>€</t>
        </is>
      </c>
      <c r="C98" s="13">
        <f>$H$82+(C93-1)*$C$82-C94*$H$77</f>
        <v/>
      </c>
      <c r="D98" s="13">
        <f>C98+D93*$C$82-D94*$H$77</f>
        <v/>
      </c>
      <c r="E98" s="13">
        <f>D98+E93*$C$82-E94*$H$77</f>
        <v/>
      </c>
      <c r="F98" s="13">
        <f>E98+F93*$C$82-F94*$H$77</f>
        <v/>
      </c>
      <c r="G98" s="13">
        <f>F98+G93*$C$82-G94*$H$77</f>
        <v/>
      </c>
      <c r="H98" s="13">
        <f>G98+H93*$C$82-H94*$H$77</f>
        <v/>
      </c>
      <c r="I98" s="13">
        <f>H98+I93*$C$82-I94*$H$77</f>
        <v/>
      </c>
      <c r="J98" s="13">
        <f>I98+J93*$C$82-J94*$H$77</f>
        <v/>
      </c>
      <c r="K98" s="13">
        <f>J98+K93*$C$82-K94*$H$77</f>
        <v/>
      </c>
      <c r="L98" s="13">
        <f>K98+L93*$C$82-L94*$H$77</f>
        <v/>
      </c>
      <c r="M98" s="13">
        <f>L98+M93*$C$82-M94*$H$77</f>
        <v/>
      </c>
      <c r="N98" s="13">
        <f>M98+N93*$C$82-N94*$H$77</f>
        <v/>
      </c>
      <c r="O98" s="13">
        <f>N98+O93*$C$82-O94*$H$77</f>
        <v/>
      </c>
      <c r="P98" s="13">
        <f>O98+P93*$C$82-P94*$H$77</f>
        <v/>
      </c>
      <c r="Q98" s="13">
        <f>P98+Q93*$C$82-Q94*$H$77</f>
        <v/>
      </c>
      <c r="R98" s="13">
        <f>Q98+R93*$C$82-R94*$H$77</f>
        <v/>
      </c>
      <c r="S98" s="13">
        <f>R98+S93*$C$82-S94*$H$77</f>
        <v/>
      </c>
      <c r="T98" s="13">
        <f>S98+T93*$C$82-T94*$H$77</f>
        <v/>
      </c>
      <c r="U98" s="13">
        <f>T98+U93*$C$82-U94*$H$77</f>
        <v/>
      </c>
      <c r="V98" s="13">
        <f>U98+V93*$C$82-V94*$H$77</f>
        <v/>
      </c>
      <c r="W98" s="13">
        <f>V98+W93*$C$82-W94*$H$77</f>
        <v/>
      </c>
      <c r="X98" s="13">
        <f>W98+X93*$C$82-X94*$H$77</f>
        <v/>
      </c>
      <c r="Y98" s="13">
        <f>X98+Y93*$C$82-Y94*$H$77</f>
        <v/>
      </c>
      <c r="Z98" s="13">
        <f>Y98+Z93*$C$82-Z94*$H$77</f>
        <v/>
      </c>
      <c r="AA98" s="13">
        <f>Z98+AA93*$C$82-AA94*$H$77</f>
        <v/>
      </c>
      <c r="AB98" s="13">
        <f>AA98+AB93*$C$82-AB94*$H$77</f>
        <v/>
      </c>
      <c r="AC98" s="13">
        <f>AB98+AC93*$C$82-AC94*$H$77</f>
        <v/>
      </c>
      <c r="AD98" s="13">
        <f>AC98+AD93*$C$82-AD94*$H$77</f>
        <v/>
      </c>
      <c r="AE98" s="13">
        <f>AD98+AE93*$C$82-AE94*$H$77</f>
        <v/>
      </c>
      <c r="AF98" s="13">
        <f>AE98+AF93*$C$82-AF94*$H$77</f>
        <v/>
      </c>
      <c r="AG98" s="13">
        <f>AF98+AG93*$C$82-AG94*$H$77</f>
        <v/>
      </c>
      <c r="AH98" s="13">
        <f>AG98+AH93*$C$82-AH94*$H$77</f>
        <v/>
      </c>
      <c r="AI98" s="13">
        <f>AH98+AI93*$C$82-AI94*$H$77</f>
        <v/>
      </c>
      <c r="AJ98" s="13">
        <f>AI98+AJ93*$C$82-AJ94*$H$77</f>
        <v/>
      </c>
      <c r="AK98" s="13">
        <f>AJ98+AK93*$C$82-AK94*$H$77</f>
        <v/>
      </c>
      <c r="AL98" s="13">
        <f>AK98+AL93*$C$82-AL94*$H$77</f>
        <v/>
      </c>
    </row>
    <row r="99">
      <c r="A99" s="3" t="inlineStr">
        <is>
          <t>Percorso 3: contribuzione cumulata</t>
        </is>
      </c>
      <c r="B99" s="4" t="inlineStr">
        <is>
          <t>€</t>
        </is>
      </c>
      <c r="C99" s="13">
        <f>$I$82+(C95-1)*$D$82</f>
        <v/>
      </c>
      <c r="D99" s="13">
        <f>C99+D95*$D$82</f>
        <v/>
      </c>
      <c r="E99" s="13">
        <f>D99+E95*$D$82</f>
        <v/>
      </c>
      <c r="F99" s="13">
        <f>E99+F95*$D$82</f>
        <v/>
      </c>
      <c r="G99" s="13">
        <f>F99+G95*$D$82</f>
        <v/>
      </c>
      <c r="H99" s="13">
        <f>G99+H95*$D$82</f>
        <v/>
      </c>
      <c r="I99" s="13">
        <f>H99+I95*$D$82</f>
        <v/>
      </c>
      <c r="J99" s="13">
        <f>I99+J95*$D$82</f>
        <v/>
      </c>
      <c r="K99" s="13">
        <f>J99+K95*$D$82</f>
        <v/>
      </c>
      <c r="L99" s="13">
        <f>K99+L95*$D$82</f>
        <v/>
      </c>
      <c r="M99" s="13">
        <f>L99+M95*$D$82</f>
        <v/>
      </c>
      <c r="N99" s="13">
        <f>M99+N95*$D$82</f>
        <v/>
      </c>
      <c r="O99" s="13">
        <f>N99+O95*$D$82</f>
        <v/>
      </c>
      <c r="P99" s="13">
        <f>O99+P95*$D$82</f>
        <v/>
      </c>
      <c r="Q99" s="13">
        <f>P99+Q95*$D$82</f>
        <v/>
      </c>
      <c r="R99" s="13">
        <f>Q99+R95*$D$82</f>
        <v/>
      </c>
      <c r="S99" s="13">
        <f>R99+S95*$D$82</f>
        <v/>
      </c>
      <c r="T99" s="13">
        <f>S99+T95*$D$82</f>
        <v/>
      </c>
      <c r="U99" s="13">
        <f>T99+U95*$D$82</f>
        <v/>
      </c>
      <c r="V99" s="13">
        <f>U99+V95*$D$82</f>
        <v/>
      </c>
      <c r="W99" s="13">
        <f>V99+W95*$D$82</f>
        <v/>
      </c>
      <c r="X99" s="13">
        <f>W99+X95*$D$82</f>
        <v/>
      </c>
      <c r="Y99" s="13">
        <f>X99+Y95*$D$82</f>
        <v/>
      </c>
      <c r="Z99" s="13">
        <f>Y99+Z95*$D$82</f>
        <v/>
      </c>
      <c r="AA99" s="13">
        <f>Z99+AA95*$D$82</f>
        <v/>
      </c>
      <c r="AB99" s="13">
        <f>AA99+AB95*$D$82</f>
        <v/>
      </c>
      <c r="AC99" s="13">
        <f>AB99+AC95*$D$82</f>
        <v/>
      </c>
      <c r="AD99" s="13">
        <f>AC99+AD95*$D$82</f>
        <v/>
      </c>
      <c r="AE99" s="13">
        <f>AD99+AE95*$D$82</f>
        <v/>
      </c>
      <c r="AF99" s="13">
        <f>AE99+AF95*$D$82</f>
        <v/>
      </c>
      <c r="AG99" s="13">
        <f>AF99+AG95*$D$82</f>
        <v/>
      </c>
      <c r="AH99" s="13">
        <f>AG99+AH95*$D$82</f>
        <v/>
      </c>
      <c r="AI99" s="13">
        <f>AH99+AI95*$D$82</f>
        <v/>
      </c>
      <c r="AJ99" s="13">
        <f>AI99+AJ95*$D$82</f>
        <v/>
      </c>
      <c r="AK99" s="13">
        <f>AJ99+AK95*$D$82</f>
        <v/>
      </c>
      <c r="AL99" s="13">
        <f>AK99+AL95*$D$82</f>
        <v/>
      </c>
    </row>
    <row r="100">
      <c r="A100" s="3" t="inlineStr">
        <is>
          <t>Abbonamento: contribuzione cumulata</t>
        </is>
      </c>
      <c r="B100" s="4" t="inlineStr">
        <is>
          <t>€</t>
        </is>
      </c>
      <c r="C100" s="13">
        <f>$J$82+(C96-1)*$E$82</f>
        <v/>
      </c>
      <c r="D100" s="13">
        <f>C100+D96*$E$82</f>
        <v/>
      </c>
      <c r="E100" s="13">
        <f>D100+E96*$E$82</f>
        <v/>
      </c>
      <c r="F100" s="13">
        <f>E100+F96*$E$82</f>
        <v/>
      </c>
      <c r="G100" s="13">
        <f>F100+G96*$E$82</f>
        <v/>
      </c>
      <c r="H100" s="13">
        <f>G100+H96*$E$82</f>
        <v/>
      </c>
      <c r="I100" s="13">
        <f>H100+I96*$E$82</f>
        <v/>
      </c>
      <c r="J100" s="13">
        <f>I100+J96*$E$82</f>
        <v/>
      </c>
      <c r="K100" s="13">
        <f>J100+K96*$E$82</f>
        <v/>
      </c>
      <c r="L100" s="13">
        <f>K100+L96*$E$82</f>
        <v/>
      </c>
      <c r="M100" s="13">
        <f>L100+M96*$E$82</f>
        <v/>
      </c>
      <c r="N100" s="13">
        <f>M100+N96*$E$82</f>
        <v/>
      </c>
      <c r="O100" s="13">
        <f>N100+O96*$E$82</f>
        <v/>
      </c>
      <c r="P100" s="13">
        <f>O100+P96*$E$82</f>
        <v/>
      </c>
      <c r="Q100" s="13">
        <f>P100+Q96*$E$82</f>
        <v/>
      </c>
      <c r="R100" s="13">
        <f>Q100+R96*$E$82</f>
        <v/>
      </c>
      <c r="S100" s="13">
        <f>R100+S96*$E$82</f>
        <v/>
      </c>
      <c r="T100" s="13">
        <f>S100+T96*$E$82</f>
        <v/>
      </c>
      <c r="U100" s="13">
        <f>T100+U96*$E$82</f>
        <v/>
      </c>
      <c r="V100" s="13">
        <f>U100+V96*$E$82</f>
        <v/>
      </c>
      <c r="W100" s="13">
        <f>V100+W96*$E$82</f>
        <v/>
      </c>
      <c r="X100" s="13">
        <f>W100+X96*$E$82</f>
        <v/>
      </c>
      <c r="Y100" s="13">
        <f>X100+Y96*$E$82</f>
        <v/>
      </c>
      <c r="Z100" s="13">
        <f>Y100+Z96*$E$82</f>
        <v/>
      </c>
      <c r="AA100" s="13">
        <f>Z100+AA96*$E$82</f>
        <v/>
      </c>
      <c r="AB100" s="13">
        <f>AA100+AB96*$E$82</f>
        <v/>
      </c>
      <c r="AC100" s="13">
        <f>AB100+AC96*$E$82</f>
        <v/>
      </c>
      <c r="AD100" s="13">
        <f>AC100+AD96*$E$82</f>
        <v/>
      </c>
      <c r="AE100" s="13">
        <f>AD100+AE96*$E$82</f>
        <v/>
      </c>
      <c r="AF100" s="13">
        <f>AE100+AF96*$E$82</f>
        <v/>
      </c>
      <c r="AG100" s="13">
        <f>AF100+AG96*$E$82</f>
        <v/>
      </c>
      <c r="AH100" s="13">
        <f>AG100+AH96*$E$82</f>
        <v/>
      </c>
      <c r="AI100" s="13">
        <f>AH100+AI96*$E$82</f>
        <v/>
      </c>
      <c r="AJ100" s="13">
        <f>AI100+AJ96*$E$82</f>
        <v/>
      </c>
      <c r="AK100" s="13">
        <f>AJ100+AK96*$E$82</f>
        <v/>
      </c>
      <c r="AL100" s="13">
        <f>AK100+AL96*$E$82</f>
        <v/>
      </c>
    </row>
    <row r="101">
      <c r="A101" s="3" t="inlineStr">
        <is>
          <t>Singolo: contribuzione cumulata</t>
        </is>
      </c>
      <c r="B101" s="4" t="inlineStr">
        <is>
          <t>€</t>
        </is>
      </c>
      <c r="C101" s="13">
        <f>$K$82+(C97-1)*$F$82</f>
        <v/>
      </c>
      <c r="D101" s="13">
        <f>C101+D97*$F$82</f>
        <v/>
      </c>
      <c r="E101" s="13">
        <f>D101+E97*$F$82</f>
        <v/>
      </c>
      <c r="F101" s="13">
        <f>E101+F97*$F$82</f>
        <v/>
      </c>
      <c r="G101" s="13">
        <f>F101+G97*$F$82</f>
        <v/>
      </c>
      <c r="H101" s="13">
        <f>G101+H97*$F$82</f>
        <v/>
      </c>
      <c r="I101" s="13">
        <f>H101+I97*$F$82</f>
        <v/>
      </c>
      <c r="J101" s="13">
        <f>I101+J97*$F$82</f>
        <v/>
      </c>
      <c r="K101" s="13">
        <f>J101+K97*$F$82</f>
        <v/>
      </c>
      <c r="L101" s="13">
        <f>K101+L97*$F$82</f>
        <v/>
      </c>
      <c r="M101" s="13">
        <f>L101+M97*$F$82</f>
        <v/>
      </c>
      <c r="N101" s="13">
        <f>M101+N97*$F$82</f>
        <v/>
      </c>
      <c r="O101" s="13">
        <f>N101+O97*$F$82</f>
        <v/>
      </c>
      <c r="P101" s="13">
        <f>O101+P97*$F$82</f>
        <v/>
      </c>
      <c r="Q101" s="13">
        <f>P101+Q97*$F$82</f>
        <v/>
      </c>
      <c r="R101" s="13">
        <f>Q101+R97*$F$82</f>
        <v/>
      </c>
      <c r="S101" s="13">
        <f>R101+S97*$F$82</f>
        <v/>
      </c>
      <c r="T101" s="13">
        <f>S101+T97*$F$82</f>
        <v/>
      </c>
      <c r="U101" s="13">
        <f>T101+U97*$F$82</f>
        <v/>
      </c>
      <c r="V101" s="13">
        <f>U101+V97*$F$82</f>
        <v/>
      </c>
      <c r="W101" s="13">
        <f>V101+W97*$F$82</f>
        <v/>
      </c>
      <c r="X101" s="13">
        <f>W101+X97*$F$82</f>
        <v/>
      </c>
      <c r="Y101" s="13">
        <f>X101+Y97*$F$82</f>
        <v/>
      </c>
      <c r="Z101" s="13">
        <f>Y101+Z97*$F$82</f>
        <v/>
      </c>
      <c r="AA101" s="13">
        <f>Z101+AA97*$F$82</f>
        <v/>
      </c>
      <c r="AB101" s="13">
        <f>AA101+AB97*$F$82</f>
        <v/>
      </c>
      <c r="AC101" s="13">
        <f>AB101+AC97*$F$82</f>
        <v/>
      </c>
      <c r="AD101" s="13">
        <f>AC101+AD97*$F$82</f>
        <v/>
      </c>
      <c r="AE101" s="13">
        <f>AD101+AE97*$F$82</f>
        <v/>
      </c>
      <c r="AF101" s="13">
        <f>AE101+AF97*$F$82</f>
        <v/>
      </c>
      <c r="AG101" s="13">
        <f>AF101+AG97*$F$82</f>
        <v/>
      </c>
      <c r="AH101" s="13">
        <f>AG101+AH97*$F$82</f>
        <v/>
      </c>
      <c r="AI101" s="13">
        <f>AH101+AI97*$F$82</f>
        <v/>
      </c>
      <c r="AJ101" s="13">
        <f>AI101+AJ97*$F$82</f>
        <v/>
      </c>
      <c r="AK101" s="13">
        <f>AJ101+AK97*$F$82</f>
        <v/>
      </c>
      <c r="AL101" s="13">
        <f>AK101+AL97*$F$82</f>
        <v/>
      </c>
    </row>
    <row r="102">
      <c r="A102" s="3" t="inlineStr">
        <is>
          <t>Cliente medio (mix): contribuzione cumulata</t>
        </is>
      </c>
      <c r="B102" s="4" t="inlineStr">
        <is>
          <t>€</t>
        </is>
      </c>
      <c r="C102" s="13">
        <f>$C$8*C98+$C$9*C99+$C$10*C100+$C$11*C101</f>
        <v/>
      </c>
      <c r="D102" s="13">
        <f>$C$8*D98+$C$9*D99+$C$10*D100+$C$11*D101</f>
        <v/>
      </c>
      <c r="E102" s="13">
        <f>$C$8*E98+$C$9*E99+$C$10*E100+$C$11*E101</f>
        <v/>
      </c>
      <c r="F102" s="13">
        <f>$C$8*F98+$C$9*F99+$C$10*F100+$C$11*F101</f>
        <v/>
      </c>
      <c r="G102" s="13">
        <f>$C$8*G98+$C$9*G99+$C$10*G100+$C$11*G101</f>
        <v/>
      </c>
      <c r="H102" s="13">
        <f>$C$8*H98+$C$9*H99+$C$10*H100+$C$11*H101</f>
        <v/>
      </c>
      <c r="I102" s="13">
        <f>$C$8*I98+$C$9*I99+$C$10*I100+$C$11*I101</f>
        <v/>
      </c>
      <c r="J102" s="13">
        <f>$C$8*J98+$C$9*J99+$C$10*J100+$C$11*J101</f>
        <v/>
      </c>
      <c r="K102" s="13">
        <f>$C$8*K98+$C$9*K99+$C$10*K100+$C$11*K101</f>
        <v/>
      </c>
      <c r="L102" s="13">
        <f>$C$8*L98+$C$9*L99+$C$10*L100+$C$11*L101</f>
        <v/>
      </c>
      <c r="M102" s="13">
        <f>$C$8*M98+$C$9*M99+$C$10*M100+$C$11*M101</f>
        <v/>
      </c>
      <c r="N102" s="13">
        <f>$C$8*N98+$C$9*N99+$C$10*N100+$C$11*N101</f>
        <v/>
      </c>
      <c r="O102" s="13">
        <f>$C$8*O98+$C$9*O99+$C$10*O100+$C$11*O101</f>
        <v/>
      </c>
      <c r="P102" s="13">
        <f>$C$8*P98+$C$9*P99+$C$10*P100+$C$11*P101</f>
        <v/>
      </c>
      <c r="Q102" s="13">
        <f>$C$8*Q98+$C$9*Q99+$C$10*Q100+$C$11*Q101</f>
        <v/>
      </c>
      <c r="R102" s="13">
        <f>$C$8*R98+$C$9*R99+$C$10*R100+$C$11*R101</f>
        <v/>
      </c>
      <c r="S102" s="13">
        <f>$C$8*S98+$C$9*S99+$C$10*S100+$C$11*S101</f>
        <v/>
      </c>
      <c r="T102" s="13">
        <f>$C$8*T98+$C$9*T99+$C$10*T100+$C$11*T101</f>
        <v/>
      </c>
      <c r="U102" s="13">
        <f>$C$8*U98+$C$9*U99+$C$10*U100+$C$11*U101</f>
        <v/>
      </c>
      <c r="V102" s="13">
        <f>$C$8*V98+$C$9*V99+$C$10*V100+$C$11*V101</f>
        <v/>
      </c>
      <c r="W102" s="13">
        <f>$C$8*W98+$C$9*W99+$C$10*W100+$C$11*W101</f>
        <v/>
      </c>
      <c r="X102" s="13">
        <f>$C$8*X98+$C$9*X99+$C$10*X100+$C$11*X101</f>
        <v/>
      </c>
      <c r="Y102" s="13">
        <f>$C$8*Y98+$C$9*Y99+$C$10*Y100+$C$11*Y101</f>
        <v/>
      </c>
      <c r="Z102" s="13">
        <f>$C$8*Z98+$C$9*Z99+$C$10*Z100+$C$11*Z101</f>
        <v/>
      </c>
      <c r="AA102" s="13">
        <f>$C$8*AA98+$C$9*AA99+$C$10*AA100+$C$11*AA101</f>
        <v/>
      </c>
      <c r="AB102" s="13">
        <f>$C$8*AB98+$C$9*AB99+$C$10*AB100+$C$11*AB101</f>
        <v/>
      </c>
      <c r="AC102" s="13">
        <f>$C$8*AC98+$C$9*AC99+$C$10*AC100+$C$11*AC101</f>
        <v/>
      </c>
      <c r="AD102" s="13">
        <f>$C$8*AD98+$C$9*AD99+$C$10*AD100+$C$11*AD101</f>
        <v/>
      </c>
      <c r="AE102" s="13">
        <f>$C$8*AE98+$C$9*AE99+$C$10*AE100+$C$11*AE101</f>
        <v/>
      </c>
      <c r="AF102" s="13">
        <f>$C$8*AF98+$C$9*AF99+$C$10*AF100+$C$11*AF101</f>
        <v/>
      </c>
      <c r="AG102" s="13">
        <f>$C$8*AG98+$C$9*AG99+$C$10*AG100+$C$11*AG101</f>
        <v/>
      </c>
      <c r="AH102" s="13">
        <f>$C$8*AH98+$C$9*AH99+$C$10*AH100+$C$11*AH101</f>
        <v/>
      </c>
      <c r="AI102" s="13">
        <f>$C$8*AI98+$C$9*AI99+$C$10*AI100+$C$11*AI101</f>
        <v/>
      </c>
      <c r="AJ102" s="13">
        <f>$C$8*AJ98+$C$9*AJ99+$C$10*AJ100+$C$11*AJ101</f>
        <v/>
      </c>
      <c r="AK102" s="13">
        <f>$C$8*AK98+$C$9*AK99+$C$10*AK100+$C$11*AK101</f>
        <v/>
      </c>
      <c r="AL102" s="13">
        <f>$C$8*AL98+$C$9*AL99+$C$10*AL100+$C$11*AL101</f>
        <v/>
      </c>
    </row>
    <row r="104">
      <c r="A104" s="10" t="inlineStr">
        <is>
          <t>Clienti nuovi per mese</t>
        </is>
      </c>
    </row>
    <row r="105">
      <c r="A105" s="3" t="inlineStr">
        <is>
          <t>Mese</t>
        </is>
      </c>
      <c r="C105" t="n">
        <v>1</v>
      </c>
      <c r="D105" t="n">
        <v>2</v>
      </c>
      <c r="E105" t="n">
        <v>3</v>
      </c>
      <c r="F105" t="n">
        <v>4</v>
      </c>
      <c r="G105" t="n">
        <v>5</v>
      </c>
      <c r="H105" t="n">
        <v>6</v>
      </c>
      <c r="I105" t="n">
        <v>7</v>
      </c>
      <c r="J105" t="n">
        <v>8</v>
      </c>
      <c r="K105" t="n">
        <v>9</v>
      </c>
      <c r="L105" t="n">
        <v>10</v>
      </c>
      <c r="M105" t="n">
        <v>11</v>
      </c>
      <c r="N105" t="n">
        <v>12</v>
      </c>
      <c r="O105" t="n">
        <v>13</v>
      </c>
      <c r="P105" t="n">
        <v>14</v>
      </c>
      <c r="Q105" t="n">
        <v>15</v>
      </c>
      <c r="R105" t="n">
        <v>16</v>
      </c>
      <c r="S105" t="n">
        <v>17</v>
      </c>
      <c r="T105" t="n">
        <v>18</v>
      </c>
      <c r="U105" t="n">
        <v>19</v>
      </c>
      <c r="V105" t="n">
        <v>20</v>
      </c>
      <c r="W105" t="n">
        <v>21</v>
      </c>
      <c r="X105" t="n">
        <v>22</v>
      </c>
      <c r="Y105" t="n">
        <v>23</v>
      </c>
      <c r="Z105" t="n">
        <v>24</v>
      </c>
      <c r="AA105" t="n">
        <v>25</v>
      </c>
      <c r="AB105" t="n">
        <v>26</v>
      </c>
      <c r="AC105" t="n">
        <v>27</v>
      </c>
      <c r="AD105" t="n">
        <v>28</v>
      </c>
      <c r="AE105" t="n">
        <v>29</v>
      </c>
      <c r="AF105" t="n">
        <v>30</v>
      </c>
    </row>
    <row r="106">
      <c r="A106" s="3" t="inlineStr">
        <is>
          <t>Mesi dal lancio</t>
        </is>
      </c>
      <c r="C106">
        <f>C105-$C$6</f>
        <v/>
      </c>
      <c r="D106">
        <f>D105-$C$6</f>
        <v/>
      </c>
      <c r="E106">
        <f>E105-$C$6</f>
        <v/>
      </c>
      <c r="F106">
        <f>F105-$C$6</f>
        <v/>
      </c>
      <c r="G106">
        <f>G105-$C$6</f>
        <v/>
      </c>
      <c r="H106">
        <f>H105-$C$6</f>
        <v/>
      </c>
      <c r="I106">
        <f>I105-$C$6</f>
        <v/>
      </c>
      <c r="J106">
        <f>J105-$C$6</f>
        <v/>
      </c>
      <c r="K106">
        <f>K105-$C$6</f>
        <v/>
      </c>
      <c r="L106">
        <f>L105-$C$6</f>
        <v/>
      </c>
      <c r="M106">
        <f>M105-$C$6</f>
        <v/>
      </c>
      <c r="N106">
        <f>N105-$C$6</f>
        <v/>
      </c>
      <c r="O106">
        <f>O105-$C$6</f>
        <v/>
      </c>
      <c r="P106">
        <f>P105-$C$6</f>
        <v/>
      </c>
      <c r="Q106">
        <f>Q105-$C$6</f>
        <v/>
      </c>
      <c r="R106">
        <f>R105-$C$6</f>
        <v/>
      </c>
      <c r="S106">
        <f>S105-$C$6</f>
        <v/>
      </c>
      <c r="T106">
        <f>T105-$C$6</f>
        <v/>
      </c>
      <c r="U106">
        <f>U105-$C$6</f>
        <v/>
      </c>
      <c r="V106">
        <f>V105-$C$6</f>
        <v/>
      </c>
      <c r="W106">
        <f>W105-$C$6</f>
        <v/>
      </c>
      <c r="X106">
        <f>X105-$C$6</f>
        <v/>
      </c>
      <c r="Y106">
        <f>Y105-$C$6</f>
        <v/>
      </c>
      <c r="Z106">
        <f>Z105-$C$6</f>
        <v/>
      </c>
      <c r="AA106">
        <f>AA105-$C$6</f>
        <v/>
      </c>
      <c r="AB106">
        <f>AB105-$C$6</f>
        <v/>
      </c>
      <c r="AC106">
        <f>AC105-$C$6</f>
        <v/>
      </c>
      <c r="AD106">
        <f>AD105-$C$6</f>
        <v/>
      </c>
      <c r="AE106">
        <f>AE105-$C$6</f>
        <v/>
      </c>
      <c r="AF106">
        <f>AF105-$C$6</f>
        <v/>
      </c>
    </row>
    <row r="107">
      <c r="A107" s="3" t="inlineStr">
        <is>
          <t>Pubblicità</t>
        </is>
      </c>
      <c r="B107" s="4" t="inlineStr">
        <is>
          <t>€</t>
        </is>
      </c>
      <c r="C107" s="20">
        <f>IF(C106&lt;0,0,IF(C106&lt;$C$28,$C$27/$C$28,IF(C106&lt;$C$28+$C$31,$C$30/$C$31,IF(C106&lt;$C$28+$C$31+$C$34,$C$33/$C$34,$C$36))))</f>
        <v/>
      </c>
      <c r="D107" s="20">
        <f>IF(D106&lt;0,0,IF(D106&lt;$C$28,$C$27/$C$28,IF(D106&lt;$C$28+$C$31,$C$30/$C$31,IF(D106&lt;$C$28+$C$31+$C$34,$C$33/$C$34,$C$36))))</f>
        <v/>
      </c>
      <c r="E107" s="20">
        <f>IF(E106&lt;0,0,IF(E106&lt;$C$28,$C$27/$C$28,IF(E106&lt;$C$28+$C$31,$C$30/$C$31,IF(E106&lt;$C$28+$C$31+$C$34,$C$33/$C$34,$C$36))))</f>
        <v/>
      </c>
      <c r="F107" s="20">
        <f>IF(F106&lt;0,0,IF(F106&lt;$C$28,$C$27/$C$28,IF(F106&lt;$C$28+$C$31,$C$30/$C$31,IF(F106&lt;$C$28+$C$31+$C$34,$C$33/$C$34,$C$36))))</f>
        <v/>
      </c>
      <c r="G107" s="20">
        <f>IF(G106&lt;0,0,IF(G106&lt;$C$28,$C$27/$C$28,IF(G106&lt;$C$28+$C$31,$C$30/$C$31,IF(G106&lt;$C$28+$C$31+$C$34,$C$33/$C$34,$C$36))))</f>
        <v/>
      </c>
      <c r="H107" s="20">
        <f>IF(H106&lt;0,0,IF(H106&lt;$C$28,$C$27/$C$28,IF(H106&lt;$C$28+$C$31,$C$30/$C$31,IF(H106&lt;$C$28+$C$31+$C$34,$C$33/$C$34,$C$36))))</f>
        <v/>
      </c>
      <c r="I107" s="20">
        <f>IF(I106&lt;0,0,IF(I106&lt;$C$28,$C$27/$C$28,IF(I106&lt;$C$28+$C$31,$C$30/$C$31,IF(I106&lt;$C$28+$C$31+$C$34,$C$33/$C$34,$C$36))))</f>
        <v/>
      </c>
      <c r="J107" s="20">
        <f>IF(J106&lt;0,0,IF(J106&lt;$C$28,$C$27/$C$28,IF(J106&lt;$C$28+$C$31,$C$30/$C$31,IF(J106&lt;$C$28+$C$31+$C$34,$C$33/$C$34,$C$36))))</f>
        <v/>
      </c>
      <c r="K107" s="20">
        <f>IF(K106&lt;0,0,IF(K106&lt;$C$28,$C$27/$C$28,IF(K106&lt;$C$28+$C$31,$C$30/$C$31,IF(K106&lt;$C$28+$C$31+$C$34,$C$33/$C$34,$C$36))))</f>
        <v/>
      </c>
      <c r="L107" s="20">
        <f>IF(L106&lt;0,0,IF(L106&lt;$C$28,$C$27/$C$28,IF(L106&lt;$C$28+$C$31,$C$30/$C$31,IF(L106&lt;$C$28+$C$31+$C$34,$C$33/$C$34,$C$36))))</f>
        <v/>
      </c>
      <c r="M107" s="20">
        <f>IF(M106&lt;0,0,IF(M106&lt;$C$28,$C$27/$C$28,IF(M106&lt;$C$28+$C$31,$C$30/$C$31,IF(M106&lt;$C$28+$C$31+$C$34,$C$33/$C$34,$C$36))))</f>
        <v/>
      </c>
      <c r="N107" s="20">
        <f>IF(N106&lt;0,0,IF(N106&lt;$C$28,$C$27/$C$28,IF(N106&lt;$C$28+$C$31,$C$30/$C$31,IF(N106&lt;$C$28+$C$31+$C$34,$C$33/$C$34,$C$36))))</f>
        <v/>
      </c>
      <c r="O107" s="20">
        <f>IF(O106&lt;0,0,IF(O106&lt;$C$28,$C$27/$C$28,IF(O106&lt;$C$28+$C$31,$C$30/$C$31,IF(O106&lt;$C$28+$C$31+$C$34,$C$33/$C$34,$C$36))))</f>
        <v/>
      </c>
      <c r="P107" s="20">
        <f>IF(P106&lt;0,0,IF(P106&lt;$C$28,$C$27/$C$28,IF(P106&lt;$C$28+$C$31,$C$30/$C$31,IF(P106&lt;$C$28+$C$31+$C$34,$C$33/$C$34,$C$36))))</f>
        <v/>
      </c>
      <c r="Q107" s="20">
        <f>IF(Q106&lt;0,0,IF(Q106&lt;$C$28,$C$27/$C$28,IF(Q106&lt;$C$28+$C$31,$C$30/$C$31,IF(Q106&lt;$C$28+$C$31+$C$34,$C$33/$C$34,$C$36))))</f>
        <v/>
      </c>
      <c r="R107" s="20">
        <f>IF(R106&lt;0,0,IF(R106&lt;$C$28,$C$27/$C$28,IF(R106&lt;$C$28+$C$31,$C$30/$C$31,IF(R106&lt;$C$28+$C$31+$C$34,$C$33/$C$34,$C$36))))</f>
        <v/>
      </c>
      <c r="S107" s="20">
        <f>IF(S106&lt;0,0,IF(S106&lt;$C$28,$C$27/$C$28,IF(S106&lt;$C$28+$C$31,$C$30/$C$31,IF(S106&lt;$C$28+$C$31+$C$34,$C$33/$C$34,$C$36))))</f>
        <v/>
      </c>
      <c r="T107" s="20">
        <f>IF(T106&lt;0,0,IF(T106&lt;$C$28,$C$27/$C$28,IF(T106&lt;$C$28+$C$31,$C$30/$C$31,IF(T106&lt;$C$28+$C$31+$C$34,$C$33/$C$34,$C$36))))</f>
        <v/>
      </c>
      <c r="U107" s="20">
        <f>IF(U106&lt;0,0,IF(U106&lt;$C$28,$C$27/$C$28,IF(U106&lt;$C$28+$C$31,$C$30/$C$31,IF(U106&lt;$C$28+$C$31+$C$34,$C$33/$C$34,$C$36))))</f>
        <v/>
      </c>
      <c r="V107" s="20">
        <f>IF(V106&lt;0,0,IF(V106&lt;$C$28,$C$27/$C$28,IF(V106&lt;$C$28+$C$31,$C$30/$C$31,IF(V106&lt;$C$28+$C$31+$C$34,$C$33/$C$34,$C$36))))</f>
        <v/>
      </c>
      <c r="W107" s="20">
        <f>IF(W106&lt;0,0,IF(W106&lt;$C$28,$C$27/$C$28,IF(W106&lt;$C$28+$C$31,$C$30/$C$31,IF(W106&lt;$C$28+$C$31+$C$34,$C$33/$C$34,$C$36))))</f>
        <v/>
      </c>
      <c r="X107" s="20">
        <f>IF(X106&lt;0,0,IF(X106&lt;$C$28,$C$27/$C$28,IF(X106&lt;$C$28+$C$31,$C$30/$C$31,IF(X106&lt;$C$28+$C$31+$C$34,$C$33/$C$34,$C$36))))</f>
        <v/>
      </c>
      <c r="Y107" s="20">
        <f>IF(Y106&lt;0,0,IF(Y106&lt;$C$28,$C$27/$C$28,IF(Y106&lt;$C$28+$C$31,$C$30/$C$31,IF(Y106&lt;$C$28+$C$31+$C$34,$C$33/$C$34,$C$36))))</f>
        <v/>
      </c>
      <c r="Z107" s="20">
        <f>IF(Z106&lt;0,0,IF(Z106&lt;$C$28,$C$27/$C$28,IF(Z106&lt;$C$28+$C$31,$C$30/$C$31,IF(Z106&lt;$C$28+$C$31+$C$34,$C$33/$C$34,$C$36))))</f>
        <v/>
      </c>
      <c r="AA107" s="20">
        <f>IF(AA106&lt;0,0,IF(AA106&lt;$C$28,$C$27/$C$28,IF(AA106&lt;$C$28+$C$31,$C$30/$C$31,IF(AA106&lt;$C$28+$C$31+$C$34,$C$33/$C$34,$C$36))))</f>
        <v/>
      </c>
      <c r="AB107" s="20">
        <f>IF(AB106&lt;0,0,IF(AB106&lt;$C$28,$C$27/$C$28,IF(AB106&lt;$C$28+$C$31,$C$30/$C$31,IF(AB106&lt;$C$28+$C$31+$C$34,$C$33/$C$34,$C$36))))</f>
        <v/>
      </c>
      <c r="AC107" s="20">
        <f>IF(AC106&lt;0,0,IF(AC106&lt;$C$28,$C$27/$C$28,IF(AC106&lt;$C$28+$C$31,$C$30/$C$31,IF(AC106&lt;$C$28+$C$31+$C$34,$C$33/$C$34,$C$36))))</f>
        <v/>
      </c>
      <c r="AD107" s="20">
        <f>IF(AD106&lt;0,0,IF(AD106&lt;$C$28,$C$27/$C$28,IF(AD106&lt;$C$28+$C$31,$C$30/$C$31,IF(AD106&lt;$C$28+$C$31+$C$34,$C$33/$C$34,$C$36))))</f>
        <v/>
      </c>
      <c r="AE107" s="20">
        <f>IF(AE106&lt;0,0,IF(AE106&lt;$C$28,$C$27/$C$28,IF(AE106&lt;$C$28+$C$31,$C$30/$C$31,IF(AE106&lt;$C$28+$C$31+$C$34,$C$33/$C$34,$C$36))))</f>
        <v/>
      </c>
      <c r="AF107" s="20">
        <f>IF(AF106&lt;0,0,IF(AF106&lt;$C$28,$C$27/$C$28,IF(AF106&lt;$C$28+$C$31,$C$30/$C$31,IF(AF106&lt;$C$28+$C$31+$C$34,$C$33/$C$34,$C$36))))</f>
        <v/>
      </c>
    </row>
    <row r="108">
      <c r="A108" s="3" t="inlineStr">
        <is>
          <t>CAC pubblicitario</t>
        </is>
      </c>
      <c r="B108" s="4" t="inlineStr">
        <is>
          <t>€</t>
        </is>
      </c>
      <c r="C108" s="20">
        <f>IF(C106&lt;0,0,IF(C106&lt;$C$28,$C$29,IF(C106&lt;$C$28+$C$31,$C$32,IF(C106&lt;$C$28+$C$31+$C$34,$C$35,$C$37))))</f>
        <v/>
      </c>
      <c r="D108" s="20">
        <f>IF(D106&lt;0,0,IF(D106&lt;$C$28,$C$29,IF(D106&lt;$C$28+$C$31,$C$32,IF(D106&lt;$C$28+$C$31+$C$34,$C$35,$C$37))))</f>
        <v/>
      </c>
      <c r="E108" s="20">
        <f>IF(E106&lt;0,0,IF(E106&lt;$C$28,$C$29,IF(E106&lt;$C$28+$C$31,$C$32,IF(E106&lt;$C$28+$C$31+$C$34,$C$35,$C$37))))</f>
        <v/>
      </c>
      <c r="F108" s="20">
        <f>IF(F106&lt;0,0,IF(F106&lt;$C$28,$C$29,IF(F106&lt;$C$28+$C$31,$C$32,IF(F106&lt;$C$28+$C$31+$C$34,$C$35,$C$37))))</f>
        <v/>
      </c>
      <c r="G108" s="20">
        <f>IF(G106&lt;0,0,IF(G106&lt;$C$28,$C$29,IF(G106&lt;$C$28+$C$31,$C$32,IF(G106&lt;$C$28+$C$31+$C$34,$C$35,$C$37))))</f>
        <v/>
      </c>
      <c r="H108" s="20">
        <f>IF(H106&lt;0,0,IF(H106&lt;$C$28,$C$29,IF(H106&lt;$C$28+$C$31,$C$32,IF(H106&lt;$C$28+$C$31+$C$34,$C$35,$C$37))))</f>
        <v/>
      </c>
      <c r="I108" s="20">
        <f>IF(I106&lt;0,0,IF(I106&lt;$C$28,$C$29,IF(I106&lt;$C$28+$C$31,$C$32,IF(I106&lt;$C$28+$C$31+$C$34,$C$35,$C$37))))</f>
        <v/>
      </c>
      <c r="J108" s="20">
        <f>IF(J106&lt;0,0,IF(J106&lt;$C$28,$C$29,IF(J106&lt;$C$28+$C$31,$C$32,IF(J106&lt;$C$28+$C$31+$C$34,$C$35,$C$37))))</f>
        <v/>
      </c>
      <c r="K108" s="20">
        <f>IF(K106&lt;0,0,IF(K106&lt;$C$28,$C$29,IF(K106&lt;$C$28+$C$31,$C$32,IF(K106&lt;$C$28+$C$31+$C$34,$C$35,$C$37))))</f>
        <v/>
      </c>
      <c r="L108" s="20">
        <f>IF(L106&lt;0,0,IF(L106&lt;$C$28,$C$29,IF(L106&lt;$C$28+$C$31,$C$32,IF(L106&lt;$C$28+$C$31+$C$34,$C$35,$C$37))))</f>
        <v/>
      </c>
      <c r="M108" s="20">
        <f>IF(M106&lt;0,0,IF(M106&lt;$C$28,$C$29,IF(M106&lt;$C$28+$C$31,$C$32,IF(M106&lt;$C$28+$C$31+$C$34,$C$35,$C$37))))</f>
        <v/>
      </c>
      <c r="N108" s="20">
        <f>IF(N106&lt;0,0,IF(N106&lt;$C$28,$C$29,IF(N106&lt;$C$28+$C$31,$C$32,IF(N106&lt;$C$28+$C$31+$C$34,$C$35,$C$37))))</f>
        <v/>
      </c>
      <c r="O108" s="20">
        <f>IF(O106&lt;0,0,IF(O106&lt;$C$28,$C$29,IF(O106&lt;$C$28+$C$31,$C$32,IF(O106&lt;$C$28+$C$31+$C$34,$C$35,$C$37))))</f>
        <v/>
      </c>
      <c r="P108" s="20">
        <f>IF(P106&lt;0,0,IF(P106&lt;$C$28,$C$29,IF(P106&lt;$C$28+$C$31,$C$32,IF(P106&lt;$C$28+$C$31+$C$34,$C$35,$C$37))))</f>
        <v/>
      </c>
      <c r="Q108" s="20">
        <f>IF(Q106&lt;0,0,IF(Q106&lt;$C$28,$C$29,IF(Q106&lt;$C$28+$C$31,$C$32,IF(Q106&lt;$C$28+$C$31+$C$34,$C$35,$C$37))))</f>
        <v/>
      </c>
      <c r="R108" s="20">
        <f>IF(R106&lt;0,0,IF(R106&lt;$C$28,$C$29,IF(R106&lt;$C$28+$C$31,$C$32,IF(R106&lt;$C$28+$C$31+$C$34,$C$35,$C$37))))</f>
        <v/>
      </c>
      <c r="S108" s="20">
        <f>IF(S106&lt;0,0,IF(S106&lt;$C$28,$C$29,IF(S106&lt;$C$28+$C$31,$C$32,IF(S106&lt;$C$28+$C$31+$C$34,$C$35,$C$37))))</f>
        <v/>
      </c>
      <c r="T108" s="20">
        <f>IF(T106&lt;0,0,IF(T106&lt;$C$28,$C$29,IF(T106&lt;$C$28+$C$31,$C$32,IF(T106&lt;$C$28+$C$31+$C$34,$C$35,$C$37))))</f>
        <v/>
      </c>
      <c r="U108" s="20">
        <f>IF(U106&lt;0,0,IF(U106&lt;$C$28,$C$29,IF(U106&lt;$C$28+$C$31,$C$32,IF(U106&lt;$C$28+$C$31+$C$34,$C$35,$C$37))))</f>
        <v/>
      </c>
      <c r="V108" s="20">
        <f>IF(V106&lt;0,0,IF(V106&lt;$C$28,$C$29,IF(V106&lt;$C$28+$C$31,$C$32,IF(V106&lt;$C$28+$C$31+$C$34,$C$35,$C$37))))</f>
        <v/>
      </c>
      <c r="W108" s="20">
        <f>IF(W106&lt;0,0,IF(W106&lt;$C$28,$C$29,IF(W106&lt;$C$28+$C$31,$C$32,IF(W106&lt;$C$28+$C$31+$C$34,$C$35,$C$37))))</f>
        <v/>
      </c>
      <c r="X108" s="20">
        <f>IF(X106&lt;0,0,IF(X106&lt;$C$28,$C$29,IF(X106&lt;$C$28+$C$31,$C$32,IF(X106&lt;$C$28+$C$31+$C$34,$C$35,$C$37))))</f>
        <v/>
      </c>
      <c r="Y108" s="20">
        <f>IF(Y106&lt;0,0,IF(Y106&lt;$C$28,$C$29,IF(Y106&lt;$C$28+$C$31,$C$32,IF(Y106&lt;$C$28+$C$31+$C$34,$C$35,$C$37))))</f>
        <v/>
      </c>
      <c r="Z108" s="20">
        <f>IF(Z106&lt;0,0,IF(Z106&lt;$C$28,$C$29,IF(Z106&lt;$C$28+$C$31,$C$32,IF(Z106&lt;$C$28+$C$31+$C$34,$C$35,$C$37))))</f>
        <v/>
      </c>
      <c r="AA108" s="20">
        <f>IF(AA106&lt;0,0,IF(AA106&lt;$C$28,$C$29,IF(AA106&lt;$C$28+$C$31,$C$32,IF(AA106&lt;$C$28+$C$31+$C$34,$C$35,$C$37))))</f>
        <v/>
      </c>
      <c r="AB108" s="20">
        <f>IF(AB106&lt;0,0,IF(AB106&lt;$C$28,$C$29,IF(AB106&lt;$C$28+$C$31,$C$32,IF(AB106&lt;$C$28+$C$31+$C$34,$C$35,$C$37))))</f>
        <v/>
      </c>
      <c r="AC108" s="20">
        <f>IF(AC106&lt;0,0,IF(AC106&lt;$C$28,$C$29,IF(AC106&lt;$C$28+$C$31,$C$32,IF(AC106&lt;$C$28+$C$31+$C$34,$C$35,$C$37))))</f>
        <v/>
      </c>
      <c r="AD108" s="20">
        <f>IF(AD106&lt;0,0,IF(AD106&lt;$C$28,$C$29,IF(AD106&lt;$C$28+$C$31,$C$32,IF(AD106&lt;$C$28+$C$31+$C$34,$C$35,$C$37))))</f>
        <v/>
      </c>
      <c r="AE108" s="20">
        <f>IF(AE106&lt;0,0,IF(AE106&lt;$C$28,$C$29,IF(AE106&lt;$C$28+$C$31,$C$32,IF(AE106&lt;$C$28+$C$31+$C$34,$C$35,$C$37))))</f>
        <v/>
      </c>
      <c r="AF108" s="20">
        <f>IF(AF106&lt;0,0,IF(AF106&lt;$C$28,$C$29,IF(AF106&lt;$C$28+$C$31,$C$32,IF(AF106&lt;$C$28+$C$31+$C$34,$C$35,$C$37))))</f>
        <v/>
      </c>
    </row>
    <row r="109">
      <c r="A109" s="3" t="inlineStr">
        <is>
          <t>Nuovi clienti da pubblicità</t>
        </is>
      </c>
      <c r="C109" s="24">
        <f>IF(C107&gt;0,C107/C108,0)</f>
        <v/>
      </c>
      <c r="D109" s="24">
        <f>IF(D107&gt;0,D107/D108,0)</f>
        <v/>
      </c>
      <c r="E109" s="24">
        <f>IF(E107&gt;0,E107/E108,0)</f>
        <v/>
      </c>
      <c r="F109" s="24">
        <f>IF(F107&gt;0,F107/F108,0)</f>
        <v/>
      </c>
      <c r="G109" s="24">
        <f>IF(G107&gt;0,G107/G108,0)</f>
        <v/>
      </c>
      <c r="H109" s="24">
        <f>IF(H107&gt;0,H107/H108,0)</f>
        <v/>
      </c>
      <c r="I109" s="24">
        <f>IF(I107&gt;0,I107/I108,0)</f>
        <v/>
      </c>
      <c r="J109" s="24">
        <f>IF(J107&gt;0,J107/J108,0)</f>
        <v/>
      </c>
      <c r="K109" s="24">
        <f>IF(K107&gt;0,K107/K108,0)</f>
        <v/>
      </c>
      <c r="L109" s="24">
        <f>IF(L107&gt;0,L107/L108,0)</f>
        <v/>
      </c>
      <c r="M109" s="24">
        <f>IF(M107&gt;0,M107/M108,0)</f>
        <v/>
      </c>
      <c r="N109" s="24">
        <f>IF(N107&gt;0,N107/N108,0)</f>
        <v/>
      </c>
      <c r="O109" s="24">
        <f>IF(O107&gt;0,O107/O108,0)</f>
        <v/>
      </c>
      <c r="P109" s="24">
        <f>IF(P107&gt;0,P107/P108,0)</f>
        <v/>
      </c>
      <c r="Q109" s="24">
        <f>IF(Q107&gt;0,Q107/Q108,0)</f>
        <v/>
      </c>
      <c r="R109" s="24">
        <f>IF(R107&gt;0,R107/R108,0)</f>
        <v/>
      </c>
      <c r="S109" s="24">
        <f>IF(S107&gt;0,S107/S108,0)</f>
        <v/>
      </c>
      <c r="T109" s="24">
        <f>IF(T107&gt;0,T107/T108,0)</f>
        <v/>
      </c>
      <c r="U109" s="24">
        <f>IF(U107&gt;0,U107/U108,0)</f>
        <v/>
      </c>
      <c r="V109" s="24">
        <f>IF(V107&gt;0,V107/V108,0)</f>
        <v/>
      </c>
      <c r="W109" s="24">
        <f>IF(W107&gt;0,W107/W108,0)</f>
        <v/>
      </c>
      <c r="X109" s="24">
        <f>IF(X107&gt;0,X107/X108,0)</f>
        <v/>
      </c>
      <c r="Y109" s="24">
        <f>IF(Y107&gt;0,Y107/Y108,0)</f>
        <v/>
      </c>
      <c r="Z109" s="24">
        <f>IF(Z107&gt;0,Z107/Z108,0)</f>
        <v/>
      </c>
      <c r="AA109" s="24">
        <f>IF(AA107&gt;0,AA107/AA108,0)</f>
        <v/>
      </c>
      <c r="AB109" s="24">
        <f>IF(AB107&gt;0,AB107/AB108,0)</f>
        <v/>
      </c>
      <c r="AC109" s="24">
        <f>IF(AC107&gt;0,AC107/AC108,0)</f>
        <v/>
      </c>
      <c r="AD109" s="24">
        <f>IF(AD107&gt;0,AD107/AD108,0)</f>
        <v/>
      </c>
      <c r="AE109" s="24">
        <f>IF(AE107&gt;0,AE107/AE108,0)</f>
        <v/>
      </c>
      <c r="AF109" s="24">
        <f>IF(AF107&gt;0,AF107/AF108,0)</f>
        <v/>
      </c>
    </row>
    <row r="110">
      <c r="A110" s="3" t="inlineStr">
        <is>
          <t>Nuovi clienti da canali non pagati</t>
        </is>
      </c>
      <c r="C110" s="24">
        <f>IF(C106&gt;=0,$C$26,0)</f>
        <v/>
      </c>
      <c r="D110" s="24">
        <f>IF(D106&gt;=0,$C$26,0)</f>
        <v/>
      </c>
      <c r="E110" s="24">
        <f>IF(E106&gt;=0,$C$26,0)</f>
        <v/>
      </c>
      <c r="F110" s="24">
        <f>IF(F106&gt;=0,$C$26,0)</f>
        <v/>
      </c>
      <c r="G110" s="24">
        <f>IF(G106&gt;=0,$C$26,0)</f>
        <v/>
      </c>
      <c r="H110" s="24">
        <f>IF(H106&gt;=0,$C$26,0)</f>
        <v/>
      </c>
      <c r="I110" s="24">
        <f>IF(I106&gt;=0,$C$26,0)</f>
        <v/>
      </c>
      <c r="J110" s="24">
        <f>IF(J106&gt;=0,$C$26,0)</f>
        <v/>
      </c>
      <c r="K110" s="24">
        <f>IF(K106&gt;=0,$C$26,0)</f>
        <v/>
      </c>
      <c r="L110" s="24">
        <f>IF(L106&gt;=0,$C$26,0)</f>
        <v/>
      </c>
      <c r="M110" s="24">
        <f>IF(M106&gt;=0,$C$26,0)</f>
        <v/>
      </c>
      <c r="N110" s="24">
        <f>IF(N106&gt;=0,$C$26,0)</f>
        <v/>
      </c>
      <c r="O110" s="24">
        <f>IF(O106&gt;=0,$C$26,0)</f>
        <v/>
      </c>
      <c r="P110" s="24">
        <f>IF(P106&gt;=0,$C$26,0)</f>
        <v/>
      </c>
      <c r="Q110" s="24">
        <f>IF(Q106&gt;=0,$C$26,0)</f>
        <v/>
      </c>
      <c r="R110" s="24">
        <f>IF(R106&gt;=0,$C$26,0)</f>
        <v/>
      </c>
      <c r="S110" s="24">
        <f>IF(S106&gt;=0,$C$26,0)</f>
        <v/>
      </c>
      <c r="T110" s="24">
        <f>IF(T106&gt;=0,$C$26,0)</f>
        <v/>
      </c>
      <c r="U110" s="24">
        <f>IF(U106&gt;=0,$C$26,0)</f>
        <v/>
      </c>
      <c r="V110" s="24">
        <f>IF(V106&gt;=0,$C$26,0)</f>
        <v/>
      </c>
      <c r="W110" s="24">
        <f>IF(W106&gt;=0,$C$26,0)</f>
        <v/>
      </c>
      <c r="X110" s="24">
        <f>IF(X106&gt;=0,$C$26,0)</f>
        <v/>
      </c>
      <c r="Y110" s="24">
        <f>IF(Y106&gt;=0,$C$26,0)</f>
        <v/>
      </c>
      <c r="Z110" s="24">
        <f>IF(Z106&gt;=0,$C$26,0)</f>
        <v/>
      </c>
      <c r="AA110" s="24">
        <f>IF(AA106&gt;=0,$C$26,0)</f>
        <v/>
      </c>
      <c r="AB110" s="24">
        <f>IF(AB106&gt;=0,$C$26,0)</f>
        <v/>
      </c>
      <c r="AC110" s="24">
        <f>IF(AC106&gt;=0,$C$26,0)</f>
        <v/>
      </c>
      <c r="AD110" s="24">
        <f>IF(AD106&gt;=0,$C$26,0)</f>
        <v/>
      </c>
      <c r="AE110" s="24">
        <f>IF(AE106&gt;=0,$C$26,0)</f>
        <v/>
      </c>
      <c r="AF110" s="24">
        <f>IF(AF106&gt;=0,$C$26,0)</f>
        <v/>
      </c>
    </row>
    <row r="111">
      <c r="A111" s="3" t="inlineStr">
        <is>
          <t>Nuovi clienti totali</t>
        </is>
      </c>
      <c r="C111" s="24">
        <f>C109+C110</f>
        <v/>
      </c>
      <c r="D111" s="24">
        <f>D109+D110</f>
        <v/>
      </c>
      <c r="E111" s="24">
        <f>E109+E110</f>
        <v/>
      </c>
      <c r="F111" s="24">
        <f>F109+F110</f>
        <v/>
      </c>
      <c r="G111" s="24">
        <f>G109+G110</f>
        <v/>
      </c>
      <c r="H111" s="24">
        <f>H109+H110</f>
        <v/>
      </c>
      <c r="I111" s="24">
        <f>I109+I110</f>
        <v/>
      </c>
      <c r="J111" s="24">
        <f>J109+J110</f>
        <v/>
      </c>
      <c r="K111" s="24">
        <f>K109+K110</f>
        <v/>
      </c>
      <c r="L111" s="24">
        <f>L109+L110</f>
        <v/>
      </c>
      <c r="M111" s="24">
        <f>M109+M110</f>
        <v/>
      </c>
      <c r="N111" s="24">
        <f>N109+N110</f>
        <v/>
      </c>
      <c r="O111" s="24">
        <f>O109+O110</f>
        <v/>
      </c>
      <c r="P111" s="24">
        <f>P109+P110</f>
        <v/>
      </c>
      <c r="Q111" s="24">
        <f>Q109+Q110</f>
        <v/>
      </c>
      <c r="R111" s="24">
        <f>R109+R110</f>
        <v/>
      </c>
      <c r="S111" s="24">
        <f>S109+S110</f>
        <v/>
      </c>
      <c r="T111" s="24">
        <f>T109+T110</f>
        <v/>
      </c>
      <c r="U111" s="24">
        <f>U109+U110</f>
        <v/>
      </c>
      <c r="V111" s="24">
        <f>V109+V110</f>
        <v/>
      </c>
      <c r="W111" s="24">
        <f>W109+W110</f>
        <v/>
      </c>
      <c r="X111" s="24">
        <f>X109+X110</f>
        <v/>
      </c>
      <c r="Y111" s="24">
        <f>Y109+Y110</f>
        <v/>
      </c>
      <c r="Z111" s="24">
        <f>Z109+Z110</f>
        <v/>
      </c>
      <c r="AA111" s="24">
        <f>AA109+AA110</f>
        <v/>
      </c>
      <c r="AB111" s="24">
        <f>AB109+AB110</f>
        <v/>
      </c>
      <c r="AC111" s="24">
        <f>AC109+AC110</f>
        <v/>
      </c>
      <c r="AD111" s="24">
        <f>AD109+AD110</f>
        <v/>
      </c>
      <c r="AE111" s="24">
        <f>AE109+AE110</f>
        <v/>
      </c>
      <c r="AF111" s="24">
        <f>AF109+AF110</f>
        <v/>
      </c>
    </row>
    <row r="112">
      <c r="A112" s="3" t="inlineStr">
        <is>
          <t>Nuovi clienti: Percorso 6</t>
        </is>
      </c>
      <c r="C112" s="24">
        <f>C111*$C$8</f>
        <v/>
      </c>
      <c r="D112" s="24">
        <f>D111*$C$8</f>
        <v/>
      </c>
      <c r="E112" s="24">
        <f>E111*$C$8</f>
        <v/>
      </c>
      <c r="F112" s="24">
        <f>F111*$C$8</f>
        <v/>
      </c>
      <c r="G112" s="24">
        <f>G111*$C$8</f>
        <v/>
      </c>
      <c r="H112" s="24">
        <f>H111*$C$8</f>
        <v/>
      </c>
      <c r="I112" s="24">
        <f>I111*$C$8</f>
        <v/>
      </c>
      <c r="J112" s="24">
        <f>J111*$C$8</f>
        <v/>
      </c>
      <c r="K112" s="24">
        <f>K111*$C$8</f>
        <v/>
      </c>
      <c r="L112" s="24">
        <f>L111*$C$8</f>
        <v/>
      </c>
      <c r="M112" s="24">
        <f>M111*$C$8</f>
        <v/>
      </c>
      <c r="N112" s="24">
        <f>N111*$C$8</f>
        <v/>
      </c>
      <c r="O112" s="24">
        <f>O111*$C$8</f>
        <v/>
      </c>
      <c r="P112" s="24">
        <f>P111*$C$8</f>
        <v/>
      </c>
      <c r="Q112" s="24">
        <f>Q111*$C$8</f>
        <v/>
      </c>
      <c r="R112" s="24">
        <f>R111*$C$8</f>
        <v/>
      </c>
      <c r="S112" s="24">
        <f>S111*$C$8</f>
        <v/>
      </c>
      <c r="T112" s="24">
        <f>T111*$C$8</f>
        <v/>
      </c>
      <c r="U112" s="24">
        <f>U111*$C$8</f>
        <v/>
      </c>
      <c r="V112" s="24">
        <f>V111*$C$8</f>
        <v/>
      </c>
      <c r="W112" s="24">
        <f>W111*$C$8</f>
        <v/>
      </c>
      <c r="X112" s="24">
        <f>X111*$C$8</f>
        <v/>
      </c>
      <c r="Y112" s="24">
        <f>Y111*$C$8</f>
        <v/>
      </c>
      <c r="Z112" s="24">
        <f>Z111*$C$8</f>
        <v/>
      </c>
      <c r="AA112" s="24">
        <f>AA111*$C$8</f>
        <v/>
      </c>
      <c r="AB112" s="24">
        <f>AB111*$C$8</f>
        <v/>
      </c>
      <c r="AC112" s="24">
        <f>AC111*$C$8</f>
        <v/>
      </c>
      <c r="AD112" s="24">
        <f>AD111*$C$8</f>
        <v/>
      </c>
      <c r="AE112" s="24">
        <f>AE111*$C$8</f>
        <v/>
      </c>
      <c r="AF112" s="24">
        <f>AF111*$C$8</f>
        <v/>
      </c>
    </row>
    <row r="113">
      <c r="A113" s="3" t="inlineStr">
        <is>
          <t>Nuovi clienti: Percorso 3</t>
        </is>
      </c>
      <c r="C113" s="24">
        <f>C111*$C$9</f>
        <v/>
      </c>
      <c r="D113" s="24">
        <f>D111*$C$9</f>
        <v/>
      </c>
      <c r="E113" s="24">
        <f>E111*$C$9</f>
        <v/>
      </c>
      <c r="F113" s="24">
        <f>F111*$C$9</f>
        <v/>
      </c>
      <c r="G113" s="24">
        <f>G111*$C$9</f>
        <v/>
      </c>
      <c r="H113" s="24">
        <f>H111*$C$9</f>
        <v/>
      </c>
      <c r="I113" s="24">
        <f>I111*$C$9</f>
        <v/>
      </c>
      <c r="J113" s="24">
        <f>J111*$C$9</f>
        <v/>
      </c>
      <c r="K113" s="24">
        <f>K111*$C$9</f>
        <v/>
      </c>
      <c r="L113" s="24">
        <f>L111*$C$9</f>
        <v/>
      </c>
      <c r="M113" s="24">
        <f>M111*$C$9</f>
        <v/>
      </c>
      <c r="N113" s="24">
        <f>N111*$C$9</f>
        <v/>
      </c>
      <c r="O113" s="24">
        <f>O111*$C$9</f>
        <v/>
      </c>
      <c r="P113" s="24">
        <f>P111*$C$9</f>
        <v/>
      </c>
      <c r="Q113" s="24">
        <f>Q111*$C$9</f>
        <v/>
      </c>
      <c r="R113" s="24">
        <f>R111*$C$9</f>
        <v/>
      </c>
      <c r="S113" s="24">
        <f>S111*$C$9</f>
        <v/>
      </c>
      <c r="T113" s="24">
        <f>T111*$C$9</f>
        <v/>
      </c>
      <c r="U113" s="24">
        <f>U111*$C$9</f>
        <v/>
      </c>
      <c r="V113" s="24">
        <f>V111*$C$9</f>
        <v/>
      </c>
      <c r="W113" s="24">
        <f>W111*$C$9</f>
        <v/>
      </c>
      <c r="X113" s="24">
        <f>X111*$C$9</f>
        <v/>
      </c>
      <c r="Y113" s="24">
        <f>Y111*$C$9</f>
        <v/>
      </c>
      <c r="Z113" s="24">
        <f>Z111*$C$9</f>
        <v/>
      </c>
      <c r="AA113" s="24">
        <f>AA111*$C$9</f>
        <v/>
      </c>
      <c r="AB113" s="24">
        <f>AB111*$C$9</f>
        <v/>
      </c>
      <c r="AC113" s="24">
        <f>AC111*$C$9</f>
        <v/>
      </c>
      <c r="AD113" s="24">
        <f>AD111*$C$9</f>
        <v/>
      </c>
      <c r="AE113" s="24">
        <f>AE111*$C$9</f>
        <v/>
      </c>
      <c r="AF113" s="24">
        <f>AF111*$C$9</f>
        <v/>
      </c>
    </row>
    <row r="114">
      <c r="A114" s="3" t="inlineStr">
        <is>
          <t>Nuovi clienti: Abbonamento</t>
        </is>
      </c>
      <c r="C114" s="24">
        <f>C111*$C$10</f>
        <v/>
      </c>
      <c r="D114" s="24">
        <f>D111*$C$10</f>
        <v/>
      </c>
      <c r="E114" s="24">
        <f>E111*$C$10</f>
        <v/>
      </c>
      <c r="F114" s="24">
        <f>F111*$C$10</f>
        <v/>
      </c>
      <c r="G114" s="24">
        <f>G111*$C$10</f>
        <v/>
      </c>
      <c r="H114" s="24">
        <f>H111*$C$10</f>
        <v/>
      </c>
      <c r="I114" s="24">
        <f>I111*$C$10</f>
        <v/>
      </c>
      <c r="J114" s="24">
        <f>J111*$C$10</f>
        <v/>
      </c>
      <c r="K114" s="24">
        <f>K111*$C$10</f>
        <v/>
      </c>
      <c r="L114" s="24">
        <f>L111*$C$10</f>
        <v/>
      </c>
      <c r="M114" s="24">
        <f>M111*$C$10</f>
        <v/>
      </c>
      <c r="N114" s="24">
        <f>N111*$C$10</f>
        <v/>
      </c>
      <c r="O114" s="24">
        <f>O111*$C$10</f>
        <v/>
      </c>
      <c r="P114" s="24">
        <f>P111*$C$10</f>
        <v/>
      </c>
      <c r="Q114" s="24">
        <f>Q111*$C$10</f>
        <v/>
      </c>
      <c r="R114" s="24">
        <f>R111*$C$10</f>
        <v/>
      </c>
      <c r="S114" s="24">
        <f>S111*$C$10</f>
        <v/>
      </c>
      <c r="T114" s="24">
        <f>T111*$C$10</f>
        <v/>
      </c>
      <c r="U114" s="24">
        <f>U111*$C$10</f>
        <v/>
      </c>
      <c r="V114" s="24">
        <f>V111*$C$10</f>
        <v/>
      </c>
      <c r="W114" s="24">
        <f>W111*$C$10</f>
        <v/>
      </c>
      <c r="X114" s="24">
        <f>X111*$C$10</f>
        <v/>
      </c>
      <c r="Y114" s="24">
        <f>Y111*$C$10</f>
        <v/>
      </c>
      <c r="Z114" s="24">
        <f>Z111*$C$10</f>
        <v/>
      </c>
      <c r="AA114" s="24">
        <f>AA111*$C$10</f>
        <v/>
      </c>
      <c r="AB114" s="24">
        <f>AB111*$C$10</f>
        <v/>
      </c>
      <c r="AC114" s="24">
        <f>AC111*$C$10</f>
        <v/>
      </c>
      <c r="AD114" s="24">
        <f>AD111*$C$10</f>
        <v/>
      </c>
      <c r="AE114" s="24">
        <f>AE111*$C$10</f>
        <v/>
      </c>
      <c r="AF114" s="24">
        <f>AF111*$C$10</f>
        <v/>
      </c>
    </row>
    <row r="115">
      <c r="A115" s="3" t="inlineStr">
        <is>
          <t>Nuovi clienti: Singolo</t>
        </is>
      </c>
      <c r="C115" s="24">
        <f>C111*$C$11</f>
        <v/>
      </c>
      <c r="D115" s="24">
        <f>D111*$C$11</f>
        <v/>
      </c>
      <c r="E115" s="24">
        <f>E111*$C$11</f>
        <v/>
      </c>
      <c r="F115" s="24">
        <f>F111*$C$11</f>
        <v/>
      </c>
      <c r="G115" s="24">
        <f>G111*$C$11</f>
        <v/>
      </c>
      <c r="H115" s="24">
        <f>H111*$C$11</f>
        <v/>
      </c>
      <c r="I115" s="24">
        <f>I111*$C$11</f>
        <v/>
      </c>
      <c r="J115" s="24">
        <f>J111*$C$11</f>
        <v/>
      </c>
      <c r="K115" s="24">
        <f>K111*$C$11</f>
        <v/>
      </c>
      <c r="L115" s="24">
        <f>L111*$C$11</f>
        <v/>
      </c>
      <c r="M115" s="24">
        <f>M111*$C$11</f>
        <v/>
      </c>
      <c r="N115" s="24">
        <f>N111*$C$11</f>
        <v/>
      </c>
      <c r="O115" s="24">
        <f>O111*$C$11</f>
        <v/>
      </c>
      <c r="P115" s="24">
        <f>P111*$C$11</f>
        <v/>
      </c>
      <c r="Q115" s="24">
        <f>Q111*$C$11</f>
        <v/>
      </c>
      <c r="R115" s="24">
        <f>R111*$C$11</f>
        <v/>
      </c>
      <c r="S115" s="24">
        <f>S111*$C$11</f>
        <v/>
      </c>
      <c r="T115" s="24">
        <f>T111*$C$11</f>
        <v/>
      </c>
      <c r="U115" s="24">
        <f>U111*$C$11</f>
        <v/>
      </c>
      <c r="V115" s="24">
        <f>V111*$C$11</f>
        <v/>
      </c>
      <c r="W115" s="24">
        <f>W111*$C$11</f>
        <v/>
      </c>
      <c r="X115" s="24">
        <f>X111*$C$11</f>
        <v/>
      </c>
      <c r="Y115" s="24">
        <f>Y111*$C$11</f>
        <v/>
      </c>
      <c r="Z115" s="24">
        <f>Z111*$C$11</f>
        <v/>
      </c>
      <c r="AA115" s="24">
        <f>AA111*$C$11</f>
        <v/>
      </c>
      <c r="AB115" s="24">
        <f>AB111*$C$11</f>
        <v/>
      </c>
      <c r="AC115" s="24">
        <f>AC111*$C$11</f>
        <v/>
      </c>
      <c r="AD115" s="24">
        <f>AD111*$C$11</f>
        <v/>
      </c>
      <c r="AE115" s="24">
        <f>AE111*$C$11</f>
        <v/>
      </c>
      <c r="AF115" s="24">
        <f>AF111*$C$11</f>
        <v/>
      </c>
    </row>
    <row r="116">
      <c r="A116" s="3" t="inlineStr">
        <is>
          <t>Creatività e gestione campagne</t>
        </is>
      </c>
      <c r="B116" s="4" t="inlineStr">
        <is>
          <t>€</t>
        </is>
      </c>
      <c r="C116" s="20">
        <f>IF(C107&gt;0,$C$38,0)</f>
        <v/>
      </c>
      <c r="D116" s="20">
        <f>IF(D107&gt;0,$C$38,0)</f>
        <v/>
      </c>
      <c r="E116" s="20">
        <f>IF(E107&gt;0,$C$38,0)</f>
        <v/>
      </c>
      <c r="F116" s="20">
        <f>IF(F107&gt;0,$C$38,0)</f>
        <v/>
      </c>
      <c r="G116" s="20">
        <f>IF(G107&gt;0,$C$38,0)</f>
        <v/>
      </c>
      <c r="H116" s="20">
        <f>IF(H107&gt;0,$C$38,0)</f>
        <v/>
      </c>
      <c r="I116" s="20">
        <f>IF(I107&gt;0,$C$38,0)</f>
        <v/>
      </c>
      <c r="J116" s="20">
        <f>IF(J107&gt;0,$C$38,0)</f>
        <v/>
      </c>
      <c r="K116" s="20">
        <f>IF(K107&gt;0,$C$38,0)</f>
        <v/>
      </c>
      <c r="L116" s="20">
        <f>IF(L107&gt;0,$C$38,0)</f>
        <v/>
      </c>
      <c r="M116" s="20">
        <f>IF(M107&gt;0,$C$38,0)</f>
        <v/>
      </c>
      <c r="N116" s="20">
        <f>IF(N107&gt;0,$C$38,0)</f>
        <v/>
      </c>
      <c r="O116" s="20">
        <f>IF(O107&gt;0,$C$38,0)</f>
        <v/>
      </c>
      <c r="P116" s="20">
        <f>IF(P107&gt;0,$C$38,0)</f>
        <v/>
      </c>
      <c r="Q116" s="20">
        <f>IF(Q107&gt;0,$C$38,0)</f>
        <v/>
      </c>
      <c r="R116" s="20">
        <f>IF(R107&gt;0,$C$38,0)</f>
        <v/>
      </c>
      <c r="S116" s="20">
        <f>IF(S107&gt;0,$C$38,0)</f>
        <v/>
      </c>
      <c r="T116" s="20">
        <f>IF(T107&gt;0,$C$38,0)</f>
        <v/>
      </c>
      <c r="U116" s="20">
        <f>IF(U107&gt;0,$C$38,0)</f>
        <v/>
      </c>
      <c r="V116" s="20">
        <f>IF(V107&gt;0,$C$38,0)</f>
        <v/>
      </c>
      <c r="W116" s="20">
        <f>IF(W107&gt;0,$C$38,0)</f>
        <v/>
      </c>
      <c r="X116" s="20">
        <f>IF(X107&gt;0,$C$38,0)</f>
        <v/>
      </c>
      <c r="Y116" s="20">
        <f>IF(Y107&gt;0,$C$38,0)</f>
        <v/>
      </c>
      <c r="Z116" s="20">
        <f>IF(Z107&gt;0,$C$38,0)</f>
        <v/>
      </c>
      <c r="AA116" s="20">
        <f>IF(AA107&gt;0,$C$38,0)</f>
        <v/>
      </c>
      <c r="AB116" s="20">
        <f>IF(AB107&gt;0,$C$38,0)</f>
        <v/>
      </c>
      <c r="AC116" s="20">
        <f>IF(AC107&gt;0,$C$38,0)</f>
        <v/>
      </c>
      <c r="AD116" s="20">
        <f>IF(AD107&gt;0,$C$38,0)</f>
        <v/>
      </c>
      <c r="AE116" s="20">
        <f>IF(AE107&gt;0,$C$38,0)</f>
        <v/>
      </c>
      <c r="AF116" s="20">
        <f>IF(AF107&gt;0,$C$38,0)</f>
        <v/>
      </c>
    </row>
    <row r="118">
      <c r="A118" s="10" t="inlineStr">
        <is>
          <t>Percorso 6: ordini per coorte (righe = mese di acquisizione, colonne = mese di calendario)</t>
        </is>
      </c>
    </row>
    <row r="119">
      <c r="A119" s="4" t="inlineStr">
        <is>
          <t>Coorte del mese 1</t>
        </is>
      </c>
      <c r="C119" s="24">
        <f>$C$112*INDEX($C$93:$AL$93,1,1)</f>
        <v/>
      </c>
      <c r="D119" s="24">
        <f>$C$112*INDEX($C$93:$AL$93,1,2)</f>
        <v/>
      </c>
      <c r="E119" s="24">
        <f>$C$112*INDEX($C$93:$AL$93,1,3)</f>
        <v/>
      </c>
      <c r="F119" s="24">
        <f>$C$112*INDEX($C$93:$AL$93,1,4)</f>
        <v/>
      </c>
      <c r="G119" s="24">
        <f>$C$112*INDEX($C$93:$AL$93,1,5)</f>
        <v/>
      </c>
      <c r="H119" s="24">
        <f>$C$112*INDEX($C$93:$AL$93,1,6)</f>
        <v/>
      </c>
      <c r="I119" s="24">
        <f>$C$112*INDEX($C$93:$AL$93,1,7)</f>
        <v/>
      </c>
      <c r="J119" s="24">
        <f>$C$112*INDEX($C$93:$AL$93,1,8)</f>
        <v/>
      </c>
      <c r="K119" s="24">
        <f>$C$112*INDEX($C$93:$AL$93,1,9)</f>
        <v/>
      </c>
      <c r="L119" s="24">
        <f>$C$112*INDEX($C$93:$AL$93,1,10)</f>
        <v/>
      </c>
      <c r="M119" s="24">
        <f>$C$112*INDEX($C$93:$AL$93,1,11)</f>
        <v/>
      </c>
      <c r="N119" s="24">
        <f>$C$112*INDEX($C$93:$AL$93,1,12)</f>
        <v/>
      </c>
      <c r="O119" s="24">
        <f>$C$112*INDEX($C$93:$AL$93,1,13)</f>
        <v/>
      </c>
      <c r="P119" s="24">
        <f>$C$112*INDEX($C$93:$AL$93,1,14)</f>
        <v/>
      </c>
      <c r="Q119" s="24">
        <f>$C$112*INDEX($C$93:$AL$93,1,15)</f>
        <v/>
      </c>
      <c r="R119" s="24">
        <f>$C$112*INDEX($C$93:$AL$93,1,16)</f>
        <v/>
      </c>
      <c r="S119" s="24">
        <f>$C$112*INDEX($C$93:$AL$93,1,17)</f>
        <v/>
      </c>
      <c r="T119" s="24">
        <f>$C$112*INDEX($C$93:$AL$93,1,18)</f>
        <v/>
      </c>
      <c r="U119" s="24">
        <f>$C$112*INDEX($C$93:$AL$93,1,19)</f>
        <v/>
      </c>
      <c r="V119" s="24">
        <f>$C$112*INDEX($C$93:$AL$93,1,20)</f>
        <v/>
      </c>
      <c r="W119" s="24">
        <f>$C$112*INDEX($C$93:$AL$93,1,21)</f>
        <v/>
      </c>
      <c r="X119" s="24">
        <f>$C$112*INDEX($C$93:$AL$93,1,22)</f>
        <v/>
      </c>
      <c r="Y119" s="24">
        <f>$C$112*INDEX($C$93:$AL$93,1,23)</f>
        <v/>
      </c>
      <c r="Z119" s="24">
        <f>$C$112*INDEX($C$93:$AL$93,1,24)</f>
        <v/>
      </c>
      <c r="AA119" s="24">
        <f>$C$112*INDEX($C$93:$AL$93,1,25)</f>
        <v/>
      </c>
      <c r="AB119" s="24">
        <f>$C$112*INDEX($C$93:$AL$93,1,26)</f>
        <v/>
      </c>
      <c r="AC119" s="24">
        <f>$C$112*INDEX($C$93:$AL$93,1,27)</f>
        <v/>
      </c>
      <c r="AD119" s="24">
        <f>$C$112*INDEX($C$93:$AL$93,1,28)</f>
        <v/>
      </c>
      <c r="AE119" s="24">
        <f>$C$112*INDEX($C$93:$AL$93,1,29)</f>
        <v/>
      </c>
      <c r="AF119" s="24">
        <f>$C$112*INDEX($C$93:$AL$93,1,30)</f>
        <v/>
      </c>
    </row>
    <row r="120">
      <c r="A120" s="4" t="inlineStr">
        <is>
          <t>Coorte del mese 2</t>
        </is>
      </c>
      <c r="C120" s="24" t="n">
        <v>0</v>
      </c>
      <c r="D120" s="24">
        <f>$D$112*INDEX($C$93:$AL$93,1,1)</f>
        <v/>
      </c>
      <c r="E120" s="24">
        <f>$D$112*INDEX($C$93:$AL$93,1,2)</f>
        <v/>
      </c>
      <c r="F120" s="24">
        <f>$D$112*INDEX($C$93:$AL$93,1,3)</f>
        <v/>
      </c>
      <c r="G120" s="24">
        <f>$D$112*INDEX($C$93:$AL$93,1,4)</f>
        <v/>
      </c>
      <c r="H120" s="24">
        <f>$D$112*INDEX($C$93:$AL$93,1,5)</f>
        <v/>
      </c>
      <c r="I120" s="24">
        <f>$D$112*INDEX($C$93:$AL$93,1,6)</f>
        <v/>
      </c>
      <c r="J120" s="24">
        <f>$D$112*INDEX($C$93:$AL$93,1,7)</f>
        <v/>
      </c>
      <c r="K120" s="24">
        <f>$D$112*INDEX($C$93:$AL$93,1,8)</f>
        <v/>
      </c>
      <c r="L120" s="24">
        <f>$D$112*INDEX($C$93:$AL$93,1,9)</f>
        <v/>
      </c>
      <c r="M120" s="24">
        <f>$D$112*INDEX($C$93:$AL$93,1,10)</f>
        <v/>
      </c>
      <c r="N120" s="24">
        <f>$D$112*INDEX($C$93:$AL$93,1,11)</f>
        <v/>
      </c>
      <c r="O120" s="24">
        <f>$D$112*INDEX($C$93:$AL$93,1,12)</f>
        <v/>
      </c>
      <c r="P120" s="24">
        <f>$D$112*INDEX($C$93:$AL$93,1,13)</f>
        <v/>
      </c>
      <c r="Q120" s="24">
        <f>$D$112*INDEX($C$93:$AL$93,1,14)</f>
        <v/>
      </c>
      <c r="R120" s="24">
        <f>$D$112*INDEX($C$93:$AL$93,1,15)</f>
        <v/>
      </c>
      <c r="S120" s="24">
        <f>$D$112*INDEX($C$93:$AL$93,1,16)</f>
        <v/>
      </c>
      <c r="T120" s="24">
        <f>$D$112*INDEX($C$93:$AL$93,1,17)</f>
        <v/>
      </c>
      <c r="U120" s="24">
        <f>$D$112*INDEX($C$93:$AL$93,1,18)</f>
        <v/>
      </c>
      <c r="V120" s="24">
        <f>$D$112*INDEX($C$93:$AL$93,1,19)</f>
        <v/>
      </c>
      <c r="W120" s="24">
        <f>$D$112*INDEX($C$93:$AL$93,1,20)</f>
        <v/>
      </c>
      <c r="X120" s="24">
        <f>$D$112*INDEX($C$93:$AL$93,1,21)</f>
        <v/>
      </c>
      <c r="Y120" s="24">
        <f>$D$112*INDEX($C$93:$AL$93,1,22)</f>
        <v/>
      </c>
      <c r="Z120" s="24">
        <f>$D$112*INDEX($C$93:$AL$93,1,23)</f>
        <v/>
      </c>
      <c r="AA120" s="24">
        <f>$D$112*INDEX($C$93:$AL$93,1,24)</f>
        <v/>
      </c>
      <c r="AB120" s="24">
        <f>$D$112*INDEX($C$93:$AL$93,1,25)</f>
        <v/>
      </c>
      <c r="AC120" s="24">
        <f>$D$112*INDEX($C$93:$AL$93,1,26)</f>
        <v/>
      </c>
      <c r="AD120" s="24">
        <f>$D$112*INDEX($C$93:$AL$93,1,27)</f>
        <v/>
      </c>
      <c r="AE120" s="24">
        <f>$D$112*INDEX($C$93:$AL$93,1,28)</f>
        <v/>
      </c>
      <c r="AF120" s="24">
        <f>$D$112*INDEX($C$93:$AL$93,1,29)</f>
        <v/>
      </c>
    </row>
    <row r="121">
      <c r="A121" s="4" t="inlineStr">
        <is>
          <t>Coorte del mese 3</t>
        </is>
      </c>
      <c r="C121" s="24" t="n">
        <v>0</v>
      </c>
      <c r="D121" s="24" t="n">
        <v>0</v>
      </c>
      <c r="E121" s="24">
        <f>$E$112*INDEX($C$93:$AL$93,1,1)</f>
        <v/>
      </c>
      <c r="F121" s="24">
        <f>$E$112*INDEX($C$93:$AL$93,1,2)</f>
        <v/>
      </c>
      <c r="G121" s="24">
        <f>$E$112*INDEX($C$93:$AL$93,1,3)</f>
        <v/>
      </c>
      <c r="H121" s="24">
        <f>$E$112*INDEX($C$93:$AL$93,1,4)</f>
        <v/>
      </c>
      <c r="I121" s="24">
        <f>$E$112*INDEX($C$93:$AL$93,1,5)</f>
        <v/>
      </c>
      <c r="J121" s="24">
        <f>$E$112*INDEX($C$93:$AL$93,1,6)</f>
        <v/>
      </c>
      <c r="K121" s="24">
        <f>$E$112*INDEX($C$93:$AL$93,1,7)</f>
        <v/>
      </c>
      <c r="L121" s="24">
        <f>$E$112*INDEX($C$93:$AL$93,1,8)</f>
        <v/>
      </c>
      <c r="M121" s="24">
        <f>$E$112*INDEX($C$93:$AL$93,1,9)</f>
        <v/>
      </c>
      <c r="N121" s="24">
        <f>$E$112*INDEX($C$93:$AL$93,1,10)</f>
        <v/>
      </c>
      <c r="O121" s="24">
        <f>$E$112*INDEX($C$93:$AL$93,1,11)</f>
        <v/>
      </c>
      <c r="P121" s="24">
        <f>$E$112*INDEX($C$93:$AL$93,1,12)</f>
        <v/>
      </c>
      <c r="Q121" s="24">
        <f>$E$112*INDEX($C$93:$AL$93,1,13)</f>
        <v/>
      </c>
      <c r="R121" s="24">
        <f>$E$112*INDEX($C$93:$AL$93,1,14)</f>
        <v/>
      </c>
      <c r="S121" s="24">
        <f>$E$112*INDEX($C$93:$AL$93,1,15)</f>
        <v/>
      </c>
      <c r="T121" s="24">
        <f>$E$112*INDEX($C$93:$AL$93,1,16)</f>
        <v/>
      </c>
      <c r="U121" s="24">
        <f>$E$112*INDEX($C$93:$AL$93,1,17)</f>
        <v/>
      </c>
      <c r="V121" s="24">
        <f>$E$112*INDEX($C$93:$AL$93,1,18)</f>
        <v/>
      </c>
      <c r="W121" s="24">
        <f>$E$112*INDEX($C$93:$AL$93,1,19)</f>
        <v/>
      </c>
      <c r="X121" s="24">
        <f>$E$112*INDEX($C$93:$AL$93,1,20)</f>
        <v/>
      </c>
      <c r="Y121" s="24">
        <f>$E$112*INDEX($C$93:$AL$93,1,21)</f>
        <v/>
      </c>
      <c r="Z121" s="24">
        <f>$E$112*INDEX($C$93:$AL$93,1,22)</f>
        <v/>
      </c>
      <c r="AA121" s="24">
        <f>$E$112*INDEX($C$93:$AL$93,1,23)</f>
        <v/>
      </c>
      <c r="AB121" s="24">
        <f>$E$112*INDEX($C$93:$AL$93,1,24)</f>
        <v/>
      </c>
      <c r="AC121" s="24">
        <f>$E$112*INDEX($C$93:$AL$93,1,25)</f>
        <v/>
      </c>
      <c r="AD121" s="24">
        <f>$E$112*INDEX($C$93:$AL$93,1,26)</f>
        <v/>
      </c>
      <c r="AE121" s="24">
        <f>$E$112*INDEX($C$93:$AL$93,1,27)</f>
        <v/>
      </c>
      <c r="AF121" s="24">
        <f>$E$112*INDEX($C$93:$AL$93,1,28)</f>
        <v/>
      </c>
    </row>
    <row r="122">
      <c r="A122" s="4" t="inlineStr">
        <is>
          <t>Coorte del mese 4</t>
        </is>
      </c>
      <c r="C122" s="24" t="n">
        <v>0</v>
      </c>
      <c r="D122" s="24" t="n">
        <v>0</v>
      </c>
      <c r="E122" s="24" t="n">
        <v>0</v>
      </c>
      <c r="F122" s="24">
        <f>$F$112*INDEX($C$93:$AL$93,1,1)</f>
        <v/>
      </c>
      <c r="G122" s="24">
        <f>$F$112*INDEX($C$93:$AL$93,1,2)</f>
        <v/>
      </c>
      <c r="H122" s="24">
        <f>$F$112*INDEX($C$93:$AL$93,1,3)</f>
        <v/>
      </c>
      <c r="I122" s="24">
        <f>$F$112*INDEX($C$93:$AL$93,1,4)</f>
        <v/>
      </c>
      <c r="J122" s="24">
        <f>$F$112*INDEX($C$93:$AL$93,1,5)</f>
        <v/>
      </c>
      <c r="K122" s="24">
        <f>$F$112*INDEX($C$93:$AL$93,1,6)</f>
        <v/>
      </c>
      <c r="L122" s="24">
        <f>$F$112*INDEX($C$93:$AL$93,1,7)</f>
        <v/>
      </c>
      <c r="M122" s="24">
        <f>$F$112*INDEX($C$93:$AL$93,1,8)</f>
        <v/>
      </c>
      <c r="N122" s="24">
        <f>$F$112*INDEX($C$93:$AL$93,1,9)</f>
        <v/>
      </c>
      <c r="O122" s="24">
        <f>$F$112*INDEX($C$93:$AL$93,1,10)</f>
        <v/>
      </c>
      <c r="P122" s="24">
        <f>$F$112*INDEX($C$93:$AL$93,1,11)</f>
        <v/>
      </c>
      <c r="Q122" s="24">
        <f>$F$112*INDEX($C$93:$AL$93,1,12)</f>
        <v/>
      </c>
      <c r="R122" s="24">
        <f>$F$112*INDEX($C$93:$AL$93,1,13)</f>
        <v/>
      </c>
      <c r="S122" s="24">
        <f>$F$112*INDEX($C$93:$AL$93,1,14)</f>
        <v/>
      </c>
      <c r="T122" s="24">
        <f>$F$112*INDEX($C$93:$AL$93,1,15)</f>
        <v/>
      </c>
      <c r="U122" s="24">
        <f>$F$112*INDEX($C$93:$AL$93,1,16)</f>
        <v/>
      </c>
      <c r="V122" s="24">
        <f>$F$112*INDEX($C$93:$AL$93,1,17)</f>
        <v/>
      </c>
      <c r="W122" s="24">
        <f>$F$112*INDEX($C$93:$AL$93,1,18)</f>
        <v/>
      </c>
      <c r="X122" s="24">
        <f>$F$112*INDEX($C$93:$AL$93,1,19)</f>
        <v/>
      </c>
      <c r="Y122" s="24">
        <f>$F$112*INDEX($C$93:$AL$93,1,20)</f>
        <v/>
      </c>
      <c r="Z122" s="24">
        <f>$F$112*INDEX($C$93:$AL$93,1,21)</f>
        <v/>
      </c>
      <c r="AA122" s="24">
        <f>$F$112*INDEX($C$93:$AL$93,1,22)</f>
        <v/>
      </c>
      <c r="AB122" s="24">
        <f>$F$112*INDEX($C$93:$AL$93,1,23)</f>
        <v/>
      </c>
      <c r="AC122" s="24">
        <f>$F$112*INDEX($C$93:$AL$93,1,24)</f>
        <v/>
      </c>
      <c r="AD122" s="24">
        <f>$F$112*INDEX($C$93:$AL$93,1,25)</f>
        <v/>
      </c>
      <c r="AE122" s="24">
        <f>$F$112*INDEX($C$93:$AL$93,1,26)</f>
        <v/>
      </c>
      <c r="AF122" s="24">
        <f>$F$112*INDEX($C$93:$AL$93,1,27)</f>
        <v/>
      </c>
    </row>
    <row r="123">
      <c r="A123" s="4" t="inlineStr">
        <is>
          <t>Coorte del mese 5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>
        <f>$G$112*INDEX($C$93:$AL$93,1,1)</f>
        <v/>
      </c>
      <c r="H123" s="24">
        <f>$G$112*INDEX($C$93:$AL$93,1,2)</f>
        <v/>
      </c>
      <c r="I123" s="24">
        <f>$G$112*INDEX($C$93:$AL$93,1,3)</f>
        <v/>
      </c>
      <c r="J123" s="24">
        <f>$G$112*INDEX($C$93:$AL$93,1,4)</f>
        <v/>
      </c>
      <c r="K123" s="24">
        <f>$G$112*INDEX($C$93:$AL$93,1,5)</f>
        <v/>
      </c>
      <c r="L123" s="24">
        <f>$G$112*INDEX($C$93:$AL$93,1,6)</f>
        <v/>
      </c>
      <c r="M123" s="24">
        <f>$G$112*INDEX($C$93:$AL$93,1,7)</f>
        <v/>
      </c>
      <c r="N123" s="24">
        <f>$G$112*INDEX($C$93:$AL$93,1,8)</f>
        <v/>
      </c>
      <c r="O123" s="24">
        <f>$G$112*INDEX($C$93:$AL$93,1,9)</f>
        <v/>
      </c>
      <c r="P123" s="24">
        <f>$G$112*INDEX($C$93:$AL$93,1,10)</f>
        <v/>
      </c>
      <c r="Q123" s="24">
        <f>$G$112*INDEX($C$93:$AL$93,1,11)</f>
        <v/>
      </c>
      <c r="R123" s="24">
        <f>$G$112*INDEX($C$93:$AL$93,1,12)</f>
        <v/>
      </c>
      <c r="S123" s="24">
        <f>$G$112*INDEX($C$93:$AL$93,1,13)</f>
        <v/>
      </c>
      <c r="T123" s="24">
        <f>$G$112*INDEX($C$93:$AL$93,1,14)</f>
        <v/>
      </c>
      <c r="U123" s="24">
        <f>$G$112*INDEX($C$93:$AL$93,1,15)</f>
        <v/>
      </c>
      <c r="V123" s="24">
        <f>$G$112*INDEX($C$93:$AL$93,1,16)</f>
        <v/>
      </c>
      <c r="W123" s="24">
        <f>$G$112*INDEX($C$93:$AL$93,1,17)</f>
        <v/>
      </c>
      <c r="X123" s="24">
        <f>$G$112*INDEX($C$93:$AL$93,1,18)</f>
        <v/>
      </c>
      <c r="Y123" s="24">
        <f>$G$112*INDEX($C$93:$AL$93,1,19)</f>
        <v/>
      </c>
      <c r="Z123" s="24">
        <f>$G$112*INDEX($C$93:$AL$93,1,20)</f>
        <v/>
      </c>
      <c r="AA123" s="24">
        <f>$G$112*INDEX($C$93:$AL$93,1,21)</f>
        <v/>
      </c>
      <c r="AB123" s="24">
        <f>$G$112*INDEX($C$93:$AL$93,1,22)</f>
        <v/>
      </c>
      <c r="AC123" s="24">
        <f>$G$112*INDEX($C$93:$AL$93,1,23)</f>
        <v/>
      </c>
      <c r="AD123" s="24">
        <f>$G$112*INDEX($C$93:$AL$93,1,24)</f>
        <v/>
      </c>
      <c r="AE123" s="24">
        <f>$G$112*INDEX($C$93:$AL$93,1,25)</f>
        <v/>
      </c>
      <c r="AF123" s="24">
        <f>$G$112*INDEX($C$93:$AL$93,1,26)</f>
        <v/>
      </c>
    </row>
    <row r="124">
      <c r="A124" s="4" t="inlineStr">
        <is>
          <t>Coorte del mese 6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>
        <f>$H$112*INDEX($C$93:$AL$93,1,1)</f>
        <v/>
      </c>
      <c r="I124" s="24">
        <f>$H$112*INDEX($C$93:$AL$93,1,2)</f>
        <v/>
      </c>
      <c r="J124" s="24">
        <f>$H$112*INDEX($C$93:$AL$93,1,3)</f>
        <v/>
      </c>
      <c r="K124" s="24">
        <f>$H$112*INDEX($C$93:$AL$93,1,4)</f>
        <v/>
      </c>
      <c r="L124" s="24">
        <f>$H$112*INDEX($C$93:$AL$93,1,5)</f>
        <v/>
      </c>
      <c r="M124" s="24">
        <f>$H$112*INDEX($C$93:$AL$93,1,6)</f>
        <v/>
      </c>
      <c r="N124" s="24">
        <f>$H$112*INDEX($C$93:$AL$93,1,7)</f>
        <v/>
      </c>
      <c r="O124" s="24">
        <f>$H$112*INDEX($C$93:$AL$93,1,8)</f>
        <v/>
      </c>
      <c r="P124" s="24">
        <f>$H$112*INDEX($C$93:$AL$93,1,9)</f>
        <v/>
      </c>
      <c r="Q124" s="24">
        <f>$H$112*INDEX($C$93:$AL$93,1,10)</f>
        <v/>
      </c>
      <c r="R124" s="24">
        <f>$H$112*INDEX($C$93:$AL$93,1,11)</f>
        <v/>
      </c>
      <c r="S124" s="24">
        <f>$H$112*INDEX($C$93:$AL$93,1,12)</f>
        <v/>
      </c>
      <c r="T124" s="24">
        <f>$H$112*INDEX($C$93:$AL$93,1,13)</f>
        <v/>
      </c>
      <c r="U124" s="24">
        <f>$H$112*INDEX($C$93:$AL$93,1,14)</f>
        <v/>
      </c>
      <c r="V124" s="24">
        <f>$H$112*INDEX($C$93:$AL$93,1,15)</f>
        <v/>
      </c>
      <c r="W124" s="24">
        <f>$H$112*INDEX($C$93:$AL$93,1,16)</f>
        <v/>
      </c>
      <c r="X124" s="24">
        <f>$H$112*INDEX($C$93:$AL$93,1,17)</f>
        <v/>
      </c>
      <c r="Y124" s="24">
        <f>$H$112*INDEX($C$93:$AL$93,1,18)</f>
        <v/>
      </c>
      <c r="Z124" s="24">
        <f>$H$112*INDEX($C$93:$AL$93,1,19)</f>
        <v/>
      </c>
      <c r="AA124" s="24">
        <f>$H$112*INDEX($C$93:$AL$93,1,20)</f>
        <v/>
      </c>
      <c r="AB124" s="24">
        <f>$H$112*INDEX($C$93:$AL$93,1,21)</f>
        <v/>
      </c>
      <c r="AC124" s="24">
        <f>$H$112*INDEX($C$93:$AL$93,1,22)</f>
        <v/>
      </c>
      <c r="AD124" s="24">
        <f>$H$112*INDEX($C$93:$AL$93,1,23)</f>
        <v/>
      </c>
      <c r="AE124" s="24">
        <f>$H$112*INDEX($C$93:$AL$93,1,24)</f>
        <v/>
      </c>
      <c r="AF124" s="24">
        <f>$H$112*INDEX($C$93:$AL$93,1,25)</f>
        <v/>
      </c>
    </row>
    <row r="125">
      <c r="A125" s="4" t="inlineStr">
        <is>
          <t>Coorte del mese 7</t>
        </is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>
        <f>$I$112*INDEX($C$93:$AL$93,1,1)</f>
        <v/>
      </c>
      <c r="J125" s="24">
        <f>$I$112*INDEX($C$93:$AL$93,1,2)</f>
        <v/>
      </c>
      <c r="K125" s="24">
        <f>$I$112*INDEX($C$93:$AL$93,1,3)</f>
        <v/>
      </c>
      <c r="L125" s="24">
        <f>$I$112*INDEX($C$93:$AL$93,1,4)</f>
        <v/>
      </c>
      <c r="M125" s="24">
        <f>$I$112*INDEX($C$93:$AL$93,1,5)</f>
        <v/>
      </c>
      <c r="N125" s="24">
        <f>$I$112*INDEX($C$93:$AL$93,1,6)</f>
        <v/>
      </c>
      <c r="O125" s="24">
        <f>$I$112*INDEX($C$93:$AL$93,1,7)</f>
        <v/>
      </c>
      <c r="P125" s="24">
        <f>$I$112*INDEX($C$93:$AL$93,1,8)</f>
        <v/>
      </c>
      <c r="Q125" s="24">
        <f>$I$112*INDEX($C$93:$AL$93,1,9)</f>
        <v/>
      </c>
      <c r="R125" s="24">
        <f>$I$112*INDEX($C$93:$AL$93,1,10)</f>
        <v/>
      </c>
      <c r="S125" s="24">
        <f>$I$112*INDEX($C$93:$AL$93,1,11)</f>
        <v/>
      </c>
      <c r="T125" s="24">
        <f>$I$112*INDEX($C$93:$AL$93,1,12)</f>
        <v/>
      </c>
      <c r="U125" s="24">
        <f>$I$112*INDEX($C$93:$AL$93,1,13)</f>
        <v/>
      </c>
      <c r="V125" s="24">
        <f>$I$112*INDEX($C$93:$AL$93,1,14)</f>
        <v/>
      </c>
      <c r="W125" s="24">
        <f>$I$112*INDEX($C$93:$AL$93,1,15)</f>
        <v/>
      </c>
      <c r="X125" s="24">
        <f>$I$112*INDEX($C$93:$AL$93,1,16)</f>
        <v/>
      </c>
      <c r="Y125" s="24">
        <f>$I$112*INDEX($C$93:$AL$93,1,17)</f>
        <v/>
      </c>
      <c r="Z125" s="24">
        <f>$I$112*INDEX($C$93:$AL$93,1,18)</f>
        <v/>
      </c>
      <c r="AA125" s="24">
        <f>$I$112*INDEX($C$93:$AL$93,1,19)</f>
        <v/>
      </c>
      <c r="AB125" s="24">
        <f>$I$112*INDEX($C$93:$AL$93,1,20)</f>
        <v/>
      </c>
      <c r="AC125" s="24">
        <f>$I$112*INDEX($C$93:$AL$93,1,21)</f>
        <v/>
      </c>
      <c r="AD125" s="24">
        <f>$I$112*INDEX($C$93:$AL$93,1,22)</f>
        <v/>
      </c>
      <c r="AE125" s="24">
        <f>$I$112*INDEX($C$93:$AL$93,1,23)</f>
        <v/>
      </c>
      <c r="AF125" s="24">
        <f>$I$112*INDEX($C$93:$AL$93,1,24)</f>
        <v/>
      </c>
    </row>
    <row r="126">
      <c r="A126" s="4" t="inlineStr">
        <is>
          <t>Coorte del mese 8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>
        <f>$J$112*INDEX($C$93:$AL$93,1,1)</f>
        <v/>
      </c>
      <c r="K126" s="24">
        <f>$J$112*INDEX($C$93:$AL$93,1,2)</f>
        <v/>
      </c>
      <c r="L126" s="24">
        <f>$J$112*INDEX($C$93:$AL$93,1,3)</f>
        <v/>
      </c>
      <c r="M126" s="24">
        <f>$J$112*INDEX($C$93:$AL$93,1,4)</f>
        <v/>
      </c>
      <c r="N126" s="24">
        <f>$J$112*INDEX($C$93:$AL$93,1,5)</f>
        <v/>
      </c>
      <c r="O126" s="24">
        <f>$J$112*INDEX($C$93:$AL$93,1,6)</f>
        <v/>
      </c>
      <c r="P126" s="24">
        <f>$J$112*INDEX($C$93:$AL$93,1,7)</f>
        <v/>
      </c>
      <c r="Q126" s="24">
        <f>$J$112*INDEX($C$93:$AL$93,1,8)</f>
        <v/>
      </c>
      <c r="R126" s="24">
        <f>$J$112*INDEX($C$93:$AL$93,1,9)</f>
        <v/>
      </c>
      <c r="S126" s="24">
        <f>$J$112*INDEX($C$93:$AL$93,1,10)</f>
        <v/>
      </c>
      <c r="T126" s="24">
        <f>$J$112*INDEX($C$93:$AL$93,1,11)</f>
        <v/>
      </c>
      <c r="U126" s="24">
        <f>$J$112*INDEX($C$93:$AL$93,1,12)</f>
        <v/>
      </c>
      <c r="V126" s="24">
        <f>$J$112*INDEX($C$93:$AL$93,1,13)</f>
        <v/>
      </c>
      <c r="W126" s="24">
        <f>$J$112*INDEX($C$93:$AL$93,1,14)</f>
        <v/>
      </c>
      <c r="X126" s="24">
        <f>$J$112*INDEX($C$93:$AL$93,1,15)</f>
        <v/>
      </c>
      <c r="Y126" s="24">
        <f>$J$112*INDEX($C$93:$AL$93,1,16)</f>
        <v/>
      </c>
      <c r="Z126" s="24">
        <f>$J$112*INDEX($C$93:$AL$93,1,17)</f>
        <v/>
      </c>
      <c r="AA126" s="24">
        <f>$J$112*INDEX($C$93:$AL$93,1,18)</f>
        <v/>
      </c>
      <c r="AB126" s="24">
        <f>$J$112*INDEX($C$93:$AL$93,1,19)</f>
        <v/>
      </c>
      <c r="AC126" s="24">
        <f>$J$112*INDEX($C$93:$AL$93,1,20)</f>
        <v/>
      </c>
      <c r="AD126" s="24">
        <f>$J$112*INDEX($C$93:$AL$93,1,21)</f>
        <v/>
      </c>
      <c r="AE126" s="24">
        <f>$J$112*INDEX($C$93:$AL$93,1,22)</f>
        <v/>
      </c>
      <c r="AF126" s="24">
        <f>$J$112*INDEX($C$93:$AL$93,1,23)</f>
        <v/>
      </c>
    </row>
    <row r="127">
      <c r="A127" s="4" t="inlineStr">
        <is>
          <t>Coorte del mese 9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>
        <f>$K$112*INDEX($C$93:$AL$93,1,1)</f>
        <v/>
      </c>
      <c r="L127" s="24">
        <f>$K$112*INDEX($C$93:$AL$93,1,2)</f>
        <v/>
      </c>
      <c r="M127" s="24">
        <f>$K$112*INDEX($C$93:$AL$93,1,3)</f>
        <v/>
      </c>
      <c r="N127" s="24">
        <f>$K$112*INDEX($C$93:$AL$93,1,4)</f>
        <v/>
      </c>
      <c r="O127" s="24">
        <f>$K$112*INDEX($C$93:$AL$93,1,5)</f>
        <v/>
      </c>
      <c r="P127" s="24">
        <f>$K$112*INDEX($C$93:$AL$93,1,6)</f>
        <v/>
      </c>
      <c r="Q127" s="24">
        <f>$K$112*INDEX($C$93:$AL$93,1,7)</f>
        <v/>
      </c>
      <c r="R127" s="24">
        <f>$K$112*INDEX($C$93:$AL$93,1,8)</f>
        <v/>
      </c>
      <c r="S127" s="24">
        <f>$K$112*INDEX($C$93:$AL$93,1,9)</f>
        <v/>
      </c>
      <c r="T127" s="24">
        <f>$K$112*INDEX($C$93:$AL$93,1,10)</f>
        <v/>
      </c>
      <c r="U127" s="24">
        <f>$K$112*INDEX($C$93:$AL$93,1,11)</f>
        <v/>
      </c>
      <c r="V127" s="24">
        <f>$K$112*INDEX($C$93:$AL$93,1,12)</f>
        <v/>
      </c>
      <c r="W127" s="24">
        <f>$K$112*INDEX($C$93:$AL$93,1,13)</f>
        <v/>
      </c>
      <c r="X127" s="24">
        <f>$K$112*INDEX($C$93:$AL$93,1,14)</f>
        <v/>
      </c>
      <c r="Y127" s="24">
        <f>$K$112*INDEX($C$93:$AL$93,1,15)</f>
        <v/>
      </c>
      <c r="Z127" s="24">
        <f>$K$112*INDEX($C$93:$AL$93,1,16)</f>
        <v/>
      </c>
      <c r="AA127" s="24">
        <f>$K$112*INDEX($C$93:$AL$93,1,17)</f>
        <v/>
      </c>
      <c r="AB127" s="24">
        <f>$K$112*INDEX($C$93:$AL$93,1,18)</f>
        <v/>
      </c>
      <c r="AC127" s="24">
        <f>$K$112*INDEX($C$93:$AL$93,1,19)</f>
        <v/>
      </c>
      <c r="AD127" s="24">
        <f>$K$112*INDEX($C$93:$AL$93,1,20)</f>
        <v/>
      </c>
      <c r="AE127" s="24">
        <f>$K$112*INDEX($C$93:$AL$93,1,21)</f>
        <v/>
      </c>
      <c r="AF127" s="24">
        <f>$K$112*INDEX($C$93:$AL$93,1,22)</f>
        <v/>
      </c>
    </row>
    <row r="128">
      <c r="A128" s="4" t="inlineStr">
        <is>
          <t>Coorte del mese 10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>
        <f>$L$112*INDEX($C$93:$AL$93,1,1)</f>
        <v/>
      </c>
      <c r="M128" s="24">
        <f>$L$112*INDEX($C$93:$AL$93,1,2)</f>
        <v/>
      </c>
      <c r="N128" s="24">
        <f>$L$112*INDEX($C$93:$AL$93,1,3)</f>
        <v/>
      </c>
      <c r="O128" s="24">
        <f>$L$112*INDEX($C$93:$AL$93,1,4)</f>
        <v/>
      </c>
      <c r="P128" s="24">
        <f>$L$112*INDEX($C$93:$AL$93,1,5)</f>
        <v/>
      </c>
      <c r="Q128" s="24">
        <f>$L$112*INDEX($C$93:$AL$93,1,6)</f>
        <v/>
      </c>
      <c r="R128" s="24">
        <f>$L$112*INDEX($C$93:$AL$93,1,7)</f>
        <v/>
      </c>
      <c r="S128" s="24">
        <f>$L$112*INDEX($C$93:$AL$93,1,8)</f>
        <v/>
      </c>
      <c r="T128" s="24">
        <f>$L$112*INDEX($C$93:$AL$93,1,9)</f>
        <v/>
      </c>
      <c r="U128" s="24">
        <f>$L$112*INDEX($C$93:$AL$93,1,10)</f>
        <v/>
      </c>
      <c r="V128" s="24">
        <f>$L$112*INDEX($C$93:$AL$93,1,11)</f>
        <v/>
      </c>
      <c r="W128" s="24">
        <f>$L$112*INDEX($C$93:$AL$93,1,12)</f>
        <v/>
      </c>
      <c r="X128" s="24">
        <f>$L$112*INDEX($C$93:$AL$93,1,13)</f>
        <v/>
      </c>
      <c r="Y128" s="24">
        <f>$L$112*INDEX($C$93:$AL$93,1,14)</f>
        <v/>
      </c>
      <c r="Z128" s="24">
        <f>$L$112*INDEX($C$93:$AL$93,1,15)</f>
        <v/>
      </c>
      <c r="AA128" s="24">
        <f>$L$112*INDEX($C$93:$AL$93,1,16)</f>
        <v/>
      </c>
      <c r="AB128" s="24">
        <f>$L$112*INDEX($C$93:$AL$93,1,17)</f>
        <v/>
      </c>
      <c r="AC128" s="24">
        <f>$L$112*INDEX($C$93:$AL$93,1,18)</f>
        <v/>
      </c>
      <c r="AD128" s="24">
        <f>$L$112*INDEX($C$93:$AL$93,1,19)</f>
        <v/>
      </c>
      <c r="AE128" s="24">
        <f>$L$112*INDEX($C$93:$AL$93,1,20)</f>
        <v/>
      </c>
      <c r="AF128" s="24">
        <f>$L$112*INDEX($C$93:$AL$93,1,21)</f>
        <v/>
      </c>
    </row>
    <row r="129">
      <c r="A129" s="4" t="inlineStr">
        <is>
          <t>Coorte del mese 11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>
        <f>$M$112*INDEX($C$93:$AL$93,1,1)</f>
        <v/>
      </c>
      <c r="N129" s="24">
        <f>$M$112*INDEX($C$93:$AL$93,1,2)</f>
        <v/>
      </c>
      <c r="O129" s="24">
        <f>$M$112*INDEX($C$93:$AL$93,1,3)</f>
        <v/>
      </c>
      <c r="P129" s="24">
        <f>$M$112*INDEX($C$93:$AL$93,1,4)</f>
        <v/>
      </c>
      <c r="Q129" s="24">
        <f>$M$112*INDEX($C$93:$AL$93,1,5)</f>
        <v/>
      </c>
      <c r="R129" s="24">
        <f>$M$112*INDEX($C$93:$AL$93,1,6)</f>
        <v/>
      </c>
      <c r="S129" s="24">
        <f>$M$112*INDEX($C$93:$AL$93,1,7)</f>
        <v/>
      </c>
      <c r="T129" s="24">
        <f>$M$112*INDEX($C$93:$AL$93,1,8)</f>
        <v/>
      </c>
      <c r="U129" s="24">
        <f>$M$112*INDEX($C$93:$AL$93,1,9)</f>
        <v/>
      </c>
      <c r="V129" s="24">
        <f>$M$112*INDEX($C$93:$AL$93,1,10)</f>
        <v/>
      </c>
      <c r="W129" s="24">
        <f>$M$112*INDEX($C$93:$AL$93,1,11)</f>
        <v/>
      </c>
      <c r="X129" s="24">
        <f>$M$112*INDEX($C$93:$AL$93,1,12)</f>
        <v/>
      </c>
      <c r="Y129" s="24">
        <f>$M$112*INDEX($C$93:$AL$93,1,13)</f>
        <v/>
      </c>
      <c r="Z129" s="24">
        <f>$M$112*INDEX($C$93:$AL$93,1,14)</f>
        <v/>
      </c>
      <c r="AA129" s="24">
        <f>$M$112*INDEX($C$93:$AL$93,1,15)</f>
        <v/>
      </c>
      <c r="AB129" s="24">
        <f>$M$112*INDEX($C$93:$AL$93,1,16)</f>
        <v/>
      </c>
      <c r="AC129" s="24">
        <f>$M$112*INDEX($C$93:$AL$93,1,17)</f>
        <v/>
      </c>
      <c r="AD129" s="24">
        <f>$M$112*INDEX($C$93:$AL$93,1,18)</f>
        <v/>
      </c>
      <c r="AE129" s="24">
        <f>$M$112*INDEX($C$93:$AL$93,1,19)</f>
        <v/>
      </c>
      <c r="AF129" s="24">
        <f>$M$112*INDEX($C$93:$AL$93,1,20)</f>
        <v/>
      </c>
    </row>
    <row r="130">
      <c r="A130" s="4" t="inlineStr">
        <is>
          <t>Coorte del mese 12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>
        <f>$N$112*INDEX($C$93:$AL$93,1,1)</f>
        <v/>
      </c>
      <c r="O130" s="24">
        <f>$N$112*INDEX($C$93:$AL$93,1,2)</f>
        <v/>
      </c>
      <c r="P130" s="24">
        <f>$N$112*INDEX($C$93:$AL$93,1,3)</f>
        <v/>
      </c>
      <c r="Q130" s="24">
        <f>$N$112*INDEX($C$93:$AL$93,1,4)</f>
        <v/>
      </c>
      <c r="R130" s="24">
        <f>$N$112*INDEX($C$93:$AL$93,1,5)</f>
        <v/>
      </c>
      <c r="S130" s="24">
        <f>$N$112*INDEX($C$93:$AL$93,1,6)</f>
        <v/>
      </c>
      <c r="T130" s="24">
        <f>$N$112*INDEX($C$93:$AL$93,1,7)</f>
        <v/>
      </c>
      <c r="U130" s="24">
        <f>$N$112*INDEX($C$93:$AL$93,1,8)</f>
        <v/>
      </c>
      <c r="V130" s="24">
        <f>$N$112*INDEX($C$93:$AL$93,1,9)</f>
        <v/>
      </c>
      <c r="W130" s="24">
        <f>$N$112*INDEX($C$93:$AL$93,1,10)</f>
        <v/>
      </c>
      <c r="X130" s="24">
        <f>$N$112*INDEX($C$93:$AL$93,1,11)</f>
        <v/>
      </c>
      <c r="Y130" s="24">
        <f>$N$112*INDEX($C$93:$AL$93,1,12)</f>
        <v/>
      </c>
      <c r="Z130" s="24">
        <f>$N$112*INDEX($C$93:$AL$93,1,13)</f>
        <v/>
      </c>
      <c r="AA130" s="24">
        <f>$N$112*INDEX($C$93:$AL$93,1,14)</f>
        <v/>
      </c>
      <c r="AB130" s="24">
        <f>$N$112*INDEX($C$93:$AL$93,1,15)</f>
        <v/>
      </c>
      <c r="AC130" s="24">
        <f>$N$112*INDEX($C$93:$AL$93,1,16)</f>
        <v/>
      </c>
      <c r="AD130" s="24">
        <f>$N$112*INDEX($C$93:$AL$93,1,17)</f>
        <v/>
      </c>
      <c r="AE130" s="24">
        <f>$N$112*INDEX($C$93:$AL$93,1,18)</f>
        <v/>
      </c>
      <c r="AF130" s="24">
        <f>$N$112*INDEX($C$93:$AL$93,1,19)</f>
        <v/>
      </c>
    </row>
    <row r="131">
      <c r="A131" s="4" t="inlineStr">
        <is>
          <t>Coorte del mese 13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>
        <f>$O$112*INDEX($C$93:$AL$93,1,1)</f>
        <v/>
      </c>
      <c r="P131" s="24">
        <f>$O$112*INDEX($C$93:$AL$93,1,2)</f>
        <v/>
      </c>
      <c r="Q131" s="24">
        <f>$O$112*INDEX($C$93:$AL$93,1,3)</f>
        <v/>
      </c>
      <c r="R131" s="24">
        <f>$O$112*INDEX($C$93:$AL$93,1,4)</f>
        <v/>
      </c>
      <c r="S131" s="24">
        <f>$O$112*INDEX($C$93:$AL$93,1,5)</f>
        <v/>
      </c>
      <c r="T131" s="24">
        <f>$O$112*INDEX($C$93:$AL$93,1,6)</f>
        <v/>
      </c>
      <c r="U131" s="24">
        <f>$O$112*INDEX($C$93:$AL$93,1,7)</f>
        <v/>
      </c>
      <c r="V131" s="24">
        <f>$O$112*INDEX($C$93:$AL$93,1,8)</f>
        <v/>
      </c>
      <c r="W131" s="24">
        <f>$O$112*INDEX($C$93:$AL$93,1,9)</f>
        <v/>
      </c>
      <c r="X131" s="24">
        <f>$O$112*INDEX($C$93:$AL$93,1,10)</f>
        <v/>
      </c>
      <c r="Y131" s="24">
        <f>$O$112*INDEX($C$93:$AL$93,1,11)</f>
        <v/>
      </c>
      <c r="Z131" s="24">
        <f>$O$112*INDEX($C$93:$AL$93,1,12)</f>
        <v/>
      </c>
      <c r="AA131" s="24">
        <f>$O$112*INDEX($C$93:$AL$93,1,13)</f>
        <v/>
      </c>
      <c r="AB131" s="24">
        <f>$O$112*INDEX($C$93:$AL$93,1,14)</f>
        <v/>
      </c>
      <c r="AC131" s="24">
        <f>$O$112*INDEX($C$93:$AL$93,1,15)</f>
        <v/>
      </c>
      <c r="AD131" s="24">
        <f>$O$112*INDEX($C$93:$AL$93,1,16)</f>
        <v/>
      </c>
      <c r="AE131" s="24">
        <f>$O$112*INDEX($C$93:$AL$93,1,17)</f>
        <v/>
      </c>
      <c r="AF131" s="24">
        <f>$O$112*INDEX($C$93:$AL$93,1,18)</f>
        <v/>
      </c>
    </row>
    <row r="132">
      <c r="A132" s="4" t="inlineStr">
        <is>
          <t>Coorte del mese 14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>
        <f>$P$112*INDEX($C$93:$AL$93,1,1)</f>
        <v/>
      </c>
      <c r="Q132" s="24">
        <f>$P$112*INDEX($C$93:$AL$93,1,2)</f>
        <v/>
      </c>
      <c r="R132" s="24">
        <f>$P$112*INDEX($C$93:$AL$93,1,3)</f>
        <v/>
      </c>
      <c r="S132" s="24">
        <f>$P$112*INDEX($C$93:$AL$93,1,4)</f>
        <v/>
      </c>
      <c r="T132" s="24">
        <f>$P$112*INDEX($C$93:$AL$93,1,5)</f>
        <v/>
      </c>
      <c r="U132" s="24">
        <f>$P$112*INDEX($C$93:$AL$93,1,6)</f>
        <v/>
      </c>
      <c r="V132" s="24">
        <f>$P$112*INDEX($C$93:$AL$93,1,7)</f>
        <v/>
      </c>
      <c r="W132" s="24">
        <f>$P$112*INDEX($C$93:$AL$93,1,8)</f>
        <v/>
      </c>
      <c r="X132" s="24">
        <f>$P$112*INDEX($C$93:$AL$93,1,9)</f>
        <v/>
      </c>
      <c r="Y132" s="24">
        <f>$P$112*INDEX($C$93:$AL$93,1,10)</f>
        <v/>
      </c>
      <c r="Z132" s="24">
        <f>$P$112*INDEX($C$93:$AL$93,1,11)</f>
        <v/>
      </c>
      <c r="AA132" s="24">
        <f>$P$112*INDEX($C$93:$AL$93,1,12)</f>
        <v/>
      </c>
      <c r="AB132" s="24">
        <f>$P$112*INDEX($C$93:$AL$93,1,13)</f>
        <v/>
      </c>
      <c r="AC132" s="24">
        <f>$P$112*INDEX($C$93:$AL$93,1,14)</f>
        <v/>
      </c>
      <c r="AD132" s="24">
        <f>$P$112*INDEX($C$93:$AL$93,1,15)</f>
        <v/>
      </c>
      <c r="AE132" s="24">
        <f>$P$112*INDEX($C$93:$AL$93,1,16)</f>
        <v/>
      </c>
      <c r="AF132" s="24">
        <f>$P$112*INDEX($C$93:$AL$93,1,17)</f>
        <v/>
      </c>
    </row>
    <row r="133">
      <c r="A133" s="4" t="inlineStr">
        <is>
          <t>Coorte del mese 15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>
        <f>$Q$112*INDEX($C$93:$AL$93,1,1)</f>
        <v/>
      </c>
      <c r="R133" s="24">
        <f>$Q$112*INDEX($C$93:$AL$93,1,2)</f>
        <v/>
      </c>
      <c r="S133" s="24">
        <f>$Q$112*INDEX($C$93:$AL$93,1,3)</f>
        <v/>
      </c>
      <c r="T133" s="24">
        <f>$Q$112*INDEX($C$93:$AL$93,1,4)</f>
        <v/>
      </c>
      <c r="U133" s="24">
        <f>$Q$112*INDEX($C$93:$AL$93,1,5)</f>
        <v/>
      </c>
      <c r="V133" s="24">
        <f>$Q$112*INDEX($C$93:$AL$93,1,6)</f>
        <v/>
      </c>
      <c r="W133" s="24">
        <f>$Q$112*INDEX($C$93:$AL$93,1,7)</f>
        <v/>
      </c>
      <c r="X133" s="24">
        <f>$Q$112*INDEX($C$93:$AL$93,1,8)</f>
        <v/>
      </c>
      <c r="Y133" s="24">
        <f>$Q$112*INDEX($C$93:$AL$93,1,9)</f>
        <v/>
      </c>
      <c r="Z133" s="24">
        <f>$Q$112*INDEX($C$93:$AL$93,1,10)</f>
        <v/>
      </c>
      <c r="AA133" s="24">
        <f>$Q$112*INDEX($C$93:$AL$93,1,11)</f>
        <v/>
      </c>
      <c r="AB133" s="24">
        <f>$Q$112*INDEX($C$93:$AL$93,1,12)</f>
        <v/>
      </c>
      <c r="AC133" s="24">
        <f>$Q$112*INDEX($C$93:$AL$93,1,13)</f>
        <v/>
      </c>
      <c r="AD133" s="24">
        <f>$Q$112*INDEX($C$93:$AL$93,1,14)</f>
        <v/>
      </c>
      <c r="AE133" s="24">
        <f>$Q$112*INDEX($C$93:$AL$93,1,15)</f>
        <v/>
      </c>
      <c r="AF133" s="24">
        <f>$Q$112*INDEX($C$93:$AL$93,1,16)</f>
        <v/>
      </c>
    </row>
    <row r="134">
      <c r="A134" s="4" t="inlineStr">
        <is>
          <t>Coorte del mese 16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>
        <f>$R$112*INDEX($C$93:$AL$93,1,1)</f>
        <v/>
      </c>
      <c r="S134" s="24">
        <f>$R$112*INDEX($C$93:$AL$93,1,2)</f>
        <v/>
      </c>
      <c r="T134" s="24">
        <f>$R$112*INDEX($C$93:$AL$93,1,3)</f>
        <v/>
      </c>
      <c r="U134" s="24">
        <f>$R$112*INDEX($C$93:$AL$93,1,4)</f>
        <v/>
      </c>
      <c r="V134" s="24">
        <f>$R$112*INDEX($C$93:$AL$93,1,5)</f>
        <v/>
      </c>
      <c r="W134" s="24">
        <f>$R$112*INDEX($C$93:$AL$93,1,6)</f>
        <v/>
      </c>
      <c r="X134" s="24">
        <f>$R$112*INDEX($C$93:$AL$93,1,7)</f>
        <v/>
      </c>
      <c r="Y134" s="24">
        <f>$R$112*INDEX($C$93:$AL$93,1,8)</f>
        <v/>
      </c>
      <c r="Z134" s="24">
        <f>$R$112*INDEX($C$93:$AL$93,1,9)</f>
        <v/>
      </c>
      <c r="AA134" s="24">
        <f>$R$112*INDEX($C$93:$AL$93,1,10)</f>
        <v/>
      </c>
      <c r="AB134" s="24">
        <f>$R$112*INDEX($C$93:$AL$93,1,11)</f>
        <v/>
      </c>
      <c r="AC134" s="24">
        <f>$R$112*INDEX($C$93:$AL$93,1,12)</f>
        <v/>
      </c>
      <c r="AD134" s="24">
        <f>$R$112*INDEX($C$93:$AL$93,1,13)</f>
        <v/>
      </c>
      <c r="AE134" s="24">
        <f>$R$112*INDEX($C$93:$AL$93,1,14)</f>
        <v/>
      </c>
      <c r="AF134" s="24">
        <f>$R$112*INDEX($C$93:$AL$93,1,15)</f>
        <v/>
      </c>
    </row>
    <row r="135">
      <c r="A135" s="4" t="inlineStr">
        <is>
          <t>Coorte del mese 17</t>
        </is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>
        <f>$S$112*INDEX($C$93:$AL$93,1,1)</f>
        <v/>
      </c>
      <c r="T135" s="24">
        <f>$S$112*INDEX($C$93:$AL$93,1,2)</f>
        <v/>
      </c>
      <c r="U135" s="24">
        <f>$S$112*INDEX($C$93:$AL$93,1,3)</f>
        <v/>
      </c>
      <c r="V135" s="24">
        <f>$S$112*INDEX($C$93:$AL$93,1,4)</f>
        <v/>
      </c>
      <c r="W135" s="24">
        <f>$S$112*INDEX($C$93:$AL$93,1,5)</f>
        <v/>
      </c>
      <c r="X135" s="24">
        <f>$S$112*INDEX($C$93:$AL$93,1,6)</f>
        <v/>
      </c>
      <c r="Y135" s="24">
        <f>$S$112*INDEX($C$93:$AL$93,1,7)</f>
        <v/>
      </c>
      <c r="Z135" s="24">
        <f>$S$112*INDEX($C$93:$AL$93,1,8)</f>
        <v/>
      </c>
      <c r="AA135" s="24">
        <f>$S$112*INDEX($C$93:$AL$93,1,9)</f>
        <v/>
      </c>
      <c r="AB135" s="24">
        <f>$S$112*INDEX($C$93:$AL$93,1,10)</f>
        <v/>
      </c>
      <c r="AC135" s="24">
        <f>$S$112*INDEX($C$93:$AL$93,1,11)</f>
        <v/>
      </c>
      <c r="AD135" s="24">
        <f>$S$112*INDEX($C$93:$AL$93,1,12)</f>
        <v/>
      </c>
      <c r="AE135" s="24">
        <f>$S$112*INDEX($C$93:$AL$93,1,13)</f>
        <v/>
      </c>
      <c r="AF135" s="24">
        <f>$S$112*INDEX($C$93:$AL$93,1,14)</f>
        <v/>
      </c>
    </row>
    <row r="136">
      <c r="A136" s="4" t="inlineStr">
        <is>
          <t>Coorte del mese 18</t>
        </is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>
        <f>$T$112*INDEX($C$93:$AL$93,1,1)</f>
        <v/>
      </c>
      <c r="U136" s="24">
        <f>$T$112*INDEX($C$93:$AL$93,1,2)</f>
        <v/>
      </c>
      <c r="V136" s="24">
        <f>$T$112*INDEX($C$93:$AL$93,1,3)</f>
        <v/>
      </c>
      <c r="W136" s="24">
        <f>$T$112*INDEX($C$93:$AL$93,1,4)</f>
        <v/>
      </c>
      <c r="X136" s="24">
        <f>$T$112*INDEX($C$93:$AL$93,1,5)</f>
        <v/>
      </c>
      <c r="Y136" s="24">
        <f>$T$112*INDEX($C$93:$AL$93,1,6)</f>
        <v/>
      </c>
      <c r="Z136" s="24">
        <f>$T$112*INDEX($C$93:$AL$93,1,7)</f>
        <v/>
      </c>
      <c r="AA136" s="24">
        <f>$T$112*INDEX($C$93:$AL$93,1,8)</f>
        <v/>
      </c>
      <c r="AB136" s="24">
        <f>$T$112*INDEX($C$93:$AL$93,1,9)</f>
        <v/>
      </c>
      <c r="AC136" s="24">
        <f>$T$112*INDEX($C$93:$AL$93,1,10)</f>
        <v/>
      </c>
      <c r="AD136" s="24">
        <f>$T$112*INDEX($C$93:$AL$93,1,11)</f>
        <v/>
      </c>
      <c r="AE136" s="24">
        <f>$T$112*INDEX($C$93:$AL$93,1,12)</f>
        <v/>
      </c>
      <c r="AF136" s="24">
        <f>$T$112*INDEX($C$93:$AL$93,1,13)</f>
        <v/>
      </c>
    </row>
    <row r="137">
      <c r="A137" s="4" t="inlineStr">
        <is>
          <t>Coorte del mese 19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>
        <f>$U$112*INDEX($C$93:$AL$93,1,1)</f>
        <v/>
      </c>
      <c r="V137" s="24">
        <f>$U$112*INDEX($C$93:$AL$93,1,2)</f>
        <v/>
      </c>
      <c r="W137" s="24">
        <f>$U$112*INDEX($C$93:$AL$93,1,3)</f>
        <v/>
      </c>
      <c r="X137" s="24">
        <f>$U$112*INDEX($C$93:$AL$93,1,4)</f>
        <v/>
      </c>
      <c r="Y137" s="24">
        <f>$U$112*INDEX($C$93:$AL$93,1,5)</f>
        <v/>
      </c>
      <c r="Z137" s="24">
        <f>$U$112*INDEX($C$93:$AL$93,1,6)</f>
        <v/>
      </c>
      <c r="AA137" s="24">
        <f>$U$112*INDEX($C$93:$AL$93,1,7)</f>
        <v/>
      </c>
      <c r="AB137" s="24">
        <f>$U$112*INDEX($C$93:$AL$93,1,8)</f>
        <v/>
      </c>
      <c r="AC137" s="24">
        <f>$U$112*INDEX($C$93:$AL$93,1,9)</f>
        <v/>
      </c>
      <c r="AD137" s="24">
        <f>$U$112*INDEX($C$93:$AL$93,1,10)</f>
        <v/>
      </c>
      <c r="AE137" s="24">
        <f>$U$112*INDEX($C$93:$AL$93,1,11)</f>
        <v/>
      </c>
      <c r="AF137" s="24">
        <f>$U$112*INDEX($C$93:$AL$93,1,12)</f>
        <v/>
      </c>
    </row>
    <row r="138">
      <c r="A138" s="4" t="inlineStr">
        <is>
          <t>Coorte del mese 20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>
        <f>$V$112*INDEX($C$93:$AL$93,1,1)</f>
        <v/>
      </c>
      <c r="W138" s="24">
        <f>$V$112*INDEX($C$93:$AL$93,1,2)</f>
        <v/>
      </c>
      <c r="X138" s="24">
        <f>$V$112*INDEX($C$93:$AL$93,1,3)</f>
        <v/>
      </c>
      <c r="Y138" s="24">
        <f>$V$112*INDEX($C$93:$AL$93,1,4)</f>
        <v/>
      </c>
      <c r="Z138" s="24">
        <f>$V$112*INDEX($C$93:$AL$93,1,5)</f>
        <v/>
      </c>
      <c r="AA138" s="24">
        <f>$V$112*INDEX($C$93:$AL$93,1,6)</f>
        <v/>
      </c>
      <c r="AB138" s="24">
        <f>$V$112*INDEX($C$93:$AL$93,1,7)</f>
        <v/>
      </c>
      <c r="AC138" s="24">
        <f>$V$112*INDEX($C$93:$AL$93,1,8)</f>
        <v/>
      </c>
      <c r="AD138" s="24">
        <f>$V$112*INDEX($C$93:$AL$93,1,9)</f>
        <v/>
      </c>
      <c r="AE138" s="24">
        <f>$V$112*INDEX($C$93:$AL$93,1,10)</f>
        <v/>
      </c>
      <c r="AF138" s="24">
        <f>$V$112*INDEX($C$93:$AL$93,1,11)</f>
        <v/>
      </c>
    </row>
    <row r="139">
      <c r="A139" s="4" t="inlineStr">
        <is>
          <t>Coorte del mese 21</t>
        </is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>
        <f>$W$112*INDEX($C$93:$AL$93,1,1)</f>
        <v/>
      </c>
      <c r="X139" s="24">
        <f>$W$112*INDEX($C$93:$AL$93,1,2)</f>
        <v/>
      </c>
      <c r="Y139" s="24">
        <f>$W$112*INDEX($C$93:$AL$93,1,3)</f>
        <v/>
      </c>
      <c r="Z139" s="24">
        <f>$W$112*INDEX($C$93:$AL$93,1,4)</f>
        <v/>
      </c>
      <c r="AA139" s="24">
        <f>$W$112*INDEX($C$93:$AL$93,1,5)</f>
        <v/>
      </c>
      <c r="AB139" s="24">
        <f>$W$112*INDEX($C$93:$AL$93,1,6)</f>
        <v/>
      </c>
      <c r="AC139" s="24">
        <f>$W$112*INDEX($C$93:$AL$93,1,7)</f>
        <v/>
      </c>
      <c r="AD139" s="24">
        <f>$W$112*INDEX($C$93:$AL$93,1,8)</f>
        <v/>
      </c>
      <c r="AE139" s="24">
        <f>$W$112*INDEX($C$93:$AL$93,1,9)</f>
        <v/>
      </c>
      <c r="AF139" s="24">
        <f>$W$112*INDEX($C$93:$AL$93,1,10)</f>
        <v/>
      </c>
    </row>
    <row r="140">
      <c r="A140" s="4" t="inlineStr">
        <is>
          <t>Coorte del mese 22</t>
        </is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>
        <f>$X$112*INDEX($C$93:$AL$93,1,1)</f>
        <v/>
      </c>
      <c r="Y140" s="24">
        <f>$X$112*INDEX($C$93:$AL$93,1,2)</f>
        <v/>
      </c>
      <c r="Z140" s="24">
        <f>$X$112*INDEX($C$93:$AL$93,1,3)</f>
        <v/>
      </c>
      <c r="AA140" s="24">
        <f>$X$112*INDEX($C$93:$AL$93,1,4)</f>
        <v/>
      </c>
      <c r="AB140" s="24">
        <f>$X$112*INDEX($C$93:$AL$93,1,5)</f>
        <v/>
      </c>
      <c r="AC140" s="24">
        <f>$X$112*INDEX($C$93:$AL$93,1,6)</f>
        <v/>
      </c>
      <c r="AD140" s="24">
        <f>$X$112*INDEX($C$93:$AL$93,1,7)</f>
        <v/>
      </c>
      <c r="AE140" s="24">
        <f>$X$112*INDEX($C$93:$AL$93,1,8)</f>
        <v/>
      </c>
      <c r="AF140" s="24">
        <f>$X$112*INDEX($C$93:$AL$93,1,9)</f>
        <v/>
      </c>
    </row>
    <row r="141">
      <c r="A141" s="4" t="inlineStr">
        <is>
          <t>Coorte del mese 23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4">
        <f>$Y$112*INDEX($C$93:$AL$93,1,1)</f>
        <v/>
      </c>
      <c r="Z141" s="24">
        <f>$Y$112*INDEX($C$93:$AL$93,1,2)</f>
        <v/>
      </c>
      <c r="AA141" s="24">
        <f>$Y$112*INDEX($C$93:$AL$93,1,3)</f>
        <v/>
      </c>
      <c r="AB141" s="24">
        <f>$Y$112*INDEX($C$93:$AL$93,1,4)</f>
        <v/>
      </c>
      <c r="AC141" s="24">
        <f>$Y$112*INDEX($C$93:$AL$93,1,5)</f>
        <v/>
      </c>
      <c r="AD141" s="24">
        <f>$Y$112*INDEX($C$93:$AL$93,1,6)</f>
        <v/>
      </c>
      <c r="AE141" s="24">
        <f>$Y$112*INDEX($C$93:$AL$93,1,7)</f>
        <v/>
      </c>
      <c r="AF141" s="24">
        <f>$Y$112*INDEX($C$93:$AL$93,1,8)</f>
        <v/>
      </c>
    </row>
    <row r="142">
      <c r="A142" s="4" t="inlineStr">
        <is>
          <t>Coorte del mese 24</t>
        </is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>
        <f>$Z$112*INDEX($C$93:$AL$93,1,1)</f>
        <v/>
      </c>
      <c r="AA142" s="24">
        <f>$Z$112*INDEX($C$93:$AL$93,1,2)</f>
        <v/>
      </c>
      <c r="AB142" s="24">
        <f>$Z$112*INDEX($C$93:$AL$93,1,3)</f>
        <v/>
      </c>
      <c r="AC142" s="24">
        <f>$Z$112*INDEX($C$93:$AL$93,1,4)</f>
        <v/>
      </c>
      <c r="AD142" s="24">
        <f>$Z$112*INDEX($C$93:$AL$93,1,5)</f>
        <v/>
      </c>
      <c r="AE142" s="24">
        <f>$Z$112*INDEX($C$93:$AL$93,1,6)</f>
        <v/>
      </c>
      <c r="AF142" s="24">
        <f>$Z$112*INDEX($C$93:$AL$93,1,7)</f>
        <v/>
      </c>
    </row>
    <row r="143">
      <c r="A143" s="4" t="inlineStr">
        <is>
          <t>Coorte del mese 25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>
        <f>$AA$112*INDEX($C$93:$AL$93,1,1)</f>
        <v/>
      </c>
      <c r="AB143" s="24">
        <f>$AA$112*INDEX($C$93:$AL$93,1,2)</f>
        <v/>
      </c>
      <c r="AC143" s="24">
        <f>$AA$112*INDEX($C$93:$AL$93,1,3)</f>
        <v/>
      </c>
      <c r="AD143" s="24">
        <f>$AA$112*INDEX($C$93:$AL$93,1,4)</f>
        <v/>
      </c>
      <c r="AE143" s="24">
        <f>$AA$112*INDEX($C$93:$AL$93,1,5)</f>
        <v/>
      </c>
      <c r="AF143" s="24">
        <f>$AA$112*INDEX($C$93:$AL$93,1,6)</f>
        <v/>
      </c>
    </row>
    <row r="144">
      <c r="A144" s="4" t="inlineStr">
        <is>
          <t>Coorte del mese 26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>
        <f>$AB$112*INDEX($C$93:$AL$93,1,1)</f>
        <v/>
      </c>
      <c r="AC144" s="24">
        <f>$AB$112*INDEX($C$93:$AL$93,1,2)</f>
        <v/>
      </c>
      <c r="AD144" s="24">
        <f>$AB$112*INDEX($C$93:$AL$93,1,3)</f>
        <v/>
      </c>
      <c r="AE144" s="24">
        <f>$AB$112*INDEX($C$93:$AL$93,1,4)</f>
        <v/>
      </c>
      <c r="AF144" s="24">
        <f>$AB$112*INDEX($C$93:$AL$93,1,5)</f>
        <v/>
      </c>
    </row>
    <row r="145">
      <c r="A145" s="4" t="inlineStr">
        <is>
          <t>Coorte del mese 27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4" t="n">
        <v>0</v>
      </c>
      <c r="Z145" s="24" t="n">
        <v>0</v>
      </c>
      <c r="AA145" s="24" t="n">
        <v>0</v>
      </c>
      <c r="AB145" s="24" t="n">
        <v>0</v>
      </c>
      <c r="AC145" s="24">
        <f>$AC$112*INDEX($C$93:$AL$93,1,1)</f>
        <v/>
      </c>
      <c r="AD145" s="24">
        <f>$AC$112*INDEX($C$93:$AL$93,1,2)</f>
        <v/>
      </c>
      <c r="AE145" s="24">
        <f>$AC$112*INDEX($C$93:$AL$93,1,3)</f>
        <v/>
      </c>
      <c r="AF145" s="24">
        <f>$AC$112*INDEX($C$93:$AL$93,1,4)</f>
        <v/>
      </c>
    </row>
    <row r="146">
      <c r="A146" s="4" t="inlineStr">
        <is>
          <t>Coorte del mese 28</t>
        </is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>
        <f>$AD$112*INDEX($C$93:$AL$93,1,1)</f>
        <v/>
      </c>
      <c r="AE146" s="24">
        <f>$AD$112*INDEX($C$93:$AL$93,1,2)</f>
        <v/>
      </c>
      <c r="AF146" s="24">
        <f>$AD$112*INDEX($C$93:$AL$93,1,3)</f>
        <v/>
      </c>
    </row>
    <row r="147">
      <c r="A147" s="4" t="inlineStr">
        <is>
          <t>Coorte del mese 29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>
        <f>$AE$112*INDEX($C$93:$AL$93,1,1)</f>
        <v/>
      </c>
      <c r="AF147" s="24">
        <f>$AE$112*INDEX($C$93:$AL$93,1,2)</f>
        <v/>
      </c>
    </row>
    <row r="148">
      <c r="A148" s="4" t="inlineStr">
        <is>
          <t>Coorte del mese 30</t>
        </is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>
        <f>$AF$112*INDEX($C$93:$AL$93,1,1)</f>
        <v/>
      </c>
    </row>
    <row r="149">
      <c r="A149" s="3" t="inlineStr">
        <is>
          <t>Totale percorso 6: ordini</t>
        </is>
      </c>
      <c r="C149" s="25">
        <f>SUM(C119:C148)</f>
        <v/>
      </c>
      <c r="D149" s="25">
        <f>SUM(D119:D148)</f>
        <v/>
      </c>
      <c r="E149" s="25">
        <f>SUM(E119:E148)</f>
        <v/>
      </c>
      <c r="F149" s="25">
        <f>SUM(F119:F148)</f>
        <v/>
      </c>
      <c r="G149" s="25">
        <f>SUM(G119:G148)</f>
        <v/>
      </c>
      <c r="H149" s="25">
        <f>SUM(H119:H148)</f>
        <v/>
      </c>
      <c r="I149" s="25">
        <f>SUM(I119:I148)</f>
        <v/>
      </c>
      <c r="J149" s="25">
        <f>SUM(J119:J148)</f>
        <v/>
      </c>
      <c r="K149" s="25">
        <f>SUM(K119:K148)</f>
        <v/>
      </c>
      <c r="L149" s="25">
        <f>SUM(L119:L148)</f>
        <v/>
      </c>
      <c r="M149" s="25">
        <f>SUM(M119:M148)</f>
        <v/>
      </c>
      <c r="N149" s="25">
        <f>SUM(N119:N148)</f>
        <v/>
      </c>
      <c r="O149" s="25">
        <f>SUM(O119:O148)</f>
        <v/>
      </c>
      <c r="P149" s="25">
        <f>SUM(P119:P148)</f>
        <v/>
      </c>
      <c r="Q149" s="25">
        <f>SUM(Q119:Q148)</f>
        <v/>
      </c>
      <c r="R149" s="25">
        <f>SUM(R119:R148)</f>
        <v/>
      </c>
      <c r="S149" s="25">
        <f>SUM(S119:S148)</f>
        <v/>
      </c>
      <c r="T149" s="25">
        <f>SUM(T119:T148)</f>
        <v/>
      </c>
      <c r="U149" s="25">
        <f>SUM(U119:U148)</f>
        <v/>
      </c>
      <c r="V149" s="25">
        <f>SUM(V119:V148)</f>
        <v/>
      </c>
      <c r="W149" s="25">
        <f>SUM(W119:W148)</f>
        <v/>
      </c>
      <c r="X149" s="25">
        <f>SUM(X119:X148)</f>
        <v/>
      </c>
      <c r="Y149" s="25">
        <f>SUM(Y119:Y148)</f>
        <v/>
      </c>
      <c r="Z149" s="25">
        <f>SUM(Z119:Z148)</f>
        <v/>
      </c>
      <c r="AA149" s="25">
        <f>SUM(AA119:AA148)</f>
        <v/>
      </c>
      <c r="AB149" s="25">
        <f>SUM(AB119:AB148)</f>
        <v/>
      </c>
      <c r="AC149" s="25">
        <f>SUM(AC119:AC148)</f>
        <v/>
      </c>
      <c r="AD149" s="25">
        <f>SUM(AD119:AD148)</f>
        <v/>
      </c>
      <c r="AE149" s="25">
        <f>SUM(AE119:AE148)</f>
        <v/>
      </c>
      <c r="AF149" s="25">
        <f>SUM(AF119:AF148)</f>
        <v/>
      </c>
    </row>
    <row r="151">
      <c r="A151" s="10" t="inlineStr">
        <is>
          <t>Percorso 6: rimborsi per coorte (righe = mese di acquisizione, colonne = mese di calendario)</t>
        </is>
      </c>
    </row>
    <row r="152">
      <c r="A152" s="4" t="inlineStr">
        <is>
          <t>Coorte del mese 1</t>
        </is>
      </c>
      <c r="C152" s="24">
        <f>$C$112*INDEX($C$94:$AL$94,1,1)</f>
        <v/>
      </c>
      <c r="D152" s="24">
        <f>$C$112*INDEX($C$94:$AL$94,1,2)</f>
        <v/>
      </c>
      <c r="E152" s="24">
        <f>$C$112*INDEX($C$94:$AL$94,1,3)</f>
        <v/>
      </c>
      <c r="F152" s="24">
        <f>$C$112*INDEX($C$94:$AL$94,1,4)</f>
        <v/>
      </c>
      <c r="G152" s="24">
        <f>$C$112*INDEX($C$94:$AL$94,1,5)</f>
        <v/>
      </c>
      <c r="H152" s="24">
        <f>$C$112*INDEX($C$94:$AL$94,1,6)</f>
        <v/>
      </c>
      <c r="I152" s="24">
        <f>$C$112*INDEX($C$94:$AL$94,1,7)</f>
        <v/>
      </c>
      <c r="J152" s="24">
        <f>$C$112*INDEX($C$94:$AL$94,1,8)</f>
        <v/>
      </c>
      <c r="K152" s="24">
        <f>$C$112*INDEX($C$94:$AL$94,1,9)</f>
        <v/>
      </c>
      <c r="L152" s="24">
        <f>$C$112*INDEX($C$94:$AL$94,1,10)</f>
        <v/>
      </c>
      <c r="M152" s="24">
        <f>$C$112*INDEX($C$94:$AL$94,1,11)</f>
        <v/>
      </c>
      <c r="N152" s="24">
        <f>$C$112*INDEX($C$94:$AL$94,1,12)</f>
        <v/>
      </c>
      <c r="O152" s="24">
        <f>$C$112*INDEX($C$94:$AL$94,1,13)</f>
        <v/>
      </c>
      <c r="P152" s="24">
        <f>$C$112*INDEX($C$94:$AL$94,1,14)</f>
        <v/>
      </c>
      <c r="Q152" s="24">
        <f>$C$112*INDEX($C$94:$AL$94,1,15)</f>
        <v/>
      </c>
      <c r="R152" s="24">
        <f>$C$112*INDEX($C$94:$AL$94,1,16)</f>
        <v/>
      </c>
      <c r="S152" s="24">
        <f>$C$112*INDEX($C$94:$AL$94,1,17)</f>
        <v/>
      </c>
      <c r="T152" s="24">
        <f>$C$112*INDEX($C$94:$AL$94,1,18)</f>
        <v/>
      </c>
      <c r="U152" s="24">
        <f>$C$112*INDEX($C$94:$AL$94,1,19)</f>
        <v/>
      </c>
      <c r="V152" s="24">
        <f>$C$112*INDEX($C$94:$AL$94,1,20)</f>
        <v/>
      </c>
      <c r="W152" s="24">
        <f>$C$112*INDEX($C$94:$AL$94,1,21)</f>
        <v/>
      </c>
      <c r="X152" s="24">
        <f>$C$112*INDEX($C$94:$AL$94,1,22)</f>
        <v/>
      </c>
      <c r="Y152" s="24">
        <f>$C$112*INDEX($C$94:$AL$94,1,23)</f>
        <v/>
      </c>
      <c r="Z152" s="24">
        <f>$C$112*INDEX($C$94:$AL$94,1,24)</f>
        <v/>
      </c>
      <c r="AA152" s="24">
        <f>$C$112*INDEX($C$94:$AL$94,1,25)</f>
        <v/>
      </c>
      <c r="AB152" s="24">
        <f>$C$112*INDEX($C$94:$AL$94,1,26)</f>
        <v/>
      </c>
      <c r="AC152" s="24">
        <f>$C$112*INDEX($C$94:$AL$94,1,27)</f>
        <v/>
      </c>
      <c r="AD152" s="24">
        <f>$C$112*INDEX($C$94:$AL$94,1,28)</f>
        <v/>
      </c>
      <c r="AE152" s="24">
        <f>$C$112*INDEX($C$94:$AL$94,1,29)</f>
        <v/>
      </c>
      <c r="AF152" s="24">
        <f>$C$112*INDEX($C$94:$AL$94,1,30)</f>
        <v/>
      </c>
    </row>
    <row r="153">
      <c r="A153" s="4" t="inlineStr">
        <is>
          <t>Coorte del mese 2</t>
        </is>
      </c>
      <c r="C153" s="24" t="n">
        <v>0</v>
      </c>
      <c r="D153" s="24">
        <f>$D$112*INDEX($C$94:$AL$94,1,1)</f>
        <v/>
      </c>
      <c r="E153" s="24">
        <f>$D$112*INDEX($C$94:$AL$94,1,2)</f>
        <v/>
      </c>
      <c r="F153" s="24">
        <f>$D$112*INDEX($C$94:$AL$94,1,3)</f>
        <v/>
      </c>
      <c r="G153" s="24">
        <f>$D$112*INDEX($C$94:$AL$94,1,4)</f>
        <v/>
      </c>
      <c r="H153" s="24">
        <f>$D$112*INDEX($C$94:$AL$94,1,5)</f>
        <v/>
      </c>
      <c r="I153" s="24">
        <f>$D$112*INDEX($C$94:$AL$94,1,6)</f>
        <v/>
      </c>
      <c r="J153" s="24">
        <f>$D$112*INDEX($C$94:$AL$94,1,7)</f>
        <v/>
      </c>
      <c r="K153" s="24">
        <f>$D$112*INDEX($C$94:$AL$94,1,8)</f>
        <v/>
      </c>
      <c r="L153" s="24">
        <f>$D$112*INDEX($C$94:$AL$94,1,9)</f>
        <v/>
      </c>
      <c r="M153" s="24">
        <f>$D$112*INDEX($C$94:$AL$94,1,10)</f>
        <v/>
      </c>
      <c r="N153" s="24">
        <f>$D$112*INDEX($C$94:$AL$94,1,11)</f>
        <v/>
      </c>
      <c r="O153" s="24">
        <f>$D$112*INDEX($C$94:$AL$94,1,12)</f>
        <v/>
      </c>
      <c r="P153" s="24">
        <f>$D$112*INDEX($C$94:$AL$94,1,13)</f>
        <v/>
      </c>
      <c r="Q153" s="24">
        <f>$D$112*INDEX($C$94:$AL$94,1,14)</f>
        <v/>
      </c>
      <c r="R153" s="24">
        <f>$D$112*INDEX($C$94:$AL$94,1,15)</f>
        <v/>
      </c>
      <c r="S153" s="24">
        <f>$D$112*INDEX($C$94:$AL$94,1,16)</f>
        <v/>
      </c>
      <c r="T153" s="24">
        <f>$D$112*INDEX($C$94:$AL$94,1,17)</f>
        <v/>
      </c>
      <c r="U153" s="24">
        <f>$D$112*INDEX($C$94:$AL$94,1,18)</f>
        <v/>
      </c>
      <c r="V153" s="24">
        <f>$D$112*INDEX($C$94:$AL$94,1,19)</f>
        <v/>
      </c>
      <c r="W153" s="24">
        <f>$D$112*INDEX($C$94:$AL$94,1,20)</f>
        <v/>
      </c>
      <c r="X153" s="24">
        <f>$D$112*INDEX($C$94:$AL$94,1,21)</f>
        <v/>
      </c>
      <c r="Y153" s="24">
        <f>$D$112*INDEX($C$94:$AL$94,1,22)</f>
        <v/>
      </c>
      <c r="Z153" s="24">
        <f>$D$112*INDEX($C$94:$AL$94,1,23)</f>
        <v/>
      </c>
      <c r="AA153" s="24">
        <f>$D$112*INDEX($C$94:$AL$94,1,24)</f>
        <v/>
      </c>
      <c r="AB153" s="24">
        <f>$D$112*INDEX($C$94:$AL$94,1,25)</f>
        <v/>
      </c>
      <c r="AC153" s="24">
        <f>$D$112*INDEX($C$94:$AL$94,1,26)</f>
        <v/>
      </c>
      <c r="AD153" s="24">
        <f>$D$112*INDEX($C$94:$AL$94,1,27)</f>
        <v/>
      </c>
      <c r="AE153" s="24">
        <f>$D$112*INDEX($C$94:$AL$94,1,28)</f>
        <v/>
      </c>
      <c r="AF153" s="24">
        <f>$D$112*INDEX($C$94:$AL$94,1,29)</f>
        <v/>
      </c>
    </row>
    <row r="154">
      <c r="A154" s="4" t="inlineStr">
        <is>
          <t>Coorte del mese 3</t>
        </is>
      </c>
      <c r="C154" s="24" t="n">
        <v>0</v>
      </c>
      <c r="D154" s="24" t="n">
        <v>0</v>
      </c>
      <c r="E154" s="24">
        <f>$E$112*INDEX($C$94:$AL$94,1,1)</f>
        <v/>
      </c>
      <c r="F154" s="24">
        <f>$E$112*INDEX($C$94:$AL$94,1,2)</f>
        <v/>
      </c>
      <c r="G154" s="24">
        <f>$E$112*INDEX($C$94:$AL$94,1,3)</f>
        <v/>
      </c>
      <c r="H154" s="24">
        <f>$E$112*INDEX($C$94:$AL$94,1,4)</f>
        <v/>
      </c>
      <c r="I154" s="24">
        <f>$E$112*INDEX($C$94:$AL$94,1,5)</f>
        <v/>
      </c>
      <c r="J154" s="24">
        <f>$E$112*INDEX($C$94:$AL$94,1,6)</f>
        <v/>
      </c>
      <c r="K154" s="24">
        <f>$E$112*INDEX($C$94:$AL$94,1,7)</f>
        <v/>
      </c>
      <c r="L154" s="24">
        <f>$E$112*INDEX($C$94:$AL$94,1,8)</f>
        <v/>
      </c>
      <c r="M154" s="24">
        <f>$E$112*INDEX($C$94:$AL$94,1,9)</f>
        <v/>
      </c>
      <c r="N154" s="24">
        <f>$E$112*INDEX($C$94:$AL$94,1,10)</f>
        <v/>
      </c>
      <c r="O154" s="24">
        <f>$E$112*INDEX($C$94:$AL$94,1,11)</f>
        <v/>
      </c>
      <c r="P154" s="24">
        <f>$E$112*INDEX($C$94:$AL$94,1,12)</f>
        <v/>
      </c>
      <c r="Q154" s="24">
        <f>$E$112*INDEX($C$94:$AL$94,1,13)</f>
        <v/>
      </c>
      <c r="R154" s="24">
        <f>$E$112*INDEX($C$94:$AL$94,1,14)</f>
        <v/>
      </c>
      <c r="S154" s="24">
        <f>$E$112*INDEX($C$94:$AL$94,1,15)</f>
        <v/>
      </c>
      <c r="T154" s="24">
        <f>$E$112*INDEX($C$94:$AL$94,1,16)</f>
        <v/>
      </c>
      <c r="U154" s="24">
        <f>$E$112*INDEX($C$94:$AL$94,1,17)</f>
        <v/>
      </c>
      <c r="V154" s="24">
        <f>$E$112*INDEX($C$94:$AL$94,1,18)</f>
        <v/>
      </c>
      <c r="W154" s="24">
        <f>$E$112*INDEX($C$94:$AL$94,1,19)</f>
        <v/>
      </c>
      <c r="X154" s="24">
        <f>$E$112*INDEX($C$94:$AL$94,1,20)</f>
        <v/>
      </c>
      <c r="Y154" s="24">
        <f>$E$112*INDEX($C$94:$AL$94,1,21)</f>
        <v/>
      </c>
      <c r="Z154" s="24">
        <f>$E$112*INDEX($C$94:$AL$94,1,22)</f>
        <v/>
      </c>
      <c r="AA154" s="24">
        <f>$E$112*INDEX($C$94:$AL$94,1,23)</f>
        <v/>
      </c>
      <c r="AB154" s="24">
        <f>$E$112*INDEX($C$94:$AL$94,1,24)</f>
        <v/>
      </c>
      <c r="AC154" s="24">
        <f>$E$112*INDEX($C$94:$AL$94,1,25)</f>
        <v/>
      </c>
      <c r="AD154" s="24">
        <f>$E$112*INDEX($C$94:$AL$94,1,26)</f>
        <v/>
      </c>
      <c r="AE154" s="24">
        <f>$E$112*INDEX($C$94:$AL$94,1,27)</f>
        <v/>
      </c>
      <c r="AF154" s="24">
        <f>$E$112*INDEX($C$94:$AL$94,1,28)</f>
        <v/>
      </c>
    </row>
    <row r="155">
      <c r="A155" s="4" t="inlineStr">
        <is>
          <t>Coorte del mese 4</t>
        </is>
      </c>
      <c r="C155" s="24" t="n">
        <v>0</v>
      </c>
      <c r="D155" s="24" t="n">
        <v>0</v>
      </c>
      <c r="E155" s="24" t="n">
        <v>0</v>
      </c>
      <c r="F155" s="24">
        <f>$F$112*INDEX($C$94:$AL$94,1,1)</f>
        <v/>
      </c>
      <c r="G155" s="24">
        <f>$F$112*INDEX($C$94:$AL$94,1,2)</f>
        <v/>
      </c>
      <c r="H155" s="24">
        <f>$F$112*INDEX($C$94:$AL$94,1,3)</f>
        <v/>
      </c>
      <c r="I155" s="24">
        <f>$F$112*INDEX($C$94:$AL$94,1,4)</f>
        <v/>
      </c>
      <c r="J155" s="24">
        <f>$F$112*INDEX($C$94:$AL$94,1,5)</f>
        <v/>
      </c>
      <c r="K155" s="24">
        <f>$F$112*INDEX($C$94:$AL$94,1,6)</f>
        <v/>
      </c>
      <c r="L155" s="24">
        <f>$F$112*INDEX($C$94:$AL$94,1,7)</f>
        <v/>
      </c>
      <c r="M155" s="24">
        <f>$F$112*INDEX($C$94:$AL$94,1,8)</f>
        <v/>
      </c>
      <c r="N155" s="24">
        <f>$F$112*INDEX($C$94:$AL$94,1,9)</f>
        <v/>
      </c>
      <c r="O155" s="24">
        <f>$F$112*INDEX($C$94:$AL$94,1,10)</f>
        <v/>
      </c>
      <c r="P155" s="24">
        <f>$F$112*INDEX($C$94:$AL$94,1,11)</f>
        <v/>
      </c>
      <c r="Q155" s="24">
        <f>$F$112*INDEX($C$94:$AL$94,1,12)</f>
        <v/>
      </c>
      <c r="R155" s="24">
        <f>$F$112*INDEX($C$94:$AL$94,1,13)</f>
        <v/>
      </c>
      <c r="S155" s="24">
        <f>$F$112*INDEX($C$94:$AL$94,1,14)</f>
        <v/>
      </c>
      <c r="T155" s="24">
        <f>$F$112*INDEX($C$94:$AL$94,1,15)</f>
        <v/>
      </c>
      <c r="U155" s="24">
        <f>$F$112*INDEX($C$94:$AL$94,1,16)</f>
        <v/>
      </c>
      <c r="V155" s="24">
        <f>$F$112*INDEX($C$94:$AL$94,1,17)</f>
        <v/>
      </c>
      <c r="W155" s="24">
        <f>$F$112*INDEX($C$94:$AL$94,1,18)</f>
        <v/>
      </c>
      <c r="X155" s="24">
        <f>$F$112*INDEX($C$94:$AL$94,1,19)</f>
        <v/>
      </c>
      <c r="Y155" s="24">
        <f>$F$112*INDEX($C$94:$AL$94,1,20)</f>
        <v/>
      </c>
      <c r="Z155" s="24">
        <f>$F$112*INDEX($C$94:$AL$94,1,21)</f>
        <v/>
      </c>
      <c r="AA155" s="24">
        <f>$F$112*INDEX($C$94:$AL$94,1,22)</f>
        <v/>
      </c>
      <c r="AB155" s="24">
        <f>$F$112*INDEX($C$94:$AL$94,1,23)</f>
        <v/>
      </c>
      <c r="AC155" s="24">
        <f>$F$112*INDEX($C$94:$AL$94,1,24)</f>
        <v/>
      </c>
      <c r="AD155" s="24">
        <f>$F$112*INDEX($C$94:$AL$94,1,25)</f>
        <v/>
      </c>
      <c r="AE155" s="24">
        <f>$F$112*INDEX($C$94:$AL$94,1,26)</f>
        <v/>
      </c>
      <c r="AF155" s="24">
        <f>$F$112*INDEX($C$94:$AL$94,1,27)</f>
        <v/>
      </c>
    </row>
    <row r="156">
      <c r="A156" s="4" t="inlineStr">
        <is>
          <t>Coorte del mese 5</t>
        </is>
      </c>
      <c r="C156" s="24" t="n">
        <v>0</v>
      </c>
      <c r="D156" s="24" t="n">
        <v>0</v>
      </c>
      <c r="E156" s="24" t="n">
        <v>0</v>
      </c>
      <c r="F156" s="24" t="n">
        <v>0</v>
      </c>
      <c r="G156" s="24">
        <f>$G$112*INDEX($C$94:$AL$94,1,1)</f>
        <v/>
      </c>
      <c r="H156" s="24">
        <f>$G$112*INDEX($C$94:$AL$94,1,2)</f>
        <v/>
      </c>
      <c r="I156" s="24">
        <f>$G$112*INDEX($C$94:$AL$94,1,3)</f>
        <v/>
      </c>
      <c r="J156" s="24">
        <f>$G$112*INDEX($C$94:$AL$94,1,4)</f>
        <v/>
      </c>
      <c r="K156" s="24">
        <f>$G$112*INDEX($C$94:$AL$94,1,5)</f>
        <v/>
      </c>
      <c r="L156" s="24">
        <f>$G$112*INDEX($C$94:$AL$94,1,6)</f>
        <v/>
      </c>
      <c r="M156" s="24">
        <f>$G$112*INDEX($C$94:$AL$94,1,7)</f>
        <v/>
      </c>
      <c r="N156" s="24">
        <f>$G$112*INDEX($C$94:$AL$94,1,8)</f>
        <v/>
      </c>
      <c r="O156" s="24">
        <f>$G$112*INDEX($C$94:$AL$94,1,9)</f>
        <v/>
      </c>
      <c r="P156" s="24">
        <f>$G$112*INDEX($C$94:$AL$94,1,10)</f>
        <v/>
      </c>
      <c r="Q156" s="24">
        <f>$G$112*INDEX($C$94:$AL$94,1,11)</f>
        <v/>
      </c>
      <c r="R156" s="24">
        <f>$G$112*INDEX($C$94:$AL$94,1,12)</f>
        <v/>
      </c>
      <c r="S156" s="24">
        <f>$G$112*INDEX($C$94:$AL$94,1,13)</f>
        <v/>
      </c>
      <c r="T156" s="24">
        <f>$G$112*INDEX($C$94:$AL$94,1,14)</f>
        <v/>
      </c>
      <c r="U156" s="24">
        <f>$G$112*INDEX($C$94:$AL$94,1,15)</f>
        <v/>
      </c>
      <c r="V156" s="24">
        <f>$G$112*INDEX($C$94:$AL$94,1,16)</f>
        <v/>
      </c>
      <c r="W156" s="24">
        <f>$G$112*INDEX($C$94:$AL$94,1,17)</f>
        <v/>
      </c>
      <c r="X156" s="24">
        <f>$G$112*INDEX($C$94:$AL$94,1,18)</f>
        <v/>
      </c>
      <c r="Y156" s="24">
        <f>$G$112*INDEX($C$94:$AL$94,1,19)</f>
        <v/>
      </c>
      <c r="Z156" s="24">
        <f>$G$112*INDEX($C$94:$AL$94,1,20)</f>
        <v/>
      </c>
      <c r="AA156" s="24">
        <f>$G$112*INDEX($C$94:$AL$94,1,21)</f>
        <v/>
      </c>
      <c r="AB156" s="24">
        <f>$G$112*INDEX($C$94:$AL$94,1,22)</f>
        <v/>
      </c>
      <c r="AC156" s="24">
        <f>$G$112*INDEX($C$94:$AL$94,1,23)</f>
        <v/>
      </c>
      <c r="AD156" s="24">
        <f>$G$112*INDEX($C$94:$AL$94,1,24)</f>
        <v/>
      </c>
      <c r="AE156" s="24">
        <f>$G$112*INDEX($C$94:$AL$94,1,25)</f>
        <v/>
      </c>
      <c r="AF156" s="24">
        <f>$G$112*INDEX($C$94:$AL$94,1,26)</f>
        <v/>
      </c>
    </row>
    <row r="157">
      <c r="A157" s="4" t="inlineStr">
        <is>
          <t>Coorte del mese 6</t>
        </is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>
        <f>$H$112*INDEX($C$94:$AL$94,1,1)</f>
        <v/>
      </c>
      <c r="I157" s="24">
        <f>$H$112*INDEX($C$94:$AL$94,1,2)</f>
        <v/>
      </c>
      <c r="J157" s="24">
        <f>$H$112*INDEX($C$94:$AL$94,1,3)</f>
        <v/>
      </c>
      <c r="K157" s="24">
        <f>$H$112*INDEX($C$94:$AL$94,1,4)</f>
        <v/>
      </c>
      <c r="L157" s="24">
        <f>$H$112*INDEX($C$94:$AL$94,1,5)</f>
        <v/>
      </c>
      <c r="M157" s="24">
        <f>$H$112*INDEX($C$94:$AL$94,1,6)</f>
        <v/>
      </c>
      <c r="N157" s="24">
        <f>$H$112*INDEX($C$94:$AL$94,1,7)</f>
        <v/>
      </c>
      <c r="O157" s="24">
        <f>$H$112*INDEX($C$94:$AL$94,1,8)</f>
        <v/>
      </c>
      <c r="P157" s="24">
        <f>$H$112*INDEX($C$94:$AL$94,1,9)</f>
        <v/>
      </c>
      <c r="Q157" s="24">
        <f>$H$112*INDEX($C$94:$AL$94,1,10)</f>
        <v/>
      </c>
      <c r="R157" s="24">
        <f>$H$112*INDEX($C$94:$AL$94,1,11)</f>
        <v/>
      </c>
      <c r="S157" s="24">
        <f>$H$112*INDEX($C$94:$AL$94,1,12)</f>
        <v/>
      </c>
      <c r="T157" s="24">
        <f>$H$112*INDEX($C$94:$AL$94,1,13)</f>
        <v/>
      </c>
      <c r="U157" s="24">
        <f>$H$112*INDEX($C$94:$AL$94,1,14)</f>
        <v/>
      </c>
      <c r="V157" s="24">
        <f>$H$112*INDEX($C$94:$AL$94,1,15)</f>
        <v/>
      </c>
      <c r="W157" s="24">
        <f>$H$112*INDEX($C$94:$AL$94,1,16)</f>
        <v/>
      </c>
      <c r="X157" s="24">
        <f>$H$112*INDEX($C$94:$AL$94,1,17)</f>
        <v/>
      </c>
      <c r="Y157" s="24">
        <f>$H$112*INDEX($C$94:$AL$94,1,18)</f>
        <v/>
      </c>
      <c r="Z157" s="24">
        <f>$H$112*INDEX($C$94:$AL$94,1,19)</f>
        <v/>
      </c>
      <c r="AA157" s="24">
        <f>$H$112*INDEX($C$94:$AL$94,1,20)</f>
        <v/>
      </c>
      <c r="AB157" s="24">
        <f>$H$112*INDEX($C$94:$AL$94,1,21)</f>
        <v/>
      </c>
      <c r="AC157" s="24">
        <f>$H$112*INDEX($C$94:$AL$94,1,22)</f>
        <v/>
      </c>
      <c r="AD157" s="24">
        <f>$H$112*INDEX($C$94:$AL$94,1,23)</f>
        <v/>
      </c>
      <c r="AE157" s="24">
        <f>$H$112*INDEX($C$94:$AL$94,1,24)</f>
        <v/>
      </c>
      <c r="AF157" s="24">
        <f>$H$112*INDEX($C$94:$AL$94,1,25)</f>
        <v/>
      </c>
    </row>
    <row r="158">
      <c r="A158" s="4" t="inlineStr">
        <is>
          <t>Coorte del mese 7</t>
        </is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>
        <f>$I$112*INDEX($C$94:$AL$94,1,1)</f>
        <v/>
      </c>
      <c r="J158" s="24">
        <f>$I$112*INDEX($C$94:$AL$94,1,2)</f>
        <v/>
      </c>
      <c r="K158" s="24">
        <f>$I$112*INDEX($C$94:$AL$94,1,3)</f>
        <v/>
      </c>
      <c r="L158" s="24">
        <f>$I$112*INDEX($C$94:$AL$94,1,4)</f>
        <v/>
      </c>
      <c r="M158" s="24">
        <f>$I$112*INDEX($C$94:$AL$94,1,5)</f>
        <v/>
      </c>
      <c r="N158" s="24">
        <f>$I$112*INDEX($C$94:$AL$94,1,6)</f>
        <v/>
      </c>
      <c r="O158" s="24">
        <f>$I$112*INDEX($C$94:$AL$94,1,7)</f>
        <v/>
      </c>
      <c r="P158" s="24">
        <f>$I$112*INDEX($C$94:$AL$94,1,8)</f>
        <v/>
      </c>
      <c r="Q158" s="24">
        <f>$I$112*INDEX($C$94:$AL$94,1,9)</f>
        <v/>
      </c>
      <c r="R158" s="24">
        <f>$I$112*INDEX($C$94:$AL$94,1,10)</f>
        <v/>
      </c>
      <c r="S158" s="24">
        <f>$I$112*INDEX($C$94:$AL$94,1,11)</f>
        <v/>
      </c>
      <c r="T158" s="24">
        <f>$I$112*INDEX($C$94:$AL$94,1,12)</f>
        <v/>
      </c>
      <c r="U158" s="24">
        <f>$I$112*INDEX($C$94:$AL$94,1,13)</f>
        <v/>
      </c>
      <c r="V158" s="24">
        <f>$I$112*INDEX($C$94:$AL$94,1,14)</f>
        <v/>
      </c>
      <c r="W158" s="24">
        <f>$I$112*INDEX($C$94:$AL$94,1,15)</f>
        <v/>
      </c>
      <c r="X158" s="24">
        <f>$I$112*INDEX($C$94:$AL$94,1,16)</f>
        <v/>
      </c>
      <c r="Y158" s="24">
        <f>$I$112*INDEX($C$94:$AL$94,1,17)</f>
        <v/>
      </c>
      <c r="Z158" s="24">
        <f>$I$112*INDEX($C$94:$AL$94,1,18)</f>
        <v/>
      </c>
      <c r="AA158" s="24">
        <f>$I$112*INDEX($C$94:$AL$94,1,19)</f>
        <v/>
      </c>
      <c r="AB158" s="24">
        <f>$I$112*INDEX($C$94:$AL$94,1,20)</f>
        <v/>
      </c>
      <c r="AC158" s="24">
        <f>$I$112*INDEX($C$94:$AL$94,1,21)</f>
        <v/>
      </c>
      <c r="AD158" s="24">
        <f>$I$112*INDEX($C$94:$AL$94,1,22)</f>
        <v/>
      </c>
      <c r="AE158" s="24">
        <f>$I$112*INDEX($C$94:$AL$94,1,23)</f>
        <v/>
      </c>
      <c r="AF158" s="24">
        <f>$I$112*INDEX($C$94:$AL$94,1,24)</f>
        <v/>
      </c>
    </row>
    <row r="159">
      <c r="A159" s="4" t="inlineStr">
        <is>
          <t>Coorte del mese 8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>
        <f>$J$112*INDEX($C$94:$AL$94,1,1)</f>
        <v/>
      </c>
      <c r="K159" s="24">
        <f>$J$112*INDEX($C$94:$AL$94,1,2)</f>
        <v/>
      </c>
      <c r="L159" s="24">
        <f>$J$112*INDEX($C$94:$AL$94,1,3)</f>
        <v/>
      </c>
      <c r="M159" s="24">
        <f>$J$112*INDEX($C$94:$AL$94,1,4)</f>
        <v/>
      </c>
      <c r="N159" s="24">
        <f>$J$112*INDEX($C$94:$AL$94,1,5)</f>
        <v/>
      </c>
      <c r="O159" s="24">
        <f>$J$112*INDEX($C$94:$AL$94,1,6)</f>
        <v/>
      </c>
      <c r="P159" s="24">
        <f>$J$112*INDEX($C$94:$AL$94,1,7)</f>
        <v/>
      </c>
      <c r="Q159" s="24">
        <f>$J$112*INDEX($C$94:$AL$94,1,8)</f>
        <v/>
      </c>
      <c r="R159" s="24">
        <f>$J$112*INDEX($C$94:$AL$94,1,9)</f>
        <v/>
      </c>
      <c r="S159" s="24">
        <f>$J$112*INDEX($C$94:$AL$94,1,10)</f>
        <v/>
      </c>
      <c r="T159" s="24">
        <f>$J$112*INDEX($C$94:$AL$94,1,11)</f>
        <v/>
      </c>
      <c r="U159" s="24">
        <f>$J$112*INDEX($C$94:$AL$94,1,12)</f>
        <v/>
      </c>
      <c r="V159" s="24">
        <f>$J$112*INDEX($C$94:$AL$94,1,13)</f>
        <v/>
      </c>
      <c r="W159" s="24">
        <f>$J$112*INDEX($C$94:$AL$94,1,14)</f>
        <v/>
      </c>
      <c r="X159" s="24">
        <f>$J$112*INDEX($C$94:$AL$94,1,15)</f>
        <v/>
      </c>
      <c r="Y159" s="24">
        <f>$J$112*INDEX($C$94:$AL$94,1,16)</f>
        <v/>
      </c>
      <c r="Z159" s="24">
        <f>$J$112*INDEX($C$94:$AL$94,1,17)</f>
        <v/>
      </c>
      <c r="AA159" s="24">
        <f>$J$112*INDEX($C$94:$AL$94,1,18)</f>
        <v/>
      </c>
      <c r="AB159" s="24">
        <f>$J$112*INDEX($C$94:$AL$94,1,19)</f>
        <v/>
      </c>
      <c r="AC159" s="24">
        <f>$J$112*INDEX($C$94:$AL$94,1,20)</f>
        <v/>
      </c>
      <c r="AD159" s="24">
        <f>$J$112*INDEX($C$94:$AL$94,1,21)</f>
        <v/>
      </c>
      <c r="AE159" s="24">
        <f>$J$112*INDEX($C$94:$AL$94,1,22)</f>
        <v/>
      </c>
      <c r="AF159" s="24">
        <f>$J$112*INDEX($C$94:$AL$94,1,23)</f>
        <v/>
      </c>
    </row>
    <row r="160">
      <c r="A160" s="4" t="inlineStr">
        <is>
          <t>Coorte del mese 9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>
        <f>$K$112*INDEX($C$94:$AL$94,1,1)</f>
        <v/>
      </c>
      <c r="L160" s="24">
        <f>$K$112*INDEX($C$94:$AL$94,1,2)</f>
        <v/>
      </c>
      <c r="M160" s="24">
        <f>$K$112*INDEX($C$94:$AL$94,1,3)</f>
        <v/>
      </c>
      <c r="N160" s="24">
        <f>$K$112*INDEX($C$94:$AL$94,1,4)</f>
        <v/>
      </c>
      <c r="O160" s="24">
        <f>$K$112*INDEX($C$94:$AL$94,1,5)</f>
        <v/>
      </c>
      <c r="P160" s="24">
        <f>$K$112*INDEX($C$94:$AL$94,1,6)</f>
        <v/>
      </c>
      <c r="Q160" s="24">
        <f>$K$112*INDEX($C$94:$AL$94,1,7)</f>
        <v/>
      </c>
      <c r="R160" s="24">
        <f>$K$112*INDEX($C$94:$AL$94,1,8)</f>
        <v/>
      </c>
      <c r="S160" s="24">
        <f>$K$112*INDEX($C$94:$AL$94,1,9)</f>
        <v/>
      </c>
      <c r="T160" s="24">
        <f>$K$112*INDEX($C$94:$AL$94,1,10)</f>
        <v/>
      </c>
      <c r="U160" s="24">
        <f>$K$112*INDEX($C$94:$AL$94,1,11)</f>
        <v/>
      </c>
      <c r="V160" s="24">
        <f>$K$112*INDEX($C$94:$AL$94,1,12)</f>
        <v/>
      </c>
      <c r="W160" s="24">
        <f>$K$112*INDEX($C$94:$AL$94,1,13)</f>
        <v/>
      </c>
      <c r="X160" s="24">
        <f>$K$112*INDEX($C$94:$AL$94,1,14)</f>
        <v/>
      </c>
      <c r="Y160" s="24">
        <f>$K$112*INDEX($C$94:$AL$94,1,15)</f>
        <v/>
      </c>
      <c r="Z160" s="24">
        <f>$K$112*INDEX($C$94:$AL$94,1,16)</f>
        <v/>
      </c>
      <c r="AA160" s="24">
        <f>$K$112*INDEX($C$94:$AL$94,1,17)</f>
        <v/>
      </c>
      <c r="AB160" s="24">
        <f>$K$112*INDEX($C$94:$AL$94,1,18)</f>
        <v/>
      </c>
      <c r="AC160" s="24">
        <f>$K$112*INDEX($C$94:$AL$94,1,19)</f>
        <v/>
      </c>
      <c r="AD160" s="24">
        <f>$K$112*INDEX($C$94:$AL$94,1,20)</f>
        <v/>
      </c>
      <c r="AE160" s="24">
        <f>$K$112*INDEX($C$94:$AL$94,1,21)</f>
        <v/>
      </c>
      <c r="AF160" s="24">
        <f>$K$112*INDEX($C$94:$AL$94,1,22)</f>
        <v/>
      </c>
    </row>
    <row r="161">
      <c r="A161" s="4" t="inlineStr">
        <is>
          <t>Coorte del mese 10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>
        <f>$L$112*INDEX($C$94:$AL$94,1,1)</f>
        <v/>
      </c>
      <c r="M161" s="24">
        <f>$L$112*INDEX($C$94:$AL$94,1,2)</f>
        <v/>
      </c>
      <c r="N161" s="24">
        <f>$L$112*INDEX($C$94:$AL$94,1,3)</f>
        <v/>
      </c>
      <c r="O161" s="24">
        <f>$L$112*INDEX($C$94:$AL$94,1,4)</f>
        <v/>
      </c>
      <c r="P161" s="24">
        <f>$L$112*INDEX($C$94:$AL$94,1,5)</f>
        <v/>
      </c>
      <c r="Q161" s="24">
        <f>$L$112*INDEX($C$94:$AL$94,1,6)</f>
        <v/>
      </c>
      <c r="R161" s="24">
        <f>$L$112*INDEX($C$94:$AL$94,1,7)</f>
        <v/>
      </c>
      <c r="S161" s="24">
        <f>$L$112*INDEX($C$94:$AL$94,1,8)</f>
        <v/>
      </c>
      <c r="T161" s="24">
        <f>$L$112*INDEX($C$94:$AL$94,1,9)</f>
        <v/>
      </c>
      <c r="U161" s="24">
        <f>$L$112*INDEX($C$94:$AL$94,1,10)</f>
        <v/>
      </c>
      <c r="V161" s="24">
        <f>$L$112*INDEX($C$94:$AL$94,1,11)</f>
        <v/>
      </c>
      <c r="W161" s="24">
        <f>$L$112*INDEX($C$94:$AL$94,1,12)</f>
        <v/>
      </c>
      <c r="X161" s="24">
        <f>$L$112*INDEX($C$94:$AL$94,1,13)</f>
        <v/>
      </c>
      <c r="Y161" s="24">
        <f>$L$112*INDEX($C$94:$AL$94,1,14)</f>
        <v/>
      </c>
      <c r="Z161" s="24">
        <f>$L$112*INDEX($C$94:$AL$94,1,15)</f>
        <v/>
      </c>
      <c r="AA161" s="24">
        <f>$L$112*INDEX($C$94:$AL$94,1,16)</f>
        <v/>
      </c>
      <c r="AB161" s="24">
        <f>$L$112*INDEX($C$94:$AL$94,1,17)</f>
        <v/>
      </c>
      <c r="AC161" s="24">
        <f>$L$112*INDEX($C$94:$AL$94,1,18)</f>
        <v/>
      </c>
      <c r="AD161" s="24">
        <f>$L$112*INDEX($C$94:$AL$94,1,19)</f>
        <v/>
      </c>
      <c r="AE161" s="24">
        <f>$L$112*INDEX($C$94:$AL$94,1,20)</f>
        <v/>
      </c>
      <c r="AF161" s="24">
        <f>$L$112*INDEX($C$94:$AL$94,1,21)</f>
        <v/>
      </c>
    </row>
    <row r="162">
      <c r="A162" s="4" t="inlineStr">
        <is>
          <t>Coorte del mese 11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>
        <f>$M$112*INDEX($C$94:$AL$94,1,1)</f>
        <v/>
      </c>
      <c r="N162" s="24">
        <f>$M$112*INDEX($C$94:$AL$94,1,2)</f>
        <v/>
      </c>
      <c r="O162" s="24">
        <f>$M$112*INDEX($C$94:$AL$94,1,3)</f>
        <v/>
      </c>
      <c r="P162" s="24">
        <f>$M$112*INDEX($C$94:$AL$94,1,4)</f>
        <v/>
      </c>
      <c r="Q162" s="24">
        <f>$M$112*INDEX($C$94:$AL$94,1,5)</f>
        <v/>
      </c>
      <c r="R162" s="24">
        <f>$M$112*INDEX($C$94:$AL$94,1,6)</f>
        <v/>
      </c>
      <c r="S162" s="24">
        <f>$M$112*INDEX($C$94:$AL$94,1,7)</f>
        <v/>
      </c>
      <c r="T162" s="24">
        <f>$M$112*INDEX($C$94:$AL$94,1,8)</f>
        <v/>
      </c>
      <c r="U162" s="24">
        <f>$M$112*INDEX($C$94:$AL$94,1,9)</f>
        <v/>
      </c>
      <c r="V162" s="24">
        <f>$M$112*INDEX($C$94:$AL$94,1,10)</f>
        <v/>
      </c>
      <c r="W162" s="24">
        <f>$M$112*INDEX($C$94:$AL$94,1,11)</f>
        <v/>
      </c>
      <c r="X162" s="24">
        <f>$M$112*INDEX($C$94:$AL$94,1,12)</f>
        <v/>
      </c>
      <c r="Y162" s="24">
        <f>$M$112*INDEX($C$94:$AL$94,1,13)</f>
        <v/>
      </c>
      <c r="Z162" s="24">
        <f>$M$112*INDEX($C$94:$AL$94,1,14)</f>
        <v/>
      </c>
      <c r="AA162" s="24">
        <f>$M$112*INDEX($C$94:$AL$94,1,15)</f>
        <v/>
      </c>
      <c r="AB162" s="24">
        <f>$M$112*INDEX($C$94:$AL$94,1,16)</f>
        <v/>
      </c>
      <c r="AC162" s="24">
        <f>$M$112*INDEX($C$94:$AL$94,1,17)</f>
        <v/>
      </c>
      <c r="AD162" s="24">
        <f>$M$112*INDEX($C$94:$AL$94,1,18)</f>
        <v/>
      </c>
      <c r="AE162" s="24">
        <f>$M$112*INDEX($C$94:$AL$94,1,19)</f>
        <v/>
      </c>
      <c r="AF162" s="24">
        <f>$M$112*INDEX($C$94:$AL$94,1,20)</f>
        <v/>
      </c>
    </row>
    <row r="163">
      <c r="A163" s="4" t="inlineStr">
        <is>
          <t>Coorte del mese 12</t>
        </is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>
        <f>$N$112*INDEX($C$94:$AL$94,1,1)</f>
        <v/>
      </c>
      <c r="O163" s="24">
        <f>$N$112*INDEX($C$94:$AL$94,1,2)</f>
        <v/>
      </c>
      <c r="P163" s="24">
        <f>$N$112*INDEX($C$94:$AL$94,1,3)</f>
        <v/>
      </c>
      <c r="Q163" s="24">
        <f>$N$112*INDEX($C$94:$AL$94,1,4)</f>
        <v/>
      </c>
      <c r="R163" s="24">
        <f>$N$112*INDEX($C$94:$AL$94,1,5)</f>
        <v/>
      </c>
      <c r="S163" s="24">
        <f>$N$112*INDEX($C$94:$AL$94,1,6)</f>
        <v/>
      </c>
      <c r="T163" s="24">
        <f>$N$112*INDEX($C$94:$AL$94,1,7)</f>
        <v/>
      </c>
      <c r="U163" s="24">
        <f>$N$112*INDEX($C$94:$AL$94,1,8)</f>
        <v/>
      </c>
      <c r="V163" s="24">
        <f>$N$112*INDEX($C$94:$AL$94,1,9)</f>
        <v/>
      </c>
      <c r="W163" s="24">
        <f>$N$112*INDEX($C$94:$AL$94,1,10)</f>
        <v/>
      </c>
      <c r="X163" s="24">
        <f>$N$112*INDEX($C$94:$AL$94,1,11)</f>
        <v/>
      </c>
      <c r="Y163" s="24">
        <f>$N$112*INDEX($C$94:$AL$94,1,12)</f>
        <v/>
      </c>
      <c r="Z163" s="24">
        <f>$N$112*INDEX($C$94:$AL$94,1,13)</f>
        <v/>
      </c>
      <c r="AA163" s="24">
        <f>$N$112*INDEX($C$94:$AL$94,1,14)</f>
        <v/>
      </c>
      <c r="AB163" s="24">
        <f>$N$112*INDEX($C$94:$AL$94,1,15)</f>
        <v/>
      </c>
      <c r="AC163" s="24">
        <f>$N$112*INDEX($C$94:$AL$94,1,16)</f>
        <v/>
      </c>
      <c r="AD163" s="24">
        <f>$N$112*INDEX($C$94:$AL$94,1,17)</f>
        <v/>
      </c>
      <c r="AE163" s="24">
        <f>$N$112*INDEX($C$94:$AL$94,1,18)</f>
        <v/>
      </c>
      <c r="AF163" s="24">
        <f>$N$112*INDEX($C$94:$AL$94,1,19)</f>
        <v/>
      </c>
    </row>
    <row r="164">
      <c r="A164" s="4" t="inlineStr">
        <is>
          <t>Coorte del mese 13</t>
        </is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>
        <f>$O$112*INDEX($C$94:$AL$94,1,1)</f>
        <v/>
      </c>
      <c r="P164" s="24">
        <f>$O$112*INDEX($C$94:$AL$94,1,2)</f>
        <v/>
      </c>
      <c r="Q164" s="24">
        <f>$O$112*INDEX($C$94:$AL$94,1,3)</f>
        <v/>
      </c>
      <c r="R164" s="24">
        <f>$O$112*INDEX($C$94:$AL$94,1,4)</f>
        <v/>
      </c>
      <c r="S164" s="24">
        <f>$O$112*INDEX($C$94:$AL$94,1,5)</f>
        <v/>
      </c>
      <c r="T164" s="24">
        <f>$O$112*INDEX($C$94:$AL$94,1,6)</f>
        <v/>
      </c>
      <c r="U164" s="24">
        <f>$O$112*INDEX($C$94:$AL$94,1,7)</f>
        <v/>
      </c>
      <c r="V164" s="24">
        <f>$O$112*INDEX($C$94:$AL$94,1,8)</f>
        <v/>
      </c>
      <c r="W164" s="24">
        <f>$O$112*INDEX($C$94:$AL$94,1,9)</f>
        <v/>
      </c>
      <c r="X164" s="24">
        <f>$O$112*INDEX($C$94:$AL$94,1,10)</f>
        <v/>
      </c>
      <c r="Y164" s="24">
        <f>$O$112*INDEX($C$94:$AL$94,1,11)</f>
        <v/>
      </c>
      <c r="Z164" s="24">
        <f>$O$112*INDEX($C$94:$AL$94,1,12)</f>
        <v/>
      </c>
      <c r="AA164" s="24">
        <f>$O$112*INDEX($C$94:$AL$94,1,13)</f>
        <v/>
      </c>
      <c r="AB164" s="24">
        <f>$O$112*INDEX($C$94:$AL$94,1,14)</f>
        <v/>
      </c>
      <c r="AC164" s="24">
        <f>$O$112*INDEX($C$94:$AL$94,1,15)</f>
        <v/>
      </c>
      <c r="AD164" s="24">
        <f>$O$112*INDEX($C$94:$AL$94,1,16)</f>
        <v/>
      </c>
      <c r="AE164" s="24">
        <f>$O$112*INDEX($C$94:$AL$94,1,17)</f>
        <v/>
      </c>
      <c r="AF164" s="24">
        <f>$O$112*INDEX($C$94:$AL$94,1,18)</f>
        <v/>
      </c>
    </row>
    <row r="165">
      <c r="A165" s="4" t="inlineStr">
        <is>
          <t>Coorte del mese 14</t>
        </is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>
        <f>$P$112*INDEX($C$94:$AL$94,1,1)</f>
        <v/>
      </c>
      <c r="Q165" s="24">
        <f>$P$112*INDEX($C$94:$AL$94,1,2)</f>
        <v/>
      </c>
      <c r="R165" s="24">
        <f>$P$112*INDEX($C$94:$AL$94,1,3)</f>
        <v/>
      </c>
      <c r="S165" s="24">
        <f>$P$112*INDEX($C$94:$AL$94,1,4)</f>
        <v/>
      </c>
      <c r="T165" s="24">
        <f>$P$112*INDEX($C$94:$AL$94,1,5)</f>
        <v/>
      </c>
      <c r="U165" s="24">
        <f>$P$112*INDEX($C$94:$AL$94,1,6)</f>
        <v/>
      </c>
      <c r="V165" s="24">
        <f>$P$112*INDEX($C$94:$AL$94,1,7)</f>
        <v/>
      </c>
      <c r="W165" s="24">
        <f>$P$112*INDEX($C$94:$AL$94,1,8)</f>
        <v/>
      </c>
      <c r="X165" s="24">
        <f>$P$112*INDEX($C$94:$AL$94,1,9)</f>
        <v/>
      </c>
      <c r="Y165" s="24">
        <f>$P$112*INDEX($C$94:$AL$94,1,10)</f>
        <v/>
      </c>
      <c r="Z165" s="24">
        <f>$P$112*INDEX($C$94:$AL$94,1,11)</f>
        <v/>
      </c>
      <c r="AA165" s="24">
        <f>$P$112*INDEX($C$94:$AL$94,1,12)</f>
        <v/>
      </c>
      <c r="AB165" s="24">
        <f>$P$112*INDEX($C$94:$AL$94,1,13)</f>
        <v/>
      </c>
      <c r="AC165" s="24">
        <f>$P$112*INDEX($C$94:$AL$94,1,14)</f>
        <v/>
      </c>
      <c r="AD165" s="24">
        <f>$P$112*INDEX($C$94:$AL$94,1,15)</f>
        <v/>
      </c>
      <c r="AE165" s="24">
        <f>$P$112*INDEX($C$94:$AL$94,1,16)</f>
        <v/>
      </c>
      <c r="AF165" s="24">
        <f>$P$112*INDEX($C$94:$AL$94,1,17)</f>
        <v/>
      </c>
    </row>
    <row r="166">
      <c r="A166" s="4" t="inlineStr">
        <is>
          <t>Coorte del mese 15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>
        <f>$Q$112*INDEX($C$94:$AL$94,1,1)</f>
        <v/>
      </c>
      <c r="R166" s="24">
        <f>$Q$112*INDEX($C$94:$AL$94,1,2)</f>
        <v/>
      </c>
      <c r="S166" s="24">
        <f>$Q$112*INDEX($C$94:$AL$94,1,3)</f>
        <v/>
      </c>
      <c r="T166" s="24">
        <f>$Q$112*INDEX($C$94:$AL$94,1,4)</f>
        <v/>
      </c>
      <c r="U166" s="24">
        <f>$Q$112*INDEX($C$94:$AL$94,1,5)</f>
        <v/>
      </c>
      <c r="V166" s="24">
        <f>$Q$112*INDEX($C$94:$AL$94,1,6)</f>
        <v/>
      </c>
      <c r="W166" s="24">
        <f>$Q$112*INDEX($C$94:$AL$94,1,7)</f>
        <v/>
      </c>
      <c r="X166" s="24">
        <f>$Q$112*INDEX($C$94:$AL$94,1,8)</f>
        <v/>
      </c>
      <c r="Y166" s="24">
        <f>$Q$112*INDEX($C$94:$AL$94,1,9)</f>
        <v/>
      </c>
      <c r="Z166" s="24">
        <f>$Q$112*INDEX($C$94:$AL$94,1,10)</f>
        <v/>
      </c>
      <c r="AA166" s="24">
        <f>$Q$112*INDEX($C$94:$AL$94,1,11)</f>
        <v/>
      </c>
      <c r="AB166" s="24">
        <f>$Q$112*INDEX($C$94:$AL$94,1,12)</f>
        <v/>
      </c>
      <c r="AC166" s="24">
        <f>$Q$112*INDEX($C$94:$AL$94,1,13)</f>
        <v/>
      </c>
      <c r="AD166" s="24">
        <f>$Q$112*INDEX($C$94:$AL$94,1,14)</f>
        <v/>
      </c>
      <c r="AE166" s="24">
        <f>$Q$112*INDEX($C$94:$AL$94,1,15)</f>
        <v/>
      </c>
      <c r="AF166" s="24">
        <f>$Q$112*INDEX($C$94:$AL$94,1,16)</f>
        <v/>
      </c>
    </row>
    <row r="167">
      <c r="A167" s="4" t="inlineStr">
        <is>
          <t>Coorte del mese 16</t>
        </is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>
        <f>$R$112*INDEX($C$94:$AL$94,1,1)</f>
        <v/>
      </c>
      <c r="S167" s="24">
        <f>$R$112*INDEX($C$94:$AL$94,1,2)</f>
        <v/>
      </c>
      <c r="T167" s="24">
        <f>$R$112*INDEX($C$94:$AL$94,1,3)</f>
        <v/>
      </c>
      <c r="U167" s="24">
        <f>$R$112*INDEX($C$94:$AL$94,1,4)</f>
        <v/>
      </c>
      <c r="V167" s="24">
        <f>$R$112*INDEX($C$94:$AL$94,1,5)</f>
        <v/>
      </c>
      <c r="W167" s="24">
        <f>$R$112*INDEX($C$94:$AL$94,1,6)</f>
        <v/>
      </c>
      <c r="X167" s="24">
        <f>$R$112*INDEX($C$94:$AL$94,1,7)</f>
        <v/>
      </c>
      <c r="Y167" s="24">
        <f>$R$112*INDEX($C$94:$AL$94,1,8)</f>
        <v/>
      </c>
      <c r="Z167" s="24">
        <f>$R$112*INDEX($C$94:$AL$94,1,9)</f>
        <v/>
      </c>
      <c r="AA167" s="24">
        <f>$R$112*INDEX($C$94:$AL$94,1,10)</f>
        <v/>
      </c>
      <c r="AB167" s="24">
        <f>$R$112*INDEX($C$94:$AL$94,1,11)</f>
        <v/>
      </c>
      <c r="AC167" s="24">
        <f>$R$112*INDEX($C$94:$AL$94,1,12)</f>
        <v/>
      </c>
      <c r="AD167" s="24">
        <f>$R$112*INDEX($C$94:$AL$94,1,13)</f>
        <v/>
      </c>
      <c r="AE167" s="24">
        <f>$R$112*INDEX($C$94:$AL$94,1,14)</f>
        <v/>
      </c>
      <c r="AF167" s="24">
        <f>$R$112*INDEX($C$94:$AL$94,1,15)</f>
        <v/>
      </c>
    </row>
    <row r="168">
      <c r="A168" s="4" t="inlineStr">
        <is>
          <t>Coorte del mese 17</t>
        </is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>
        <f>$S$112*INDEX($C$94:$AL$94,1,1)</f>
        <v/>
      </c>
      <c r="T168" s="24">
        <f>$S$112*INDEX($C$94:$AL$94,1,2)</f>
        <v/>
      </c>
      <c r="U168" s="24">
        <f>$S$112*INDEX($C$94:$AL$94,1,3)</f>
        <v/>
      </c>
      <c r="V168" s="24">
        <f>$S$112*INDEX($C$94:$AL$94,1,4)</f>
        <v/>
      </c>
      <c r="W168" s="24">
        <f>$S$112*INDEX($C$94:$AL$94,1,5)</f>
        <v/>
      </c>
      <c r="X168" s="24">
        <f>$S$112*INDEX($C$94:$AL$94,1,6)</f>
        <v/>
      </c>
      <c r="Y168" s="24">
        <f>$S$112*INDEX($C$94:$AL$94,1,7)</f>
        <v/>
      </c>
      <c r="Z168" s="24">
        <f>$S$112*INDEX($C$94:$AL$94,1,8)</f>
        <v/>
      </c>
      <c r="AA168" s="24">
        <f>$S$112*INDEX($C$94:$AL$94,1,9)</f>
        <v/>
      </c>
      <c r="AB168" s="24">
        <f>$S$112*INDEX($C$94:$AL$94,1,10)</f>
        <v/>
      </c>
      <c r="AC168" s="24">
        <f>$S$112*INDEX($C$94:$AL$94,1,11)</f>
        <v/>
      </c>
      <c r="AD168" s="24">
        <f>$S$112*INDEX($C$94:$AL$94,1,12)</f>
        <v/>
      </c>
      <c r="AE168" s="24">
        <f>$S$112*INDEX($C$94:$AL$94,1,13)</f>
        <v/>
      </c>
      <c r="AF168" s="24">
        <f>$S$112*INDEX($C$94:$AL$94,1,14)</f>
        <v/>
      </c>
    </row>
    <row r="169">
      <c r="A169" s="4" t="inlineStr">
        <is>
          <t>Coorte del mese 18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>
        <f>$T$112*INDEX($C$94:$AL$94,1,1)</f>
        <v/>
      </c>
      <c r="U169" s="24">
        <f>$T$112*INDEX($C$94:$AL$94,1,2)</f>
        <v/>
      </c>
      <c r="V169" s="24">
        <f>$T$112*INDEX($C$94:$AL$94,1,3)</f>
        <v/>
      </c>
      <c r="W169" s="24">
        <f>$T$112*INDEX($C$94:$AL$94,1,4)</f>
        <v/>
      </c>
      <c r="X169" s="24">
        <f>$T$112*INDEX($C$94:$AL$94,1,5)</f>
        <v/>
      </c>
      <c r="Y169" s="24">
        <f>$T$112*INDEX($C$94:$AL$94,1,6)</f>
        <v/>
      </c>
      <c r="Z169" s="24">
        <f>$T$112*INDEX($C$94:$AL$94,1,7)</f>
        <v/>
      </c>
      <c r="AA169" s="24">
        <f>$T$112*INDEX($C$94:$AL$94,1,8)</f>
        <v/>
      </c>
      <c r="AB169" s="24">
        <f>$T$112*INDEX($C$94:$AL$94,1,9)</f>
        <v/>
      </c>
      <c r="AC169" s="24">
        <f>$T$112*INDEX($C$94:$AL$94,1,10)</f>
        <v/>
      </c>
      <c r="AD169" s="24">
        <f>$T$112*INDEX($C$94:$AL$94,1,11)</f>
        <v/>
      </c>
      <c r="AE169" s="24">
        <f>$T$112*INDEX($C$94:$AL$94,1,12)</f>
        <v/>
      </c>
      <c r="AF169" s="24">
        <f>$T$112*INDEX($C$94:$AL$94,1,13)</f>
        <v/>
      </c>
    </row>
    <row r="170">
      <c r="A170" s="4" t="inlineStr">
        <is>
          <t>Coorte del mese 19</t>
        </is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>
        <f>$U$112*INDEX($C$94:$AL$94,1,1)</f>
        <v/>
      </c>
      <c r="V170" s="24">
        <f>$U$112*INDEX($C$94:$AL$94,1,2)</f>
        <v/>
      </c>
      <c r="W170" s="24">
        <f>$U$112*INDEX($C$94:$AL$94,1,3)</f>
        <v/>
      </c>
      <c r="X170" s="24">
        <f>$U$112*INDEX($C$94:$AL$94,1,4)</f>
        <v/>
      </c>
      <c r="Y170" s="24">
        <f>$U$112*INDEX($C$94:$AL$94,1,5)</f>
        <v/>
      </c>
      <c r="Z170" s="24">
        <f>$U$112*INDEX($C$94:$AL$94,1,6)</f>
        <v/>
      </c>
      <c r="AA170" s="24">
        <f>$U$112*INDEX($C$94:$AL$94,1,7)</f>
        <v/>
      </c>
      <c r="AB170" s="24">
        <f>$U$112*INDEX($C$94:$AL$94,1,8)</f>
        <v/>
      </c>
      <c r="AC170" s="24">
        <f>$U$112*INDEX($C$94:$AL$94,1,9)</f>
        <v/>
      </c>
      <c r="AD170" s="24">
        <f>$U$112*INDEX($C$94:$AL$94,1,10)</f>
        <v/>
      </c>
      <c r="AE170" s="24">
        <f>$U$112*INDEX($C$94:$AL$94,1,11)</f>
        <v/>
      </c>
      <c r="AF170" s="24">
        <f>$U$112*INDEX($C$94:$AL$94,1,12)</f>
        <v/>
      </c>
    </row>
    <row r="171">
      <c r="A171" s="4" t="inlineStr">
        <is>
          <t>Coorte del mese 20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>
        <f>$V$112*INDEX($C$94:$AL$94,1,1)</f>
        <v/>
      </c>
      <c r="W171" s="24">
        <f>$V$112*INDEX($C$94:$AL$94,1,2)</f>
        <v/>
      </c>
      <c r="X171" s="24">
        <f>$V$112*INDEX($C$94:$AL$94,1,3)</f>
        <v/>
      </c>
      <c r="Y171" s="24">
        <f>$V$112*INDEX($C$94:$AL$94,1,4)</f>
        <v/>
      </c>
      <c r="Z171" s="24">
        <f>$V$112*INDEX($C$94:$AL$94,1,5)</f>
        <v/>
      </c>
      <c r="AA171" s="24">
        <f>$V$112*INDEX($C$94:$AL$94,1,6)</f>
        <v/>
      </c>
      <c r="AB171" s="24">
        <f>$V$112*INDEX($C$94:$AL$94,1,7)</f>
        <v/>
      </c>
      <c r="AC171" s="24">
        <f>$V$112*INDEX($C$94:$AL$94,1,8)</f>
        <v/>
      </c>
      <c r="AD171" s="24">
        <f>$V$112*INDEX($C$94:$AL$94,1,9)</f>
        <v/>
      </c>
      <c r="AE171" s="24">
        <f>$V$112*INDEX($C$94:$AL$94,1,10)</f>
        <v/>
      </c>
      <c r="AF171" s="24">
        <f>$V$112*INDEX($C$94:$AL$94,1,11)</f>
        <v/>
      </c>
    </row>
    <row r="172">
      <c r="A172" s="4" t="inlineStr">
        <is>
          <t>Coorte del mese 21</t>
        </is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>
        <f>$W$112*INDEX($C$94:$AL$94,1,1)</f>
        <v/>
      </c>
      <c r="X172" s="24">
        <f>$W$112*INDEX($C$94:$AL$94,1,2)</f>
        <v/>
      </c>
      <c r="Y172" s="24">
        <f>$W$112*INDEX($C$94:$AL$94,1,3)</f>
        <v/>
      </c>
      <c r="Z172" s="24">
        <f>$W$112*INDEX($C$94:$AL$94,1,4)</f>
        <v/>
      </c>
      <c r="AA172" s="24">
        <f>$W$112*INDEX($C$94:$AL$94,1,5)</f>
        <v/>
      </c>
      <c r="AB172" s="24">
        <f>$W$112*INDEX($C$94:$AL$94,1,6)</f>
        <v/>
      </c>
      <c r="AC172" s="24">
        <f>$W$112*INDEX($C$94:$AL$94,1,7)</f>
        <v/>
      </c>
      <c r="AD172" s="24">
        <f>$W$112*INDEX($C$94:$AL$94,1,8)</f>
        <v/>
      </c>
      <c r="AE172" s="24">
        <f>$W$112*INDEX($C$94:$AL$94,1,9)</f>
        <v/>
      </c>
      <c r="AF172" s="24">
        <f>$W$112*INDEX($C$94:$AL$94,1,10)</f>
        <v/>
      </c>
    </row>
    <row r="173">
      <c r="A173" s="4" t="inlineStr">
        <is>
          <t>Coorte del mese 22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>
        <f>$X$112*INDEX($C$94:$AL$94,1,1)</f>
        <v/>
      </c>
      <c r="Y173" s="24">
        <f>$X$112*INDEX($C$94:$AL$94,1,2)</f>
        <v/>
      </c>
      <c r="Z173" s="24">
        <f>$X$112*INDEX($C$94:$AL$94,1,3)</f>
        <v/>
      </c>
      <c r="AA173" s="24">
        <f>$X$112*INDEX($C$94:$AL$94,1,4)</f>
        <v/>
      </c>
      <c r="AB173" s="24">
        <f>$X$112*INDEX($C$94:$AL$94,1,5)</f>
        <v/>
      </c>
      <c r="AC173" s="24">
        <f>$X$112*INDEX($C$94:$AL$94,1,6)</f>
        <v/>
      </c>
      <c r="AD173" s="24">
        <f>$X$112*INDEX($C$94:$AL$94,1,7)</f>
        <v/>
      </c>
      <c r="AE173" s="24">
        <f>$X$112*INDEX($C$94:$AL$94,1,8)</f>
        <v/>
      </c>
      <c r="AF173" s="24">
        <f>$X$112*INDEX($C$94:$AL$94,1,9)</f>
        <v/>
      </c>
    </row>
    <row r="174">
      <c r="A174" s="4" t="inlineStr">
        <is>
          <t>Coorte del mese 23</t>
        </is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>
        <f>$Y$112*INDEX($C$94:$AL$94,1,1)</f>
        <v/>
      </c>
      <c r="Z174" s="24">
        <f>$Y$112*INDEX($C$94:$AL$94,1,2)</f>
        <v/>
      </c>
      <c r="AA174" s="24">
        <f>$Y$112*INDEX($C$94:$AL$94,1,3)</f>
        <v/>
      </c>
      <c r="AB174" s="24">
        <f>$Y$112*INDEX($C$94:$AL$94,1,4)</f>
        <v/>
      </c>
      <c r="AC174" s="24">
        <f>$Y$112*INDEX($C$94:$AL$94,1,5)</f>
        <v/>
      </c>
      <c r="AD174" s="24">
        <f>$Y$112*INDEX($C$94:$AL$94,1,6)</f>
        <v/>
      </c>
      <c r="AE174" s="24">
        <f>$Y$112*INDEX($C$94:$AL$94,1,7)</f>
        <v/>
      </c>
      <c r="AF174" s="24">
        <f>$Y$112*INDEX($C$94:$AL$94,1,8)</f>
        <v/>
      </c>
    </row>
    <row r="175">
      <c r="A175" s="4" t="inlineStr">
        <is>
          <t>Coorte del mese 24</t>
        </is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>
        <f>$Z$112*INDEX($C$94:$AL$94,1,1)</f>
        <v/>
      </c>
      <c r="AA175" s="24">
        <f>$Z$112*INDEX($C$94:$AL$94,1,2)</f>
        <v/>
      </c>
      <c r="AB175" s="24">
        <f>$Z$112*INDEX($C$94:$AL$94,1,3)</f>
        <v/>
      </c>
      <c r="AC175" s="24">
        <f>$Z$112*INDEX($C$94:$AL$94,1,4)</f>
        <v/>
      </c>
      <c r="AD175" s="24">
        <f>$Z$112*INDEX($C$94:$AL$94,1,5)</f>
        <v/>
      </c>
      <c r="AE175" s="24">
        <f>$Z$112*INDEX($C$94:$AL$94,1,6)</f>
        <v/>
      </c>
      <c r="AF175" s="24">
        <f>$Z$112*INDEX($C$94:$AL$94,1,7)</f>
        <v/>
      </c>
    </row>
    <row r="176">
      <c r="A176" s="4" t="inlineStr">
        <is>
          <t>Coorte del mese 25</t>
        </is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4" t="n">
        <v>0</v>
      </c>
      <c r="AA176" s="24">
        <f>$AA$112*INDEX($C$94:$AL$94,1,1)</f>
        <v/>
      </c>
      <c r="AB176" s="24">
        <f>$AA$112*INDEX($C$94:$AL$94,1,2)</f>
        <v/>
      </c>
      <c r="AC176" s="24">
        <f>$AA$112*INDEX($C$94:$AL$94,1,3)</f>
        <v/>
      </c>
      <c r="AD176" s="24">
        <f>$AA$112*INDEX($C$94:$AL$94,1,4)</f>
        <v/>
      </c>
      <c r="AE176" s="24">
        <f>$AA$112*INDEX($C$94:$AL$94,1,5)</f>
        <v/>
      </c>
      <c r="AF176" s="24">
        <f>$AA$112*INDEX($C$94:$AL$94,1,6)</f>
        <v/>
      </c>
    </row>
    <row r="177">
      <c r="A177" s="4" t="inlineStr">
        <is>
          <t>Coorte del mese 26</t>
        </is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>
        <f>$AB$112*INDEX($C$94:$AL$94,1,1)</f>
        <v/>
      </c>
      <c r="AC177" s="24">
        <f>$AB$112*INDEX($C$94:$AL$94,1,2)</f>
        <v/>
      </c>
      <c r="AD177" s="24">
        <f>$AB$112*INDEX($C$94:$AL$94,1,3)</f>
        <v/>
      </c>
      <c r="AE177" s="24">
        <f>$AB$112*INDEX($C$94:$AL$94,1,4)</f>
        <v/>
      </c>
      <c r="AF177" s="24">
        <f>$AB$112*INDEX($C$94:$AL$94,1,5)</f>
        <v/>
      </c>
    </row>
    <row r="178">
      <c r="A178" s="4" t="inlineStr">
        <is>
          <t>Coorte del mese 27</t>
        </is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>
        <f>$AC$112*INDEX($C$94:$AL$94,1,1)</f>
        <v/>
      </c>
      <c r="AD178" s="24">
        <f>$AC$112*INDEX($C$94:$AL$94,1,2)</f>
        <v/>
      </c>
      <c r="AE178" s="24">
        <f>$AC$112*INDEX($C$94:$AL$94,1,3)</f>
        <v/>
      </c>
      <c r="AF178" s="24">
        <f>$AC$112*INDEX($C$94:$AL$94,1,4)</f>
        <v/>
      </c>
    </row>
    <row r="179">
      <c r="A179" s="4" t="inlineStr">
        <is>
          <t>Coorte del mese 28</t>
        </is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>
        <f>$AD$112*INDEX($C$94:$AL$94,1,1)</f>
        <v/>
      </c>
      <c r="AE179" s="24">
        <f>$AD$112*INDEX($C$94:$AL$94,1,2)</f>
        <v/>
      </c>
      <c r="AF179" s="24">
        <f>$AD$112*INDEX($C$94:$AL$94,1,3)</f>
        <v/>
      </c>
    </row>
    <row r="180">
      <c r="A180" s="4" t="inlineStr">
        <is>
          <t>Coorte del mese 29</t>
        </is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4" t="n">
        <v>0</v>
      </c>
      <c r="Y180" s="24" t="n">
        <v>0</v>
      </c>
      <c r="Z180" s="24" t="n">
        <v>0</v>
      </c>
      <c r="AA180" s="24" t="n">
        <v>0</v>
      </c>
      <c r="AB180" s="24" t="n">
        <v>0</v>
      </c>
      <c r="AC180" s="24" t="n">
        <v>0</v>
      </c>
      <c r="AD180" s="24" t="n">
        <v>0</v>
      </c>
      <c r="AE180" s="24">
        <f>$AE$112*INDEX($C$94:$AL$94,1,1)</f>
        <v/>
      </c>
      <c r="AF180" s="24">
        <f>$AE$112*INDEX($C$94:$AL$94,1,2)</f>
        <v/>
      </c>
    </row>
    <row r="181">
      <c r="A181" s="4" t="inlineStr">
        <is>
          <t>Coorte del mese 30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4" t="n">
        <v>0</v>
      </c>
      <c r="AD181" s="24" t="n">
        <v>0</v>
      </c>
      <c r="AE181" s="24" t="n">
        <v>0</v>
      </c>
      <c r="AF181" s="24">
        <f>$AF$112*INDEX($C$94:$AL$94,1,1)</f>
        <v/>
      </c>
    </row>
    <row r="182">
      <c r="A182" s="3" t="inlineStr">
        <is>
          <t>Totale percorso 6: rimborsi</t>
        </is>
      </c>
      <c r="C182" s="25">
        <f>SUM(C152:C181)</f>
        <v/>
      </c>
      <c r="D182" s="25">
        <f>SUM(D152:D181)</f>
        <v/>
      </c>
      <c r="E182" s="25">
        <f>SUM(E152:E181)</f>
        <v/>
      </c>
      <c r="F182" s="25">
        <f>SUM(F152:F181)</f>
        <v/>
      </c>
      <c r="G182" s="25">
        <f>SUM(G152:G181)</f>
        <v/>
      </c>
      <c r="H182" s="25">
        <f>SUM(H152:H181)</f>
        <v/>
      </c>
      <c r="I182" s="25">
        <f>SUM(I152:I181)</f>
        <v/>
      </c>
      <c r="J182" s="25">
        <f>SUM(J152:J181)</f>
        <v/>
      </c>
      <c r="K182" s="25">
        <f>SUM(K152:K181)</f>
        <v/>
      </c>
      <c r="L182" s="25">
        <f>SUM(L152:L181)</f>
        <v/>
      </c>
      <c r="M182" s="25">
        <f>SUM(M152:M181)</f>
        <v/>
      </c>
      <c r="N182" s="25">
        <f>SUM(N152:N181)</f>
        <v/>
      </c>
      <c r="O182" s="25">
        <f>SUM(O152:O181)</f>
        <v/>
      </c>
      <c r="P182" s="25">
        <f>SUM(P152:P181)</f>
        <v/>
      </c>
      <c r="Q182" s="25">
        <f>SUM(Q152:Q181)</f>
        <v/>
      </c>
      <c r="R182" s="25">
        <f>SUM(R152:R181)</f>
        <v/>
      </c>
      <c r="S182" s="25">
        <f>SUM(S152:S181)</f>
        <v/>
      </c>
      <c r="T182" s="25">
        <f>SUM(T152:T181)</f>
        <v/>
      </c>
      <c r="U182" s="25">
        <f>SUM(U152:U181)</f>
        <v/>
      </c>
      <c r="V182" s="25">
        <f>SUM(V152:V181)</f>
        <v/>
      </c>
      <c r="W182" s="25">
        <f>SUM(W152:W181)</f>
        <v/>
      </c>
      <c r="X182" s="25">
        <f>SUM(X152:X181)</f>
        <v/>
      </c>
      <c r="Y182" s="25">
        <f>SUM(Y152:Y181)</f>
        <v/>
      </c>
      <c r="Z182" s="25">
        <f>SUM(Z152:Z181)</f>
        <v/>
      </c>
      <c r="AA182" s="25">
        <f>SUM(AA152:AA181)</f>
        <v/>
      </c>
      <c r="AB182" s="25">
        <f>SUM(AB152:AB181)</f>
        <v/>
      </c>
      <c r="AC182" s="25">
        <f>SUM(AC152:AC181)</f>
        <v/>
      </c>
      <c r="AD182" s="25">
        <f>SUM(AD152:AD181)</f>
        <v/>
      </c>
      <c r="AE182" s="25">
        <f>SUM(AE152:AE181)</f>
        <v/>
      </c>
      <c r="AF182" s="25">
        <f>SUM(AF152:AF181)</f>
        <v/>
      </c>
    </row>
    <row r="184">
      <c r="A184" s="10" t="inlineStr">
        <is>
          <t>Percorso 3: ordini per coorte (righe = mese di acquisizione, colonne = mese di calendario)</t>
        </is>
      </c>
    </row>
    <row r="185">
      <c r="A185" s="4" t="inlineStr">
        <is>
          <t>Coorte del mese 1</t>
        </is>
      </c>
      <c r="C185" s="24">
        <f>$C$113*INDEX($C$95:$AL$95,1,1)</f>
        <v/>
      </c>
      <c r="D185" s="24">
        <f>$C$113*INDEX($C$95:$AL$95,1,2)</f>
        <v/>
      </c>
      <c r="E185" s="24">
        <f>$C$113*INDEX($C$95:$AL$95,1,3)</f>
        <v/>
      </c>
      <c r="F185" s="24">
        <f>$C$113*INDEX($C$95:$AL$95,1,4)</f>
        <v/>
      </c>
      <c r="G185" s="24">
        <f>$C$113*INDEX($C$95:$AL$95,1,5)</f>
        <v/>
      </c>
      <c r="H185" s="24">
        <f>$C$113*INDEX($C$95:$AL$95,1,6)</f>
        <v/>
      </c>
      <c r="I185" s="24">
        <f>$C$113*INDEX($C$95:$AL$95,1,7)</f>
        <v/>
      </c>
      <c r="J185" s="24">
        <f>$C$113*INDEX($C$95:$AL$95,1,8)</f>
        <v/>
      </c>
      <c r="K185" s="24">
        <f>$C$113*INDEX($C$95:$AL$95,1,9)</f>
        <v/>
      </c>
      <c r="L185" s="24">
        <f>$C$113*INDEX($C$95:$AL$95,1,10)</f>
        <v/>
      </c>
      <c r="M185" s="24">
        <f>$C$113*INDEX($C$95:$AL$95,1,11)</f>
        <v/>
      </c>
      <c r="N185" s="24">
        <f>$C$113*INDEX($C$95:$AL$95,1,12)</f>
        <v/>
      </c>
      <c r="O185" s="24">
        <f>$C$113*INDEX($C$95:$AL$95,1,13)</f>
        <v/>
      </c>
      <c r="P185" s="24">
        <f>$C$113*INDEX($C$95:$AL$95,1,14)</f>
        <v/>
      </c>
      <c r="Q185" s="24">
        <f>$C$113*INDEX($C$95:$AL$95,1,15)</f>
        <v/>
      </c>
      <c r="R185" s="24">
        <f>$C$113*INDEX($C$95:$AL$95,1,16)</f>
        <v/>
      </c>
      <c r="S185" s="24">
        <f>$C$113*INDEX($C$95:$AL$95,1,17)</f>
        <v/>
      </c>
      <c r="T185" s="24">
        <f>$C$113*INDEX($C$95:$AL$95,1,18)</f>
        <v/>
      </c>
      <c r="U185" s="24">
        <f>$C$113*INDEX($C$95:$AL$95,1,19)</f>
        <v/>
      </c>
      <c r="V185" s="24">
        <f>$C$113*INDEX($C$95:$AL$95,1,20)</f>
        <v/>
      </c>
      <c r="W185" s="24">
        <f>$C$113*INDEX($C$95:$AL$95,1,21)</f>
        <v/>
      </c>
      <c r="X185" s="24">
        <f>$C$113*INDEX($C$95:$AL$95,1,22)</f>
        <v/>
      </c>
      <c r="Y185" s="24">
        <f>$C$113*INDEX($C$95:$AL$95,1,23)</f>
        <v/>
      </c>
      <c r="Z185" s="24">
        <f>$C$113*INDEX($C$95:$AL$95,1,24)</f>
        <v/>
      </c>
      <c r="AA185" s="24">
        <f>$C$113*INDEX($C$95:$AL$95,1,25)</f>
        <v/>
      </c>
      <c r="AB185" s="24">
        <f>$C$113*INDEX($C$95:$AL$95,1,26)</f>
        <v/>
      </c>
      <c r="AC185" s="24">
        <f>$C$113*INDEX($C$95:$AL$95,1,27)</f>
        <v/>
      </c>
      <c r="AD185" s="24">
        <f>$C$113*INDEX($C$95:$AL$95,1,28)</f>
        <v/>
      </c>
      <c r="AE185" s="24">
        <f>$C$113*INDEX($C$95:$AL$95,1,29)</f>
        <v/>
      </c>
      <c r="AF185" s="24">
        <f>$C$113*INDEX($C$95:$AL$95,1,30)</f>
        <v/>
      </c>
    </row>
    <row r="186">
      <c r="A186" s="4" t="inlineStr">
        <is>
          <t>Coorte del mese 2</t>
        </is>
      </c>
      <c r="C186" s="24" t="n">
        <v>0</v>
      </c>
      <c r="D186" s="24">
        <f>$D$113*INDEX($C$95:$AL$95,1,1)</f>
        <v/>
      </c>
      <c r="E186" s="24">
        <f>$D$113*INDEX($C$95:$AL$95,1,2)</f>
        <v/>
      </c>
      <c r="F186" s="24">
        <f>$D$113*INDEX($C$95:$AL$95,1,3)</f>
        <v/>
      </c>
      <c r="G186" s="24">
        <f>$D$113*INDEX($C$95:$AL$95,1,4)</f>
        <v/>
      </c>
      <c r="H186" s="24">
        <f>$D$113*INDEX($C$95:$AL$95,1,5)</f>
        <v/>
      </c>
      <c r="I186" s="24">
        <f>$D$113*INDEX($C$95:$AL$95,1,6)</f>
        <v/>
      </c>
      <c r="J186" s="24">
        <f>$D$113*INDEX($C$95:$AL$95,1,7)</f>
        <v/>
      </c>
      <c r="K186" s="24">
        <f>$D$113*INDEX($C$95:$AL$95,1,8)</f>
        <v/>
      </c>
      <c r="L186" s="24">
        <f>$D$113*INDEX($C$95:$AL$95,1,9)</f>
        <v/>
      </c>
      <c r="M186" s="24">
        <f>$D$113*INDEX($C$95:$AL$95,1,10)</f>
        <v/>
      </c>
      <c r="N186" s="24">
        <f>$D$113*INDEX($C$95:$AL$95,1,11)</f>
        <v/>
      </c>
      <c r="O186" s="24">
        <f>$D$113*INDEX($C$95:$AL$95,1,12)</f>
        <v/>
      </c>
      <c r="P186" s="24">
        <f>$D$113*INDEX($C$95:$AL$95,1,13)</f>
        <v/>
      </c>
      <c r="Q186" s="24">
        <f>$D$113*INDEX($C$95:$AL$95,1,14)</f>
        <v/>
      </c>
      <c r="R186" s="24">
        <f>$D$113*INDEX($C$95:$AL$95,1,15)</f>
        <v/>
      </c>
      <c r="S186" s="24">
        <f>$D$113*INDEX($C$95:$AL$95,1,16)</f>
        <v/>
      </c>
      <c r="T186" s="24">
        <f>$D$113*INDEX($C$95:$AL$95,1,17)</f>
        <v/>
      </c>
      <c r="U186" s="24">
        <f>$D$113*INDEX($C$95:$AL$95,1,18)</f>
        <v/>
      </c>
      <c r="V186" s="24">
        <f>$D$113*INDEX($C$95:$AL$95,1,19)</f>
        <v/>
      </c>
      <c r="W186" s="24">
        <f>$D$113*INDEX($C$95:$AL$95,1,20)</f>
        <v/>
      </c>
      <c r="X186" s="24">
        <f>$D$113*INDEX($C$95:$AL$95,1,21)</f>
        <v/>
      </c>
      <c r="Y186" s="24">
        <f>$D$113*INDEX($C$95:$AL$95,1,22)</f>
        <v/>
      </c>
      <c r="Z186" s="24">
        <f>$D$113*INDEX($C$95:$AL$95,1,23)</f>
        <v/>
      </c>
      <c r="AA186" s="24">
        <f>$D$113*INDEX($C$95:$AL$95,1,24)</f>
        <v/>
      </c>
      <c r="AB186" s="24">
        <f>$D$113*INDEX($C$95:$AL$95,1,25)</f>
        <v/>
      </c>
      <c r="AC186" s="24">
        <f>$D$113*INDEX($C$95:$AL$95,1,26)</f>
        <v/>
      </c>
      <c r="AD186" s="24">
        <f>$D$113*INDEX($C$95:$AL$95,1,27)</f>
        <v/>
      </c>
      <c r="AE186" s="24">
        <f>$D$113*INDEX($C$95:$AL$95,1,28)</f>
        <v/>
      </c>
      <c r="AF186" s="24">
        <f>$D$113*INDEX($C$95:$AL$95,1,29)</f>
        <v/>
      </c>
    </row>
    <row r="187">
      <c r="A187" s="4" t="inlineStr">
        <is>
          <t>Coorte del mese 3</t>
        </is>
      </c>
      <c r="C187" s="24" t="n">
        <v>0</v>
      </c>
      <c r="D187" s="24" t="n">
        <v>0</v>
      </c>
      <c r="E187" s="24">
        <f>$E$113*INDEX($C$95:$AL$95,1,1)</f>
        <v/>
      </c>
      <c r="F187" s="24">
        <f>$E$113*INDEX($C$95:$AL$95,1,2)</f>
        <v/>
      </c>
      <c r="G187" s="24">
        <f>$E$113*INDEX($C$95:$AL$95,1,3)</f>
        <v/>
      </c>
      <c r="H187" s="24">
        <f>$E$113*INDEX($C$95:$AL$95,1,4)</f>
        <v/>
      </c>
      <c r="I187" s="24">
        <f>$E$113*INDEX($C$95:$AL$95,1,5)</f>
        <v/>
      </c>
      <c r="J187" s="24">
        <f>$E$113*INDEX($C$95:$AL$95,1,6)</f>
        <v/>
      </c>
      <c r="K187" s="24">
        <f>$E$113*INDEX($C$95:$AL$95,1,7)</f>
        <v/>
      </c>
      <c r="L187" s="24">
        <f>$E$113*INDEX($C$95:$AL$95,1,8)</f>
        <v/>
      </c>
      <c r="M187" s="24">
        <f>$E$113*INDEX($C$95:$AL$95,1,9)</f>
        <v/>
      </c>
      <c r="N187" s="24">
        <f>$E$113*INDEX($C$95:$AL$95,1,10)</f>
        <v/>
      </c>
      <c r="O187" s="24">
        <f>$E$113*INDEX($C$95:$AL$95,1,11)</f>
        <v/>
      </c>
      <c r="P187" s="24">
        <f>$E$113*INDEX($C$95:$AL$95,1,12)</f>
        <v/>
      </c>
      <c r="Q187" s="24">
        <f>$E$113*INDEX($C$95:$AL$95,1,13)</f>
        <v/>
      </c>
      <c r="R187" s="24">
        <f>$E$113*INDEX($C$95:$AL$95,1,14)</f>
        <v/>
      </c>
      <c r="S187" s="24">
        <f>$E$113*INDEX($C$95:$AL$95,1,15)</f>
        <v/>
      </c>
      <c r="T187" s="24">
        <f>$E$113*INDEX($C$95:$AL$95,1,16)</f>
        <v/>
      </c>
      <c r="U187" s="24">
        <f>$E$113*INDEX($C$95:$AL$95,1,17)</f>
        <v/>
      </c>
      <c r="V187" s="24">
        <f>$E$113*INDEX($C$95:$AL$95,1,18)</f>
        <v/>
      </c>
      <c r="W187" s="24">
        <f>$E$113*INDEX($C$95:$AL$95,1,19)</f>
        <v/>
      </c>
      <c r="X187" s="24">
        <f>$E$113*INDEX($C$95:$AL$95,1,20)</f>
        <v/>
      </c>
      <c r="Y187" s="24">
        <f>$E$113*INDEX($C$95:$AL$95,1,21)</f>
        <v/>
      </c>
      <c r="Z187" s="24">
        <f>$E$113*INDEX($C$95:$AL$95,1,22)</f>
        <v/>
      </c>
      <c r="AA187" s="24">
        <f>$E$113*INDEX($C$95:$AL$95,1,23)</f>
        <v/>
      </c>
      <c r="AB187" s="24">
        <f>$E$113*INDEX($C$95:$AL$95,1,24)</f>
        <v/>
      </c>
      <c r="AC187" s="24">
        <f>$E$113*INDEX($C$95:$AL$95,1,25)</f>
        <v/>
      </c>
      <c r="AD187" s="24">
        <f>$E$113*INDEX($C$95:$AL$95,1,26)</f>
        <v/>
      </c>
      <c r="AE187" s="24">
        <f>$E$113*INDEX($C$95:$AL$95,1,27)</f>
        <v/>
      </c>
      <c r="AF187" s="24">
        <f>$E$113*INDEX($C$95:$AL$95,1,28)</f>
        <v/>
      </c>
    </row>
    <row r="188">
      <c r="A188" s="4" t="inlineStr">
        <is>
          <t>Coorte del mese 4</t>
        </is>
      </c>
      <c r="C188" s="24" t="n">
        <v>0</v>
      </c>
      <c r="D188" s="24" t="n">
        <v>0</v>
      </c>
      <c r="E188" s="24" t="n">
        <v>0</v>
      </c>
      <c r="F188" s="24">
        <f>$F$113*INDEX($C$95:$AL$95,1,1)</f>
        <v/>
      </c>
      <c r="G188" s="24">
        <f>$F$113*INDEX($C$95:$AL$95,1,2)</f>
        <v/>
      </c>
      <c r="H188" s="24">
        <f>$F$113*INDEX($C$95:$AL$95,1,3)</f>
        <v/>
      </c>
      <c r="I188" s="24">
        <f>$F$113*INDEX($C$95:$AL$95,1,4)</f>
        <v/>
      </c>
      <c r="J188" s="24">
        <f>$F$113*INDEX($C$95:$AL$95,1,5)</f>
        <v/>
      </c>
      <c r="K188" s="24">
        <f>$F$113*INDEX($C$95:$AL$95,1,6)</f>
        <v/>
      </c>
      <c r="L188" s="24">
        <f>$F$113*INDEX($C$95:$AL$95,1,7)</f>
        <v/>
      </c>
      <c r="M188" s="24">
        <f>$F$113*INDEX($C$95:$AL$95,1,8)</f>
        <v/>
      </c>
      <c r="N188" s="24">
        <f>$F$113*INDEX($C$95:$AL$95,1,9)</f>
        <v/>
      </c>
      <c r="O188" s="24">
        <f>$F$113*INDEX($C$95:$AL$95,1,10)</f>
        <v/>
      </c>
      <c r="P188" s="24">
        <f>$F$113*INDEX($C$95:$AL$95,1,11)</f>
        <v/>
      </c>
      <c r="Q188" s="24">
        <f>$F$113*INDEX($C$95:$AL$95,1,12)</f>
        <v/>
      </c>
      <c r="R188" s="24">
        <f>$F$113*INDEX($C$95:$AL$95,1,13)</f>
        <v/>
      </c>
      <c r="S188" s="24">
        <f>$F$113*INDEX($C$95:$AL$95,1,14)</f>
        <v/>
      </c>
      <c r="T188" s="24">
        <f>$F$113*INDEX($C$95:$AL$95,1,15)</f>
        <v/>
      </c>
      <c r="U188" s="24">
        <f>$F$113*INDEX($C$95:$AL$95,1,16)</f>
        <v/>
      </c>
      <c r="V188" s="24">
        <f>$F$113*INDEX($C$95:$AL$95,1,17)</f>
        <v/>
      </c>
      <c r="W188" s="24">
        <f>$F$113*INDEX($C$95:$AL$95,1,18)</f>
        <v/>
      </c>
      <c r="X188" s="24">
        <f>$F$113*INDEX($C$95:$AL$95,1,19)</f>
        <v/>
      </c>
      <c r="Y188" s="24">
        <f>$F$113*INDEX($C$95:$AL$95,1,20)</f>
        <v/>
      </c>
      <c r="Z188" s="24">
        <f>$F$113*INDEX($C$95:$AL$95,1,21)</f>
        <v/>
      </c>
      <c r="AA188" s="24">
        <f>$F$113*INDEX($C$95:$AL$95,1,22)</f>
        <v/>
      </c>
      <c r="AB188" s="24">
        <f>$F$113*INDEX($C$95:$AL$95,1,23)</f>
        <v/>
      </c>
      <c r="AC188" s="24">
        <f>$F$113*INDEX($C$95:$AL$95,1,24)</f>
        <v/>
      </c>
      <c r="AD188" s="24">
        <f>$F$113*INDEX($C$95:$AL$95,1,25)</f>
        <v/>
      </c>
      <c r="AE188" s="24">
        <f>$F$113*INDEX($C$95:$AL$95,1,26)</f>
        <v/>
      </c>
      <c r="AF188" s="24">
        <f>$F$113*INDEX($C$95:$AL$95,1,27)</f>
        <v/>
      </c>
    </row>
    <row r="189">
      <c r="A189" s="4" t="inlineStr">
        <is>
          <t>Coorte del mese 5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>
        <f>$G$113*INDEX($C$95:$AL$95,1,1)</f>
        <v/>
      </c>
      <c r="H189" s="24">
        <f>$G$113*INDEX($C$95:$AL$95,1,2)</f>
        <v/>
      </c>
      <c r="I189" s="24">
        <f>$G$113*INDEX($C$95:$AL$95,1,3)</f>
        <v/>
      </c>
      <c r="J189" s="24">
        <f>$G$113*INDEX($C$95:$AL$95,1,4)</f>
        <v/>
      </c>
      <c r="K189" s="24">
        <f>$G$113*INDEX($C$95:$AL$95,1,5)</f>
        <v/>
      </c>
      <c r="L189" s="24">
        <f>$G$113*INDEX($C$95:$AL$95,1,6)</f>
        <v/>
      </c>
      <c r="M189" s="24">
        <f>$G$113*INDEX($C$95:$AL$95,1,7)</f>
        <v/>
      </c>
      <c r="N189" s="24">
        <f>$G$113*INDEX($C$95:$AL$95,1,8)</f>
        <v/>
      </c>
      <c r="O189" s="24">
        <f>$G$113*INDEX($C$95:$AL$95,1,9)</f>
        <v/>
      </c>
      <c r="P189" s="24">
        <f>$G$113*INDEX($C$95:$AL$95,1,10)</f>
        <v/>
      </c>
      <c r="Q189" s="24">
        <f>$G$113*INDEX($C$95:$AL$95,1,11)</f>
        <v/>
      </c>
      <c r="R189" s="24">
        <f>$G$113*INDEX($C$95:$AL$95,1,12)</f>
        <v/>
      </c>
      <c r="S189" s="24">
        <f>$G$113*INDEX($C$95:$AL$95,1,13)</f>
        <v/>
      </c>
      <c r="T189" s="24">
        <f>$G$113*INDEX($C$95:$AL$95,1,14)</f>
        <v/>
      </c>
      <c r="U189" s="24">
        <f>$G$113*INDEX($C$95:$AL$95,1,15)</f>
        <v/>
      </c>
      <c r="V189" s="24">
        <f>$G$113*INDEX($C$95:$AL$95,1,16)</f>
        <v/>
      </c>
      <c r="W189" s="24">
        <f>$G$113*INDEX($C$95:$AL$95,1,17)</f>
        <v/>
      </c>
      <c r="X189" s="24">
        <f>$G$113*INDEX($C$95:$AL$95,1,18)</f>
        <v/>
      </c>
      <c r="Y189" s="24">
        <f>$G$113*INDEX($C$95:$AL$95,1,19)</f>
        <v/>
      </c>
      <c r="Z189" s="24">
        <f>$G$113*INDEX($C$95:$AL$95,1,20)</f>
        <v/>
      </c>
      <c r="AA189" s="24">
        <f>$G$113*INDEX($C$95:$AL$95,1,21)</f>
        <v/>
      </c>
      <c r="AB189" s="24">
        <f>$G$113*INDEX($C$95:$AL$95,1,22)</f>
        <v/>
      </c>
      <c r="AC189" s="24">
        <f>$G$113*INDEX($C$95:$AL$95,1,23)</f>
        <v/>
      </c>
      <c r="AD189" s="24">
        <f>$G$113*INDEX($C$95:$AL$95,1,24)</f>
        <v/>
      </c>
      <c r="AE189" s="24">
        <f>$G$113*INDEX($C$95:$AL$95,1,25)</f>
        <v/>
      </c>
      <c r="AF189" s="24">
        <f>$G$113*INDEX($C$95:$AL$95,1,26)</f>
        <v/>
      </c>
    </row>
    <row r="190">
      <c r="A190" s="4" t="inlineStr">
        <is>
          <t>Coorte del mese 6</t>
        </is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>
        <f>$H$113*INDEX($C$95:$AL$95,1,1)</f>
        <v/>
      </c>
      <c r="I190" s="24">
        <f>$H$113*INDEX($C$95:$AL$95,1,2)</f>
        <v/>
      </c>
      <c r="J190" s="24">
        <f>$H$113*INDEX($C$95:$AL$95,1,3)</f>
        <v/>
      </c>
      <c r="K190" s="24">
        <f>$H$113*INDEX($C$95:$AL$95,1,4)</f>
        <v/>
      </c>
      <c r="L190" s="24">
        <f>$H$113*INDEX($C$95:$AL$95,1,5)</f>
        <v/>
      </c>
      <c r="M190" s="24">
        <f>$H$113*INDEX($C$95:$AL$95,1,6)</f>
        <v/>
      </c>
      <c r="N190" s="24">
        <f>$H$113*INDEX($C$95:$AL$95,1,7)</f>
        <v/>
      </c>
      <c r="O190" s="24">
        <f>$H$113*INDEX($C$95:$AL$95,1,8)</f>
        <v/>
      </c>
      <c r="P190" s="24">
        <f>$H$113*INDEX($C$95:$AL$95,1,9)</f>
        <v/>
      </c>
      <c r="Q190" s="24">
        <f>$H$113*INDEX($C$95:$AL$95,1,10)</f>
        <v/>
      </c>
      <c r="R190" s="24">
        <f>$H$113*INDEX($C$95:$AL$95,1,11)</f>
        <v/>
      </c>
      <c r="S190" s="24">
        <f>$H$113*INDEX($C$95:$AL$95,1,12)</f>
        <v/>
      </c>
      <c r="T190" s="24">
        <f>$H$113*INDEX($C$95:$AL$95,1,13)</f>
        <v/>
      </c>
      <c r="U190" s="24">
        <f>$H$113*INDEX($C$95:$AL$95,1,14)</f>
        <v/>
      </c>
      <c r="V190" s="24">
        <f>$H$113*INDEX($C$95:$AL$95,1,15)</f>
        <v/>
      </c>
      <c r="W190" s="24">
        <f>$H$113*INDEX($C$95:$AL$95,1,16)</f>
        <v/>
      </c>
      <c r="X190" s="24">
        <f>$H$113*INDEX($C$95:$AL$95,1,17)</f>
        <v/>
      </c>
      <c r="Y190" s="24">
        <f>$H$113*INDEX($C$95:$AL$95,1,18)</f>
        <v/>
      </c>
      <c r="Z190" s="24">
        <f>$H$113*INDEX($C$95:$AL$95,1,19)</f>
        <v/>
      </c>
      <c r="AA190" s="24">
        <f>$H$113*INDEX($C$95:$AL$95,1,20)</f>
        <v/>
      </c>
      <c r="AB190" s="24">
        <f>$H$113*INDEX($C$95:$AL$95,1,21)</f>
        <v/>
      </c>
      <c r="AC190" s="24">
        <f>$H$113*INDEX($C$95:$AL$95,1,22)</f>
        <v/>
      </c>
      <c r="AD190" s="24">
        <f>$H$113*INDEX($C$95:$AL$95,1,23)</f>
        <v/>
      </c>
      <c r="AE190" s="24">
        <f>$H$113*INDEX($C$95:$AL$95,1,24)</f>
        <v/>
      </c>
      <c r="AF190" s="24">
        <f>$H$113*INDEX($C$95:$AL$95,1,25)</f>
        <v/>
      </c>
    </row>
    <row r="191">
      <c r="A191" s="4" t="inlineStr">
        <is>
          <t>Coorte del mese 7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>
        <f>$I$113*INDEX($C$95:$AL$95,1,1)</f>
        <v/>
      </c>
      <c r="J191" s="24">
        <f>$I$113*INDEX($C$95:$AL$95,1,2)</f>
        <v/>
      </c>
      <c r="K191" s="24">
        <f>$I$113*INDEX($C$95:$AL$95,1,3)</f>
        <v/>
      </c>
      <c r="L191" s="24">
        <f>$I$113*INDEX($C$95:$AL$95,1,4)</f>
        <v/>
      </c>
      <c r="M191" s="24">
        <f>$I$113*INDEX($C$95:$AL$95,1,5)</f>
        <v/>
      </c>
      <c r="N191" s="24">
        <f>$I$113*INDEX($C$95:$AL$95,1,6)</f>
        <v/>
      </c>
      <c r="O191" s="24">
        <f>$I$113*INDEX($C$95:$AL$95,1,7)</f>
        <v/>
      </c>
      <c r="P191" s="24">
        <f>$I$113*INDEX($C$95:$AL$95,1,8)</f>
        <v/>
      </c>
      <c r="Q191" s="24">
        <f>$I$113*INDEX($C$95:$AL$95,1,9)</f>
        <v/>
      </c>
      <c r="R191" s="24">
        <f>$I$113*INDEX($C$95:$AL$95,1,10)</f>
        <v/>
      </c>
      <c r="S191" s="24">
        <f>$I$113*INDEX($C$95:$AL$95,1,11)</f>
        <v/>
      </c>
      <c r="T191" s="24">
        <f>$I$113*INDEX($C$95:$AL$95,1,12)</f>
        <v/>
      </c>
      <c r="U191" s="24">
        <f>$I$113*INDEX($C$95:$AL$95,1,13)</f>
        <v/>
      </c>
      <c r="V191" s="24">
        <f>$I$113*INDEX($C$95:$AL$95,1,14)</f>
        <v/>
      </c>
      <c r="W191" s="24">
        <f>$I$113*INDEX($C$95:$AL$95,1,15)</f>
        <v/>
      </c>
      <c r="X191" s="24">
        <f>$I$113*INDEX($C$95:$AL$95,1,16)</f>
        <v/>
      </c>
      <c r="Y191" s="24">
        <f>$I$113*INDEX($C$95:$AL$95,1,17)</f>
        <v/>
      </c>
      <c r="Z191" s="24">
        <f>$I$113*INDEX($C$95:$AL$95,1,18)</f>
        <v/>
      </c>
      <c r="AA191" s="24">
        <f>$I$113*INDEX($C$95:$AL$95,1,19)</f>
        <v/>
      </c>
      <c r="AB191" s="24">
        <f>$I$113*INDEX($C$95:$AL$95,1,20)</f>
        <v/>
      </c>
      <c r="AC191" s="24">
        <f>$I$113*INDEX($C$95:$AL$95,1,21)</f>
        <v/>
      </c>
      <c r="AD191" s="24">
        <f>$I$113*INDEX($C$95:$AL$95,1,22)</f>
        <v/>
      </c>
      <c r="AE191" s="24">
        <f>$I$113*INDEX($C$95:$AL$95,1,23)</f>
        <v/>
      </c>
      <c r="AF191" s="24">
        <f>$I$113*INDEX($C$95:$AL$95,1,24)</f>
        <v/>
      </c>
    </row>
    <row r="192">
      <c r="A192" s="4" t="inlineStr">
        <is>
          <t>Coorte del mese 8</t>
        </is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>
        <f>$J$113*INDEX($C$95:$AL$95,1,1)</f>
        <v/>
      </c>
      <c r="K192" s="24">
        <f>$J$113*INDEX($C$95:$AL$95,1,2)</f>
        <v/>
      </c>
      <c r="L192" s="24">
        <f>$J$113*INDEX($C$95:$AL$95,1,3)</f>
        <v/>
      </c>
      <c r="M192" s="24">
        <f>$J$113*INDEX($C$95:$AL$95,1,4)</f>
        <v/>
      </c>
      <c r="N192" s="24">
        <f>$J$113*INDEX($C$95:$AL$95,1,5)</f>
        <v/>
      </c>
      <c r="O192" s="24">
        <f>$J$113*INDEX($C$95:$AL$95,1,6)</f>
        <v/>
      </c>
      <c r="P192" s="24">
        <f>$J$113*INDEX($C$95:$AL$95,1,7)</f>
        <v/>
      </c>
      <c r="Q192" s="24">
        <f>$J$113*INDEX($C$95:$AL$95,1,8)</f>
        <v/>
      </c>
      <c r="R192" s="24">
        <f>$J$113*INDEX($C$95:$AL$95,1,9)</f>
        <v/>
      </c>
      <c r="S192" s="24">
        <f>$J$113*INDEX($C$95:$AL$95,1,10)</f>
        <v/>
      </c>
      <c r="T192" s="24">
        <f>$J$113*INDEX($C$95:$AL$95,1,11)</f>
        <v/>
      </c>
      <c r="U192" s="24">
        <f>$J$113*INDEX($C$95:$AL$95,1,12)</f>
        <v/>
      </c>
      <c r="V192" s="24">
        <f>$J$113*INDEX($C$95:$AL$95,1,13)</f>
        <v/>
      </c>
      <c r="W192" s="24">
        <f>$J$113*INDEX($C$95:$AL$95,1,14)</f>
        <v/>
      </c>
      <c r="X192" s="24">
        <f>$J$113*INDEX($C$95:$AL$95,1,15)</f>
        <v/>
      </c>
      <c r="Y192" s="24">
        <f>$J$113*INDEX($C$95:$AL$95,1,16)</f>
        <v/>
      </c>
      <c r="Z192" s="24">
        <f>$J$113*INDEX($C$95:$AL$95,1,17)</f>
        <v/>
      </c>
      <c r="AA192" s="24">
        <f>$J$113*INDEX($C$95:$AL$95,1,18)</f>
        <v/>
      </c>
      <c r="AB192" s="24">
        <f>$J$113*INDEX($C$95:$AL$95,1,19)</f>
        <v/>
      </c>
      <c r="AC192" s="24">
        <f>$J$113*INDEX($C$95:$AL$95,1,20)</f>
        <v/>
      </c>
      <c r="AD192" s="24">
        <f>$J$113*INDEX($C$95:$AL$95,1,21)</f>
        <v/>
      </c>
      <c r="AE192" s="24">
        <f>$J$113*INDEX($C$95:$AL$95,1,22)</f>
        <v/>
      </c>
      <c r="AF192" s="24">
        <f>$J$113*INDEX($C$95:$AL$95,1,23)</f>
        <v/>
      </c>
    </row>
    <row r="193">
      <c r="A193" s="4" t="inlineStr">
        <is>
          <t>Coorte del mese 9</t>
        </is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>
        <f>$K$113*INDEX($C$95:$AL$95,1,1)</f>
        <v/>
      </c>
      <c r="L193" s="24">
        <f>$K$113*INDEX($C$95:$AL$95,1,2)</f>
        <v/>
      </c>
      <c r="M193" s="24">
        <f>$K$113*INDEX($C$95:$AL$95,1,3)</f>
        <v/>
      </c>
      <c r="N193" s="24">
        <f>$K$113*INDEX($C$95:$AL$95,1,4)</f>
        <v/>
      </c>
      <c r="O193" s="24">
        <f>$K$113*INDEX($C$95:$AL$95,1,5)</f>
        <v/>
      </c>
      <c r="P193" s="24">
        <f>$K$113*INDEX($C$95:$AL$95,1,6)</f>
        <v/>
      </c>
      <c r="Q193" s="24">
        <f>$K$113*INDEX($C$95:$AL$95,1,7)</f>
        <v/>
      </c>
      <c r="R193" s="24">
        <f>$K$113*INDEX($C$95:$AL$95,1,8)</f>
        <v/>
      </c>
      <c r="S193" s="24">
        <f>$K$113*INDEX($C$95:$AL$95,1,9)</f>
        <v/>
      </c>
      <c r="T193" s="24">
        <f>$K$113*INDEX($C$95:$AL$95,1,10)</f>
        <v/>
      </c>
      <c r="U193" s="24">
        <f>$K$113*INDEX($C$95:$AL$95,1,11)</f>
        <v/>
      </c>
      <c r="V193" s="24">
        <f>$K$113*INDEX($C$95:$AL$95,1,12)</f>
        <v/>
      </c>
      <c r="W193" s="24">
        <f>$K$113*INDEX($C$95:$AL$95,1,13)</f>
        <v/>
      </c>
      <c r="X193" s="24">
        <f>$K$113*INDEX($C$95:$AL$95,1,14)</f>
        <v/>
      </c>
      <c r="Y193" s="24">
        <f>$K$113*INDEX($C$95:$AL$95,1,15)</f>
        <v/>
      </c>
      <c r="Z193" s="24">
        <f>$K$113*INDEX($C$95:$AL$95,1,16)</f>
        <v/>
      </c>
      <c r="AA193" s="24">
        <f>$K$113*INDEX($C$95:$AL$95,1,17)</f>
        <v/>
      </c>
      <c r="AB193" s="24">
        <f>$K$113*INDEX($C$95:$AL$95,1,18)</f>
        <v/>
      </c>
      <c r="AC193" s="24">
        <f>$K$113*INDEX($C$95:$AL$95,1,19)</f>
        <v/>
      </c>
      <c r="AD193" s="24">
        <f>$K$113*INDEX($C$95:$AL$95,1,20)</f>
        <v/>
      </c>
      <c r="AE193" s="24">
        <f>$K$113*INDEX($C$95:$AL$95,1,21)</f>
        <v/>
      </c>
      <c r="AF193" s="24">
        <f>$K$113*INDEX($C$95:$AL$95,1,22)</f>
        <v/>
      </c>
    </row>
    <row r="194">
      <c r="A194" s="4" t="inlineStr">
        <is>
          <t>Coorte del mese 10</t>
        </is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>
        <f>$L$113*INDEX($C$95:$AL$95,1,1)</f>
        <v/>
      </c>
      <c r="M194" s="24">
        <f>$L$113*INDEX($C$95:$AL$95,1,2)</f>
        <v/>
      </c>
      <c r="N194" s="24">
        <f>$L$113*INDEX($C$95:$AL$95,1,3)</f>
        <v/>
      </c>
      <c r="O194" s="24">
        <f>$L$113*INDEX($C$95:$AL$95,1,4)</f>
        <v/>
      </c>
      <c r="P194" s="24">
        <f>$L$113*INDEX($C$95:$AL$95,1,5)</f>
        <v/>
      </c>
      <c r="Q194" s="24">
        <f>$L$113*INDEX($C$95:$AL$95,1,6)</f>
        <v/>
      </c>
      <c r="R194" s="24">
        <f>$L$113*INDEX($C$95:$AL$95,1,7)</f>
        <v/>
      </c>
      <c r="S194" s="24">
        <f>$L$113*INDEX($C$95:$AL$95,1,8)</f>
        <v/>
      </c>
      <c r="T194" s="24">
        <f>$L$113*INDEX($C$95:$AL$95,1,9)</f>
        <v/>
      </c>
      <c r="U194" s="24">
        <f>$L$113*INDEX($C$95:$AL$95,1,10)</f>
        <v/>
      </c>
      <c r="V194" s="24">
        <f>$L$113*INDEX($C$95:$AL$95,1,11)</f>
        <v/>
      </c>
      <c r="W194" s="24">
        <f>$L$113*INDEX($C$95:$AL$95,1,12)</f>
        <v/>
      </c>
      <c r="X194" s="24">
        <f>$L$113*INDEX($C$95:$AL$95,1,13)</f>
        <v/>
      </c>
      <c r="Y194" s="24">
        <f>$L$113*INDEX($C$95:$AL$95,1,14)</f>
        <v/>
      </c>
      <c r="Z194" s="24">
        <f>$L$113*INDEX($C$95:$AL$95,1,15)</f>
        <v/>
      </c>
      <c r="AA194" s="24">
        <f>$L$113*INDEX($C$95:$AL$95,1,16)</f>
        <v/>
      </c>
      <c r="AB194" s="24">
        <f>$L$113*INDEX($C$95:$AL$95,1,17)</f>
        <v/>
      </c>
      <c r="AC194" s="24">
        <f>$L$113*INDEX($C$95:$AL$95,1,18)</f>
        <v/>
      </c>
      <c r="AD194" s="24">
        <f>$L$113*INDEX($C$95:$AL$95,1,19)</f>
        <v/>
      </c>
      <c r="AE194" s="24">
        <f>$L$113*INDEX($C$95:$AL$95,1,20)</f>
        <v/>
      </c>
      <c r="AF194" s="24">
        <f>$L$113*INDEX($C$95:$AL$95,1,21)</f>
        <v/>
      </c>
    </row>
    <row r="195">
      <c r="A195" s="4" t="inlineStr">
        <is>
          <t>Coorte del mese 11</t>
        </is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>
        <f>$M$113*INDEX($C$95:$AL$95,1,1)</f>
        <v/>
      </c>
      <c r="N195" s="24">
        <f>$M$113*INDEX($C$95:$AL$95,1,2)</f>
        <v/>
      </c>
      <c r="O195" s="24">
        <f>$M$113*INDEX($C$95:$AL$95,1,3)</f>
        <v/>
      </c>
      <c r="P195" s="24">
        <f>$M$113*INDEX($C$95:$AL$95,1,4)</f>
        <v/>
      </c>
      <c r="Q195" s="24">
        <f>$M$113*INDEX($C$95:$AL$95,1,5)</f>
        <v/>
      </c>
      <c r="R195" s="24">
        <f>$M$113*INDEX($C$95:$AL$95,1,6)</f>
        <v/>
      </c>
      <c r="S195" s="24">
        <f>$M$113*INDEX($C$95:$AL$95,1,7)</f>
        <v/>
      </c>
      <c r="T195" s="24">
        <f>$M$113*INDEX($C$95:$AL$95,1,8)</f>
        <v/>
      </c>
      <c r="U195" s="24">
        <f>$M$113*INDEX($C$95:$AL$95,1,9)</f>
        <v/>
      </c>
      <c r="V195" s="24">
        <f>$M$113*INDEX($C$95:$AL$95,1,10)</f>
        <v/>
      </c>
      <c r="W195" s="24">
        <f>$M$113*INDEX($C$95:$AL$95,1,11)</f>
        <v/>
      </c>
      <c r="X195" s="24">
        <f>$M$113*INDEX($C$95:$AL$95,1,12)</f>
        <v/>
      </c>
      <c r="Y195" s="24">
        <f>$M$113*INDEX($C$95:$AL$95,1,13)</f>
        <v/>
      </c>
      <c r="Z195" s="24">
        <f>$M$113*INDEX($C$95:$AL$95,1,14)</f>
        <v/>
      </c>
      <c r="AA195" s="24">
        <f>$M$113*INDEX($C$95:$AL$95,1,15)</f>
        <v/>
      </c>
      <c r="AB195" s="24">
        <f>$M$113*INDEX($C$95:$AL$95,1,16)</f>
        <v/>
      </c>
      <c r="AC195" s="24">
        <f>$M$113*INDEX($C$95:$AL$95,1,17)</f>
        <v/>
      </c>
      <c r="AD195" s="24">
        <f>$M$113*INDEX($C$95:$AL$95,1,18)</f>
        <v/>
      </c>
      <c r="AE195" s="24">
        <f>$M$113*INDEX($C$95:$AL$95,1,19)</f>
        <v/>
      </c>
      <c r="AF195" s="24">
        <f>$M$113*INDEX($C$95:$AL$95,1,20)</f>
        <v/>
      </c>
    </row>
    <row r="196">
      <c r="A196" s="4" t="inlineStr">
        <is>
          <t>Coorte del mese 12</t>
        </is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>
        <f>$N$113*INDEX($C$95:$AL$95,1,1)</f>
        <v/>
      </c>
      <c r="O196" s="24">
        <f>$N$113*INDEX($C$95:$AL$95,1,2)</f>
        <v/>
      </c>
      <c r="P196" s="24">
        <f>$N$113*INDEX($C$95:$AL$95,1,3)</f>
        <v/>
      </c>
      <c r="Q196" s="24">
        <f>$N$113*INDEX($C$95:$AL$95,1,4)</f>
        <v/>
      </c>
      <c r="R196" s="24">
        <f>$N$113*INDEX($C$95:$AL$95,1,5)</f>
        <v/>
      </c>
      <c r="S196" s="24">
        <f>$N$113*INDEX($C$95:$AL$95,1,6)</f>
        <v/>
      </c>
      <c r="T196" s="24">
        <f>$N$113*INDEX($C$95:$AL$95,1,7)</f>
        <v/>
      </c>
      <c r="U196" s="24">
        <f>$N$113*INDEX($C$95:$AL$95,1,8)</f>
        <v/>
      </c>
      <c r="V196" s="24">
        <f>$N$113*INDEX($C$95:$AL$95,1,9)</f>
        <v/>
      </c>
      <c r="W196" s="24">
        <f>$N$113*INDEX($C$95:$AL$95,1,10)</f>
        <v/>
      </c>
      <c r="X196" s="24">
        <f>$N$113*INDEX($C$95:$AL$95,1,11)</f>
        <v/>
      </c>
      <c r="Y196" s="24">
        <f>$N$113*INDEX($C$95:$AL$95,1,12)</f>
        <v/>
      </c>
      <c r="Z196" s="24">
        <f>$N$113*INDEX($C$95:$AL$95,1,13)</f>
        <v/>
      </c>
      <c r="AA196" s="24">
        <f>$N$113*INDEX($C$95:$AL$95,1,14)</f>
        <v/>
      </c>
      <c r="AB196" s="24">
        <f>$N$113*INDEX($C$95:$AL$95,1,15)</f>
        <v/>
      </c>
      <c r="AC196" s="24">
        <f>$N$113*INDEX($C$95:$AL$95,1,16)</f>
        <v/>
      </c>
      <c r="AD196" s="24">
        <f>$N$113*INDEX($C$95:$AL$95,1,17)</f>
        <v/>
      </c>
      <c r="AE196" s="24">
        <f>$N$113*INDEX($C$95:$AL$95,1,18)</f>
        <v/>
      </c>
      <c r="AF196" s="24">
        <f>$N$113*INDEX($C$95:$AL$95,1,19)</f>
        <v/>
      </c>
    </row>
    <row r="197">
      <c r="A197" s="4" t="inlineStr">
        <is>
          <t>Coorte del mese 13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>
        <f>$O$113*INDEX($C$95:$AL$95,1,1)</f>
        <v/>
      </c>
      <c r="P197" s="24">
        <f>$O$113*INDEX($C$95:$AL$95,1,2)</f>
        <v/>
      </c>
      <c r="Q197" s="24">
        <f>$O$113*INDEX($C$95:$AL$95,1,3)</f>
        <v/>
      </c>
      <c r="R197" s="24">
        <f>$O$113*INDEX($C$95:$AL$95,1,4)</f>
        <v/>
      </c>
      <c r="S197" s="24">
        <f>$O$113*INDEX($C$95:$AL$95,1,5)</f>
        <v/>
      </c>
      <c r="T197" s="24">
        <f>$O$113*INDEX($C$95:$AL$95,1,6)</f>
        <v/>
      </c>
      <c r="U197" s="24">
        <f>$O$113*INDEX($C$95:$AL$95,1,7)</f>
        <v/>
      </c>
      <c r="V197" s="24">
        <f>$O$113*INDEX($C$95:$AL$95,1,8)</f>
        <v/>
      </c>
      <c r="W197" s="24">
        <f>$O$113*INDEX($C$95:$AL$95,1,9)</f>
        <v/>
      </c>
      <c r="X197" s="24">
        <f>$O$113*INDEX($C$95:$AL$95,1,10)</f>
        <v/>
      </c>
      <c r="Y197" s="24">
        <f>$O$113*INDEX($C$95:$AL$95,1,11)</f>
        <v/>
      </c>
      <c r="Z197" s="24">
        <f>$O$113*INDEX($C$95:$AL$95,1,12)</f>
        <v/>
      </c>
      <c r="AA197" s="24">
        <f>$O$113*INDEX($C$95:$AL$95,1,13)</f>
        <v/>
      </c>
      <c r="AB197" s="24">
        <f>$O$113*INDEX($C$95:$AL$95,1,14)</f>
        <v/>
      </c>
      <c r="AC197" s="24">
        <f>$O$113*INDEX($C$95:$AL$95,1,15)</f>
        <v/>
      </c>
      <c r="AD197" s="24">
        <f>$O$113*INDEX($C$95:$AL$95,1,16)</f>
        <v/>
      </c>
      <c r="AE197" s="24">
        <f>$O$113*INDEX($C$95:$AL$95,1,17)</f>
        <v/>
      </c>
      <c r="AF197" s="24">
        <f>$O$113*INDEX($C$95:$AL$95,1,18)</f>
        <v/>
      </c>
    </row>
    <row r="198">
      <c r="A198" s="4" t="inlineStr">
        <is>
          <t>Coorte del mese 14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>
        <f>$P$113*INDEX($C$95:$AL$95,1,1)</f>
        <v/>
      </c>
      <c r="Q198" s="24">
        <f>$P$113*INDEX($C$95:$AL$95,1,2)</f>
        <v/>
      </c>
      <c r="R198" s="24">
        <f>$P$113*INDEX($C$95:$AL$95,1,3)</f>
        <v/>
      </c>
      <c r="S198" s="24">
        <f>$P$113*INDEX($C$95:$AL$95,1,4)</f>
        <v/>
      </c>
      <c r="T198" s="24">
        <f>$P$113*INDEX($C$95:$AL$95,1,5)</f>
        <v/>
      </c>
      <c r="U198" s="24">
        <f>$P$113*INDEX($C$95:$AL$95,1,6)</f>
        <v/>
      </c>
      <c r="V198" s="24">
        <f>$P$113*INDEX($C$95:$AL$95,1,7)</f>
        <v/>
      </c>
      <c r="W198" s="24">
        <f>$P$113*INDEX($C$95:$AL$95,1,8)</f>
        <v/>
      </c>
      <c r="X198" s="24">
        <f>$P$113*INDEX($C$95:$AL$95,1,9)</f>
        <v/>
      </c>
      <c r="Y198" s="24">
        <f>$P$113*INDEX($C$95:$AL$95,1,10)</f>
        <v/>
      </c>
      <c r="Z198" s="24">
        <f>$P$113*INDEX($C$95:$AL$95,1,11)</f>
        <v/>
      </c>
      <c r="AA198" s="24">
        <f>$P$113*INDEX($C$95:$AL$95,1,12)</f>
        <v/>
      </c>
      <c r="AB198" s="24">
        <f>$P$113*INDEX($C$95:$AL$95,1,13)</f>
        <v/>
      </c>
      <c r="AC198" s="24">
        <f>$P$113*INDEX($C$95:$AL$95,1,14)</f>
        <v/>
      </c>
      <c r="AD198" s="24">
        <f>$P$113*INDEX($C$95:$AL$95,1,15)</f>
        <v/>
      </c>
      <c r="AE198" s="24">
        <f>$P$113*INDEX($C$95:$AL$95,1,16)</f>
        <v/>
      </c>
      <c r="AF198" s="24">
        <f>$P$113*INDEX($C$95:$AL$95,1,17)</f>
        <v/>
      </c>
    </row>
    <row r="199">
      <c r="A199" s="4" t="inlineStr">
        <is>
          <t>Coorte del mese 15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>
        <f>$Q$113*INDEX($C$95:$AL$95,1,1)</f>
        <v/>
      </c>
      <c r="R199" s="24">
        <f>$Q$113*INDEX($C$95:$AL$95,1,2)</f>
        <v/>
      </c>
      <c r="S199" s="24">
        <f>$Q$113*INDEX($C$95:$AL$95,1,3)</f>
        <v/>
      </c>
      <c r="T199" s="24">
        <f>$Q$113*INDEX($C$95:$AL$95,1,4)</f>
        <v/>
      </c>
      <c r="U199" s="24">
        <f>$Q$113*INDEX($C$95:$AL$95,1,5)</f>
        <v/>
      </c>
      <c r="V199" s="24">
        <f>$Q$113*INDEX($C$95:$AL$95,1,6)</f>
        <v/>
      </c>
      <c r="W199" s="24">
        <f>$Q$113*INDEX($C$95:$AL$95,1,7)</f>
        <v/>
      </c>
      <c r="X199" s="24">
        <f>$Q$113*INDEX($C$95:$AL$95,1,8)</f>
        <v/>
      </c>
      <c r="Y199" s="24">
        <f>$Q$113*INDEX($C$95:$AL$95,1,9)</f>
        <v/>
      </c>
      <c r="Z199" s="24">
        <f>$Q$113*INDEX($C$95:$AL$95,1,10)</f>
        <v/>
      </c>
      <c r="AA199" s="24">
        <f>$Q$113*INDEX($C$95:$AL$95,1,11)</f>
        <v/>
      </c>
      <c r="AB199" s="24">
        <f>$Q$113*INDEX($C$95:$AL$95,1,12)</f>
        <v/>
      </c>
      <c r="AC199" s="24">
        <f>$Q$113*INDEX($C$95:$AL$95,1,13)</f>
        <v/>
      </c>
      <c r="AD199" s="24">
        <f>$Q$113*INDEX($C$95:$AL$95,1,14)</f>
        <v/>
      </c>
      <c r="AE199" s="24">
        <f>$Q$113*INDEX($C$95:$AL$95,1,15)</f>
        <v/>
      </c>
      <c r="AF199" s="24">
        <f>$Q$113*INDEX($C$95:$AL$95,1,16)</f>
        <v/>
      </c>
    </row>
    <row r="200">
      <c r="A200" s="4" t="inlineStr">
        <is>
          <t>Coorte del mese 16</t>
        </is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>
        <f>$R$113*INDEX($C$95:$AL$95,1,1)</f>
        <v/>
      </c>
      <c r="S200" s="24">
        <f>$R$113*INDEX($C$95:$AL$95,1,2)</f>
        <v/>
      </c>
      <c r="T200" s="24">
        <f>$R$113*INDEX($C$95:$AL$95,1,3)</f>
        <v/>
      </c>
      <c r="U200" s="24">
        <f>$R$113*INDEX($C$95:$AL$95,1,4)</f>
        <v/>
      </c>
      <c r="V200" s="24">
        <f>$R$113*INDEX($C$95:$AL$95,1,5)</f>
        <v/>
      </c>
      <c r="W200" s="24">
        <f>$R$113*INDEX($C$95:$AL$95,1,6)</f>
        <v/>
      </c>
      <c r="X200" s="24">
        <f>$R$113*INDEX($C$95:$AL$95,1,7)</f>
        <v/>
      </c>
      <c r="Y200" s="24">
        <f>$R$113*INDEX($C$95:$AL$95,1,8)</f>
        <v/>
      </c>
      <c r="Z200" s="24">
        <f>$R$113*INDEX($C$95:$AL$95,1,9)</f>
        <v/>
      </c>
      <c r="AA200" s="24">
        <f>$R$113*INDEX($C$95:$AL$95,1,10)</f>
        <v/>
      </c>
      <c r="AB200" s="24">
        <f>$R$113*INDEX($C$95:$AL$95,1,11)</f>
        <v/>
      </c>
      <c r="AC200" s="24">
        <f>$R$113*INDEX($C$95:$AL$95,1,12)</f>
        <v/>
      </c>
      <c r="AD200" s="24">
        <f>$R$113*INDEX($C$95:$AL$95,1,13)</f>
        <v/>
      </c>
      <c r="AE200" s="24">
        <f>$R$113*INDEX($C$95:$AL$95,1,14)</f>
        <v/>
      </c>
      <c r="AF200" s="24">
        <f>$R$113*INDEX($C$95:$AL$95,1,15)</f>
        <v/>
      </c>
    </row>
    <row r="201">
      <c r="A201" s="4" t="inlineStr">
        <is>
          <t>Coorte del mese 17</t>
        </is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>
        <f>$S$113*INDEX($C$95:$AL$95,1,1)</f>
        <v/>
      </c>
      <c r="T201" s="24">
        <f>$S$113*INDEX($C$95:$AL$95,1,2)</f>
        <v/>
      </c>
      <c r="U201" s="24">
        <f>$S$113*INDEX($C$95:$AL$95,1,3)</f>
        <v/>
      </c>
      <c r="V201" s="24">
        <f>$S$113*INDEX($C$95:$AL$95,1,4)</f>
        <v/>
      </c>
      <c r="W201" s="24">
        <f>$S$113*INDEX($C$95:$AL$95,1,5)</f>
        <v/>
      </c>
      <c r="X201" s="24">
        <f>$S$113*INDEX($C$95:$AL$95,1,6)</f>
        <v/>
      </c>
      <c r="Y201" s="24">
        <f>$S$113*INDEX($C$95:$AL$95,1,7)</f>
        <v/>
      </c>
      <c r="Z201" s="24">
        <f>$S$113*INDEX($C$95:$AL$95,1,8)</f>
        <v/>
      </c>
      <c r="AA201" s="24">
        <f>$S$113*INDEX($C$95:$AL$95,1,9)</f>
        <v/>
      </c>
      <c r="AB201" s="24">
        <f>$S$113*INDEX($C$95:$AL$95,1,10)</f>
        <v/>
      </c>
      <c r="AC201" s="24">
        <f>$S$113*INDEX($C$95:$AL$95,1,11)</f>
        <v/>
      </c>
      <c r="AD201" s="24">
        <f>$S$113*INDEX($C$95:$AL$95,1,12)</f>
        <v/>
      </c>
      <c r="AE201" s="24">
        <f>$S$113*INDEX($C$95:$AL$95,1,13)</f>
        <v/>
      </c>
      <c r="AF201" s="24">
        <f>$S$113*INDEX($C$95:$AL$95,1,14)</f>
        <v/>
      </c>
    </row>
    <row r="202">
      <c r="A202" s="4" t="inlineStr">
        <is>
          <t>Coorte del mese 18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>
        <f>$T$113*INDEX($C$95:$AL$95,1,1)</f>
        <v/>
      </c>
      <c r="U202" s="24">
        <f>$T$113*INDEX($C$95:$AL$95,1,2)</f>
        <v/>
      </c>
      <c r="V202" s="24">
        <f>$T$113*INDEX($C$95:$AL$95,1,3)</f>
        <v/>
      </c>
      <c r="W202" s="24">
        <f>$T$113*INDEX($C$95:$AL$95,1,4)</f>
        <v/>
      </c>
      <c r="X202" s="24">
        <f>$T$113*INDEX($C$95:$AL$95,1,5)</f>
        <v/>
      </c>
      <c r="Y202" s="24">
        <f>$T$113*INDEX($C$95:$AL$95,1,6)</f>
        <v/>
      </c>
      <c r="Z202" s="24">
        <f>$T$113*INDEX($C$95:$AL$95,1,7)</f>
        <v/>
      </c>
      <c r="AA202" s="24">
        <f>$T$113*INDEX($C$95:$AL$95,1,8)</f>
        <v/>
      </c>
      <c r="AB202" s="24">
        <f>$T$113*INDEX($C$95:$AL$95,1,9)</f>
        <v/>
      </c>
      <c r="AC202" s="24">
        <f>$T$113*INDEX($C$95:$AL$95,1,10)</f>
        <v/>
      </c>
      <c r="AD202" s="24">
        <f>$T$113*INDEX($C$95:$AL$95,1,11)</f>
        <v/>
      </c>
      <c r="AE202" s="24">
        <f>$T$113*INDEX($C$95:$AL$95,1,12)</f>
        <v/>
      </c>
      <c r="AF202" s="24">
        <f>$T$113*INDEX($C$95:$AL$95,1,13)</f>
        <v/>
      </c>
    </row>
    <row r="203">
      <c r="A203" s="4" t="inlineStr">
        <is>
          <t>Coorte del mese 19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>
        <f>$U$113*INDEX($C$95:$AL$95,1,1)</f>
        <v/>
      </c>
      <c r="V203" s="24">
        <f>$U$113*INDEX($C$95:$AL$95,1,2)</f>
        <v/>
      </c>
      <c r="W203" s="24">
        <f>$U$113*INDEX($C$95:$AL$95,1,3)</f>
        <v/>
      </c>
      <c r="X203" s="24">
        <f>$U$113*INDEX($C$95:$AL$95,1,4)</f>
        <v/>
      </c>
      <c r="Y203" s="24">
        <f>$U$113*INDEX($C$95:$AL$95,1,5)</f>
        <v/>
      </c>
      <c r="Z203" s="24">
        <f>$U$113*INDEX($C$95:$AL$95,1,6)</f>
        <v/>
      </c>
      <c r="AA203" s="24">
        <f>$U$113*INDEX($C$95:$AL$95,1,7)</f>
        <v/>
      </c>
      <c r="AB203" s="24">
        <f>$U$113*INDEX($C$95:$AL$95,1,8)</f>
        <v/>
      </c>
      <c r="AC203" s="24">
        <f>$U$113*INDEX($C$95:$AL$95,1,9)</f>
        <v/>
      </c>
      <c r="AD203" s="24">
        <f>$U$113*INDEX($C$95:$AL$95,1,10)</f>
        <v/>
      </c>
      <c r="AE203" s="24">
        <f>$U$113*INDEX($C$95:$AL$95,1,11)</f>
        <v/>
      </c>
      <c r="AF203" s="24">
        <f>$U$113*INDEX($C$95:$AL$95,1,12)</f>
        <v/>
      </c>
    </row>
    <row r="204">
      <c r="A204" s="4" t="inlineStr">
        <is>
          <t>Coorte del mese 20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>
        <f>$V$113*INDEX($C$95:$AL$95,1,1)</f>
        <v/>
      </c>
      <c r="W204" s="24">
        <f>$V$113*INDEX($C$95:$AL$95,1,2)</f>
        <v/>
      </c>
      <c r="X204" s="24">
        <f>$V$113*INDEX($C$95:$AL$95,1,3)</f>
        <v/>
      </c>
      <c r="Y204" s="24">
        <f>$V$113*INDEX($C$95:$AL$95,1,4)</f>
        <v/>
      </c>
      <c r="Z204" s="24">
        <f>$V$113*INDEX($C$95:$AL$95,1,5)</f>
        <v/>
      </c>
      <c r="AA204" s="24">
        <f>$V$113*INDEX($C$95:$AL$95,1,6)</f>
        <v/>
      </c>
      <c r="AB204" s="24">
        <f>$V$113*INDEX($C$95:$AL$95,1,7)</f>
        <v/>
      </c>
      <c r="AC204" s="24">
        <f>$V$113*INDEX($C$95:$AL$95,1,8)</f>
        <v/>
      </c>
      <c r="AD204" s="24">
        <f>$V$113*INDEX($C$95:$AL$95,1,9)</f>
        <v/>
      </c>
      <c r="AE204" s="24">
        <f>$V$113*INDEX($C$95:$AL$95,1,10)</f>
        <v/>
      </c>
      <c r="AF204" s="24">
        <f>$V$113*INDEX($C$95:$AL$95,1,11)</f>
        <v/>
      </c>
    </row>
    <row r="205">
      <c r="A205" s="4" t="inlineStr">
        <is>
          <t>Coorte del mese 21</t>
        </is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>
        <f>$W$113*INDEX($C$95:$AL$95,1,1)</f>
        <v/>
      </c>
      <c r="X205" s="24">
        <f>$W$113*INDEX($C$95:$AL$95,1,2)</f>
        <v/>
      </c>
      <c r="Y205" s="24">
        <f>$W$113*INDEX($C$95:$AL$95,1,3)</f>
        <v/>
      </c>
      <c r="Z205" s="24">
        <f>$W$113*INDEX($C$95:$AL$95,1,4)</f>
        <v/>
      </c>
      <c r="AA205" s="24">
        <f>$W$113*INDEX($C$95:$AL$95,1,5)</f>
        <v/>
      </c>
      <c r="AB205" s="24">
        <f>$W$113*INDEX($C$95:$AL$95,1,6)</f>
        <v/>
      </c>
      <c r="AC205" s="24">
        <f>$W$113*INDEX($C$95:$AL$95,1,7)</f>
        <v/>
      </c>
      <c r="AD205" s="24">
        <f>$W$113*INDEX($C$95:$AL$95,1,8)</f>
        <v/>
      </c>
      <c r="AE205" s="24">
        <f>$W$113*INDEX($C$95:$AL$95,1,9)</f>
        <v/>
      </c>
      <c r="AF205" s="24">
        <f>$W$113*INDEX($C$95:$AL$95,1,10)</f>
        <v/>
      </c>
    </row>
    <row r="206">
      <c r="A206" s="4" t="inlineStr">
        <is>
          <t>Coorte del mese 22</t>
        </is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>
        <f>$X$113*INDEX($C$95:$AL$95,1,1)</f>
        <v/>
      </c>
      <c r="Y206" s="24">
        <f>$X$113*INDEX($C$95:$AL$95,1,2)</f>
        <v/>
      </c>
      <c r="Z206" s="24">
        <f>$X$113*INDEX($C$95:$AL$95,1,3)</f>
        <v/>
      </c>
      <c r="AA206" s="24">
        <f>$X$113*INDEX($C$95:$AL$95,1,4)</f>
        <v/>
      </c>
      <c r="AB206" s="24">
        <f>$X$113*INDEX($C$95:$AL$95,1,5)</f>
        <v/>
      </c>
      <c r="AC206" s="24">
        <f>$X$113*INDEX($C$95:$AL$95,1,6)</f>
        <v/>
      </c>
      <c r="AD206" s="24">
        <f>$X$113*INDEX($C$95:$AL$95,1,7)</f>
        <v/>
      </c>
      <c r="AE206" s="24">
        <f>$X$113*INDEX($C$95:$AL$95,1,8)</f>
        <v/>
      </c>
      <c r="AF206" s="24">
        <f>$X$113*INDEX($C$95:$AL$95,1,9)</f>
        <v/>
      </c>
    </row>
    <row r="207">
      <c r="A207" s="4" t="inlineStr">
        <is>
          <t>Coorte del mese 23</t>
        </is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>
        <f>$Y$113*INDEX($C$95:$AL$95,1,1)</f>
        <v/>
      </c>
      <c r="Z207" s="24">
        <f>$Y$113*INDEX($C$95:$AL$95,1,2)</f>
        <v/>
      </c>
      <c r="AA207" s="24">
        <f>$Y$113*INDEX($C$95:$AL$95,1,3)</f>
        <v/>
      </c>
      <c r="AB207" s="24">
        <f>$Y$113*INDEX($C$95:$AL$95,1,4)</f>
        <v/>
      </c>
      <c r="AC207" s="24">
        <f>$Y$113*INDEX($C$95:$AL$95,1,5)</f>
        <v/>
      </c>
      <c r="AD207" s="24">
        <f>$Y$113*INDEX($C$95:$AL$95,1,6)</f>
        <v/>
      </c>
      <c r="AE207" s="24">
        <f>$Y$113*INDEX($C$95:$AL$95,1,7)</f>
        <v/>
      </c>
      <c r="AF207" s="24">
        <f>$Y$113*INDEX($C$95:$AL$95,1,8)</f>
        <v/>
      </c>
    </row>
    <row r="208">
      <c r="A208" s="4" t="inlineStr">
        <is>
          <t>Coorte del mese 24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>
        <f>$Z$113*INDEX($C$95:$AL$95,1,1)</f>
        <v/>
      </c>
      <c r="AA208" s="24">
        <f>$Z$113*INDEX($C$95:$AL$95,1,2)</f>
        <v/>
      </c>
      <c r="AB208" s="24">
        <f>$Z$113*INDEX($C$95:$AL$95,1,3)</f>
        <v/>
      </c>
      <c r="AC208" s="24">
        <f>$Z$113*INDEX($C$95:$AL$95,1,4)</f>
        <v/>
      </c>
      <c r="AD208" s="24">
        <f>$Z$113*INDEX($C$95:$AL$95,1,5)</f>
        <v/>
      </c>
      <c r="AE208" s="24">
        <f>$Z$113*INDEX($C$95:$AL$95,1,6)</f>
        <v/>
      </c>
      <c r="AF208" s="24">
        <f>$Z$113*INDEX($C$95:$AL$95,1,7)</f>
        <v/>
      </c>
    </row>
    <row r="209">
      <c r="A209" s="4" t="inlineStr">
        <is>
          <t>Coorte del mese 25</t>
        </is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4" t="n">
        <v>0</v>
      </c>
      <c r="X209" s="24" t="n">
        <v>0</v>
      </c>
      <c r="Y209" s="24" t="n">
        <v>0</v>
      </c>
      <c r="Z209" s="24" t="n">
        <v>0</v>
      </c>
      <c r="AA209" s="24">
        <f>$AA$113*INDEX($C$95:$AL$95,1,1)</f>
        <v/>
      </c>
      <c r="AB209" s="24">
        <f>$AA$113*INDEX($C$95:$AL$95,1,2)</f>
        <v/>
      </c>
      <c r="AC209" s="24">
        <f>$AA$113*INDEX($C$95:$AL$95,1,3)</f>
        <v/>
      </c>
      <c r="AD209" s="24">
        <f>$AA$113*INDEX($C$95:$AL$95,1,4)</f>
        <v/>
      </c>
      <c r="AE209" s="24">
        <f>$AA$113*INDEX($C$95:$AL$95,1,5)</f>
        <v/>
      </c>
      <c r="AF209" s="24">
        <f>$AA$113*INDEX($C$95:$AL$95,1,6)</f>
        <v/>
      </c>
    </row>
    <row r="210">
      <c r="A210" s="4" t="inlineStr">
        <is>
          <t>Coorte del mese 26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24" t="n">
        <v>0</v>
      </c>
      <c r="AA210" s="24" t="n">
        <v>0</v>
      </c>
      <c r="AB210" s="24">
        <f>$AB$113*INDEX($C$95:$AL$95,1,1)</f>
        <v/>
      </c>
      <c r="AC210" s="24">
        <f>$AB$113*INDEX($C$95:$AL$95,1,2)</f>
        <v/>
      </c>
      <c r="AD210" s="24">
        <f>$AB$113*INDEX($C$95:$AL$95,1,3)</f>
        <v/>
      </c>
      <c r="AE210" s="24">
        <f>$AB$113*INDEX($C$95:$AL$95,1,4)</f>
        <v/>
      </c>
      <c r="AF210" s="24">
        <f>$AB$113*INDEX($C$95:$AL$95,1,5)</f>
        <v/>
      </c>
    </row>
    <row r="211">
      <c r="A211" s="4" t="inlineStr">
        <is>
          <t>Coorte del mese 27</t>
        </is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>
        <f>$AC$113*INDEX($C$95:$AL$95,1,1)</f>
        <v/>
      </c>
      <c r="AD211" s="24">
        <f>$AC$113*INDEX($C$95:$AL$95,1,2)</f>
        <v/>
      </c>
      <c r="AE211" s="24">
        <f>$AC$113*INDEX($C$95:$AL$95,1,3)</f>
        <v/>
      </c>
      <c r="AF211" s="24">
        <f>$AC$113*INDEX($C$95:$AL$95,1,4)</f>
        <v/>
      </c>
    </row>
    <row r="212">
      <c r="A212" s="4" t="inlineStr">
        <is>
          <t>Coorte del mese 28</t>
        </is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>
        <f>$AD$113*INDEX($C$95:$AL$95,1,1)</f>
        <v/>
      </c>
      <c r="AE212" s="24">
        <f>$AD$113*INDEX($C$95:$AL$95,1,2)</f>
        <v/>
      </c>
      <c r="AF212" s="24">
        <f>$AD$113*INDEX($C$95:$AL$95,1,3)</f>
        <v/>
      </c>
    </row>
    <row r="213">
      <c r="A213" s="4" t="inlineStr">
        <is>
          <t>Coorte del mese 29</t>
        </is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>
        <f>$AE$113*INDEX($C$95:$AL$95,1,1)</f>
        <v/>
      </c>
      <c r="AF213" s="24">
        <f>$AE$113*INDEX($C$95:$AL$95,1,2)</f>
        <v/>
      </c>
    </row>
    <row r="214">
      <c r="A214" s="4" t="inlineStr">
        <is>
          <t>Coorte del mese 30</t>
        </is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4" t="n">
        <v>0</v>
      </c>
      <c r="AD214" s="24" t="n">
        <v>0</v>
      </c>
      <c r="AE214" s="24" t="n">
        <v>0</v>
      </c>
      <c r="AF214" s="24">
        <f>$AF$113*INDEX($C$95:$AL$95,1,1)</f>
        <v/>
      </c>
    </row>
    <row r="215">
      <c r="A215" s="3" t="inlineStr">
        <is>
          <t>Totale percorso 3: ordini</t>
        </is>
      </c>
      <c r="C215" s="25">
        <f>SUM(C185:C214)</f>
        <v/>
      </c>
      <c r="D215" s="25">
        <f>SUM(D185:D214)</f>
        <v/>
      </c>
      <c r="E215" s="25">
        <f>SUM(E185:E214)</f>
        <v/>
      </c>
      <c r="F215" s="25">
        <f>SUM(F185:F214)</f>
        <v/>
      </c>
      <c r="G215" s="25">
        <f>SUM(G185:G214)</f>
        <v/>
      </c>
      <c r="H215" s="25">
        <f>SUM(H185:H214)</f>
        <v/>
      </c>
      <c r="I215" s="25">
        <f>SUM(I185:I214)</f>
        <v/>
      </c>
      <c r="J215" s="25">
        <f>SUM(J185:J214)</f>
        <v/>
      </c>
      <c r="K215" s="25">
        <f>SUM(K185:K214)</f>
        <v/>
      </c>
      <c r="L215" s="25">
        <f>SUM(L185:L214)</f>
        <v/>
      </c>
      <c r="M215" s="25">
        <f>SUM(M185:M214)</f>
        <v/>
      </c>
      <c r="N215" s="25">
        <f>SUM(N185:N214)</f>
        <v/>
      </c>
      <c r="O215" s="25">
        <f>SUM(O185:O214)</f>
        <v/>
      </c>
      <c r="P215" s="25">
        <f>SUM(P185:P214)</f>
        <v/>
      </c>
      <c r="Q215" s="25">
        <f>SUM(Q185:Q214)</f>
        <v/>
      </c>
      <c r="R215" s="25">
        <f>SUM(R185:R214)</f>
        <v/>
      </c>
      <c r="S215" s="25">
        <f>SUM(S185:S214)</f>
        <v/>
      </c>
      <c r="T215" s="25">
        <f>SUM(T185:T214)</f>
        <v/>
      </c>
      <c r="U215" s="25">
        <f>SUM(U185:U214)</f>
        <v/>
      </c>
      <c r="V215" s="25">
        <f>SUM(V185:V214)</f>
        <v/>
      </c>
      <c r="W215" s="25">
        <f>SUM(W185:W214)</f>
        <v/>
      </c>
      <c r="X215" s="25">
        <f>SUM(X185:X214)</f>
        <v/>
      </c>
      <c r="Y215" s="25">
        <f>SUM(Y185:Y214)</f>
        <v/>
      </c>
      <c r="Z215" s="25">
        <f>SUM(Z185:Z214)</f>
        <v/>
      </c>
      <c r="AA215" s="25">
        <f>SUM(AA185:AA214)</f>
        <v/>
      </c>
      <c r="AB215" s="25">
        <f>SUM(AB185:AB214)</f>
        <v/>
      </c>
      <c r="AC215" s="25">
        <f>SUM(AC185:AC214)</f>
        <v/>
      </c>
      <c r="AD215" s="25">
        <f>SUM(AD185:AD214)</f>
        <v/>
      </c>
      <c r="AE215" s="25">
        <f>SUM(AE185:AE214)</f>
        <v/>
      </c>
      <c r="AF215" s="25">
        <f>SUM(AF185:AF214)</f>
        <v/>
      </c>
    </row>
    <row r="217">
      <c r="A217" s="10" t="inlineStr">
        <is>
          <t>Abbonamento: ordini per coorte (righe = mese di acquisizione, colonne = mese di calendario)</t>
        </is>
      </c>
    </row>
    <row r="218">
      <c r="A218" s="4" t="inlineStr">
        <is>
          <t>Coorte del mese 1</t>
        </is>
      </c>
      <c r="C218" s="24">
        <f>$C$114*INDEX($C$96:$AL$96,1,1)</f>
        <v/>
      </c>
      <c r="D218" s="24">
        <f>$C$114*INDEX($C$96:$AL$96,1,2)</f>
        <v/>
      </c>
      <c r="E218" s="24">
        <f>$C$114*INDEX($C$96:$AL$96,1,3)</f>
        <v/>
      </c>
      <c r="F218" s="24">
        <f>$C$114*INDEX($C$96:$AL$96,1,4)</f>
        <v/>
      </c>
      <c r="G218" s="24">
        <f>$C$114*INDEX($C$96:$AL$96,1,5)</f>
        <v/>
      </c>
      <c r="H218" s="24">
        <f>$C$114*INDEX($C$96:$AL$96,1,6)</f>
        <v/>
      </c>
      <c r="I218" s="24">
        <f>$C$114*INDEX($C$96:$AL$96,1,7)</f>
        <v/>
      </c>
      <c r="J218" s="24">
        <f>$C$114*INDEX($C$96:$AL$96,1,8)</f>
        <v/>
      </c>
      <c r="K218" s="24">
        <f>$C$114*INDEX($C$96:$AL$96,1,9)</f>
        <v/>
      </c>
      <c r="L218" s="24">
        <f>$C$114*INDEX($C$96:$AL$96,1,10)</f>
        <v/>
      </c>
      <c r="M218" s="24">
        <f>$C$114*INDEX($C$96:$AL$96,1,11)</f>
        <v/>
      </c>
      <c r="N218" s="24">
        <f>$C$114*INDEX($C$96:$AL$96,1,12)</f>
        <v/>
      </c>
      <c r="O218" s="24">
        <f>$C$114*INDEX($C$96:$AL$96,1,13)</f>
        <v/>
      </c>
      <c r="P218" s="24">
        <f>$C$114*INDEX($C$96:$AL$96,1,14)</f>
        <v/>
      </c>
      <c r="Q218" s="24">
        <f>$C$114*INDEX($C$96:$AL$96,1,15)</f>
        <v/>
      </c>
      <c r="R218" s="24">
        <f>$C$114*INDEX($C$96:$AL$96,1,16)</f>
        <v/>
      </c>
      <c r="S218" s="24">
        <f>$C$114*INDEX($C$96:$AL$96,1,17)</f>
        <v/>
      </c>
      <c r="T218" s="24">
        <f>$C$114*INDEX($C$96:$AL$96,1,18)</f>
        <v/>
      </c>
      <c r="U218" s="24">
        <f>$C$114*INDEX($C$96:$AL$96,1,19)</f>
        <v/>
      </c>
      <c r="V218" s="24">
        <f>$C$114*INDEX($C$96:$AL$96,1,20)</f>
        <v/>
      </c>
      <c r="W218" s="24">
        <f>$C$114*INDEX($C$96:$AL$96,1,21)</f>
        <v/>
      </c>
      <c r="X218" s="24">
        <f>$C$114*INDEX($C$96:$AL$96,1,22)</f>
        <v/>
      </c>
      <c r="Y218" s="24">
        <f>$C$114*INDEX($C$96:$AL$96,1,23)</f>
        <v/>
      </c>
      <c r="Z218" s="24">
        <f>$C$114*INDEX($C$96:$AL$96,1,24)</f>
        <v/>
      </c>
      <c r="AA218" s="24">
        <f>$C$114*INDEX($C$96:$AL$96,1,25)</f>
        <v/>
      </c>
      <c r="AB218" s="24">
        <f>$C$114*INDEX($C$96:$AL$96,1,26)</f>
        <v/>
      </c>
      <c r="AC218" s="24">
        <f>$C$114*INDEX($C$96:$AL$96,1,27)</f>
        <v/>
      </c>
      <c r="AD218" s="24">
        <f>$C$114*INDEX($C$96:$AL$96,1,28)</f>
        <v/>
      </c>
      <c r="AE218" s="24">
        <f>$C$114*INDEX($C$96:$AL$96,1,29)</f>
        <v/>
      </c>
      <c r="AF218" s="24">
        <f>$C$114*INDEX($C$96:$AL$96,1,30)</f>
        <v/>
      </c>
    </row>
    <row r="219">
      <c r="A219" s="4" t="inlineStr">
        <is>
          <t>Coorte del mese 2</t>
        </is>
      </c>
      <c r="C219" s="24" t="n">
        <v>0</v>
      </c>
      <c r="D219" s="24">
        <f>$D$114*INDEX($C$96:$AL$96,1,1)</f>
        <v/>
      </c>
      <c r="E219" s="24">
        <f>$D$114*INDEX($C$96:$AL$96,1,2)</f>
        <v/>
      </c>
      <c r="F219" s="24">
        <f>$D$114*INDEX($C$96:$AL$96,1,3)</f>
        <v/>
      </c>
      <c r="G219" s="24">
        <f>$D$114*INDEX($C$96:$AL$96,1,4)</f>
        <v/>
      </c>
      <c r="H219" s="24">
        <f>$D$114*INDEX($C$96:$AL$96,1,5)</f>
        <v/>
      </c>
      <c r="I219" s="24">
        <f>$D$114*INDEX($C$96:$AL$96,1,6)</f>
        <v/>
      </c>
      <c r="J219" s="24">
        <f>$D$114*INDEX($C$96:$AL$96,1,7)</f>
        <v/>
      </c>
      <c r="K219" s="24">
        <f>$D$114*INDEX($C$96:$AL$96,1,8)</f>
        <v/>
      </c>
      <c r="L219" s="24">
        <f>$D$114*INDEX($C$96:$AL$96,1,9)</f>
        <v/>
      </c>
      <c r="M219" s="24">
        <f>$D$114*INDEX($C$96:$AL$96,1,10)</f>
        <v/>
      </c>
      <c r="N219" s="24">
        <f>$D$114*INDEX($C$96:$AL$96,1,11)</f>
        <v/>
      </c>
      <c r="O219" s="24">
        <f>$D$114*INDEX($C$96:$AL$96,1,12)</f>
        <v/>
      </c>
      <c r="P219" s="24">
        <f>$D$114*INDEX($C$96:$AL$96,1,13)</f>
        <v/>
      </c>
      <c r="Q219" s="24">
        <f>$D$114*INDEX($C$96:$AL$96,1,14)</f>
        <v/>
      </c>
      <c r="R219" s="24">
        <f>$D$114*INDEX($C$96:$AL$96,1,15)</f>
        <v/>
      </c>
      <c r="S219" s="24">
        <f>$D$114*INDEX($C$96:$AL$96,1,16)</f>
        <v/>
      </c>
      <c r="T219" s="24">
        <f>$D$114*INDEX($C$96:$AL$96,1,17)</f>
        <v/>
      </c>
      <c r="U219" s="24">
        <f>$D$114*INDEX($C$96:$AL$96,1,18)</f>
        <v/>
      </c>
      <c r="V219" s="24">
        <f>$D$114*INDEX($C$96:$AL$96,1,19)</f>
        <v/>
      </c>
      <c r="W219" s="24">
        <f>$D$114*INDEX($C$96:$AL$96,1,20)</f>
        <v/>
      </c>
      <c r="X219" s="24">
        <f>$D$114*INDEX($C$96:$AL$96,1,21)</f>
        <v/>
      </c>
      <c r="Y219" s="24">
        <f>$D$114*INDEX($C$96:$AL$96,1,22)</f>
        <v/>
      </c>
      <c r="Z219" s="24">
        <f>$D$114*INDEX($C$96:$AL$96,1,23)</f>
        <v/>
      </c>
      <c r="AA219" s="24">
        <f>$D$114*INDEX($C$96:$AL$96,1,24)</f>
        <v/>
      </c>
      <c r="AB219" s="24">
        <f>$D$114*INDEX($C$96:$AL$96,1,25)</f>
        <v/>
      </c>
      <c r="AC219" s="24">
        <f>$D$114*INDEX($C$96:$AL$96,1,26)</f>
        <v/>
      </c>
      <c r="AD219" s="24">
        <f>$D$114*INDEX($C$96:$AL$96,1,27)</f>
        <v/>
      </c>
      <c r="AE219" s="24">
        <f>$D$114*INDEX($C$96:$AL$96,1,28)</f>
        <v/>
      </c>
      <c r="AF219" s="24">
        <f>$D$114*INDEX($C$96:$AL$96,1,29)</f>
        <v/>
      </c>
    </row>
    <row r="220">
      <c r="A220" s="4" t="inlineStr">
        <is>
          <t>Coorte del mese 3</t>
        </is>
      </c>
      <c r="C220" s="24" t="n">
        <v>0</v>
      </c>
      <c r="D220" s="24" t="n">
        <v>0</v>
      </c>
      <c r="E220" s="24">
        <f>$E$114*INDEX($C$96:$AL$96,1,1)</f>
        <v/>
      </c>
      <c r="F220" s="24">
        <f>$E$114*INDEX($C$96:$AL$96,1,2)</f>
        <v/>
      </c>
      <c r="G220" s="24">
        <f>$E$114*INDEX($C$96:$AL$96,1,3)</f>
        <v/>
      </c>
      <c r="H220" s="24">
        <f>$E$114*INDEX($C$96:$AL$96,1,4)</f>
        <v/>
      </c>
      <c r="I220" s="24">
        <f>$E$114*INDEX($C$96:$AL$96,1,5)</f>
        <v/>
      </c>
      <c r="J220" s="24">
        <f>$E$114*INDEX($C$96:$AL$96,1,6)</f>
        <v/>
      </c>
      <c r="K220" s="24">
        <f>$E$114*INDEX($C$96:$AL$96,1,7)</f>
        <v/>
      </c>
      <c r="L220" s="24">
        <f>$E$114*INDEX($C$96:$AL$96,1,8)</f>
        <v/>
      </c>
      <c r="M220" s="24">
        <f>$E$114*INDEX($C$96:$AL$96,1,9)</f>
        <v/>
      </c>
      <c r="N220" s="24">
        <f>$E$114*INDEX($C$96:$AL$96,1,10)</f>
        <v/>
      </c>
      <c r="O220" s="24">
        <f>$E$114*INDEX($C$96:$AL$96,1,11)</f>
        <v/>
      </c>
      <c r="P220" s="24">
        <f>$E$114*INDEX($C$96:$AL$96,1,12)</f>
        <v/>
      </c>
      <c r="Q220" s="24">
        <f>$E$114*INDEX($C$96:$AL$96,1,13)</f>
        <v/>
      </c>
      <c r="R220" s="24">
        <f>$E$114*INDEX($C$96:$AL$96,1,14)</f>
        <v/>
      </c>
      <c r="S220" s="24">
        <f>$E$114*INDEX($C$96:$AL$96,1,15)</f>
        <v/>
      </c>
      <c r="T220" s="24">
        <f>$E$114*INDEX($C$96:$AL$96,1,16)</f>
        <v/>
      </c>
      <c r="U220" s="24">
        <f>$E$114*INDEX($C$96:$AL$96,1,17)</f>
        <v/>
      </c>
      <c r="V220" s="24">
        <f>$E$114*INDEX($C$96:$AL$96,1,18)</f>
        <v/>
      </c>
      <c r="W220" s="24">
        <f>$E$114*INDEX($C$96:$AL$96,1,19)</f>
        <v/>
      </c>
      <c r="X220" s="24">
        <f>$E$114*INDEX($C$96:$AL$96,1,20)</f>
        <v/>
      </c>
      <c r="Y220" s="24">
        <f>$E$114*INDEX($C$96:$AL$96,1,21)</f>
        <v/>
      </c>
      <c r="Z220" s="24">
        <f>$E$114*INDEX($C$96:$AL$96,1,22)</f>
        <v/>
      </c>
      <c r="AA220" s="24">
        <f>$E$114*INDEX($C$96:$AL$96,1,23)</f>
        <v/>
      </c>
      <c r="AB220" s="24">
        <f>$E$114*INDEX($C$96:$AL$96,1,24)</f>
        <v/>
      </c>
      <c r="AC220" s="24">
        <f>$E$114*INDEX($C$96:$AL$96,1,25)</f>
        <v/>
      </c>
      <c r="AD220" s="24">
        <f>$E$114*INDEX($C$96:$AL$96,1,26)</f>
        <v/>
      </c>
      <c r="AE220" s="24">
        <f>$E$114*INDEX($C$96:$AL$96,1,27)</f>
        <v/>
      </c>
      <c r="AF220" s="24">
        <f>$E$114*INDEX($C$96:$AL$96,1,28)</f>
        <v/>
      </c>
    </row>
    <row r="221">
      <c r="A221" s="4" t="inlineStr">
        <is>
          <t>Coorte del mese 4</t>
        </is>
      </c>
      <c r="C221" s="24" t="n">
        <v>0</v>
      </c>
      <c r="D221" s="24" t="n">
        <v>0</v>
      </c>
      <c r="E221" s="24" t="n">
        <v>0</v>
      </c>
      <c r="F221" s="24">
        <f>$F$114*INDEX($C$96:$AL$96,1,1)</f>
        <v/>
      </c>
      <c r="G221" s="24">
        <f>$F$114*INDEX($C$96:$AL$96,1,2)</f>
        <v/>
      </c>
      <c r="H221" s="24">
        <f>$F$114*INDEX($C$96:$AL$96,1,3)</f>
        <v/>
      </c>
      <c r="I221" s="24">
        <f>$F$114*INDEX($C$96:$AL$96,1,4)</f>
        <v/>
      </c>
      <c r="J221" s="24">
        <f>$F$114*INDEX($C$96:$AL$96,1,5)</f>
        <v/>
      </c>
      <c r="K221" s="24">
        <f>$F$114*INDEX($C$96:$AL$96,1,6)</f>
        <v/>
      </c>
      <c r="L221" s="24">
        <f>$F$114*INDEX($C$96:$AL$96,1,7)</f>
        <v/>
      </c>
      <c r="M221" s="24">
        <f>$F$114*INDEX($C$96:$AL$96,1,8)</f>
        <v/>
      </c>
      <c r="N221" s="24">
        <f>$F$114*INDEX($C$96:$AL$96,1,9)</f>
        <v/>
      </c>
      <c r="O221" s="24">
        <f>$F$114*INDEX($C$96:$AL$96,1,10)</f>
        <v/>
      </c>
      <c r="P221" s="24">
        <f>$F$114*INDEX($C$96:$AL$96,1,11)</f>
        <v/>
      </c>
      <c r="Q221" s="24">
        <f>$F$114*INDEX($C$96:$AL$96,1,12)</f>
        <v/>
      </c>
      <c r="R221" s="24">
        <f>$F$114*INDEX($C$96:$AL$96,1,13)</f>
        <v/>
      </c>
      <c r="S221" s="24">
        <f>$F$114*INDEX($C$96:$AL$96,1,14)</f>
        <v/>
      </c>
      <c r="T221" s="24">
        <f>$F$114*INDEX($C$96:$AL$96,1,15)</f>
        <v/>
      </c>
      <c r="U221" s="24">
        <f>$F$114*INDEX($C$96:$AL$96,1,16)</f>
        <v/>
      </c>
      <c r="V221" s="24">
        <f>$F$114*INDEX($C$96:$AL$96,1,17)</f>
        <v/>
      </c>
      <c r="W221" s="24">
        <f>$F$114*INDEX($C$96:$AL$96,1,18)</f>
        <v/>
      </c>
      <c r="X221" s="24">
        <f>$F$114*INDEX($C$96:$AL$96,1,19)</f>
        <v/>
      </c>
      <c r="Y221" s="24">
        <f>$F$114*INDEX($C$96:$AL$96,1,20)</f>
        <v/>
      </c>
      <c r="Z221" s="24">
        <f>$F$114*INDEX($C$96:$AL$96,1,21)</f>
        <v/>
      </c>
      <c r="AA221" s="24">
        <f>$F$114*INDEX($C$96:$AL$96,1,22)</f>
        <v/>
      </c>
      <c r="AB221" s="24">
        <f>$F$114*INDEX($C$96:$AL$96,1,23)</f>
        <v/>
      </c>
      <c r="AC221" s="24">
        <f>$F$114*INDEX($C$96:$AL$96,1,24)</f>
        <v/>
      </c>
      <c r="AD221" s="24">
        <f>$F$114*INDEX($C$96:$AL$96,1,25)</f>
        <v/>
      </c>
      <c r="AE221" s="24">
        <f>$F$114*INDEX($C$96:$AL$96,1,26)</f>
        <v/>
      </c>
      <c r="AF221" s="24">
        <f>$F$114*INDEX($C$96:$AL$96,1,27)</f>
        <v/>
      </c>
    </row>
    <row r="222">
      <c r="A222" s="4" t="inlineStr">
        <is>
          <t>Coorte del mese 5</t>
        </is>
      </c>
      <c r="C222" s="24" t="n">
        <v>0</v>
      </c>
      <c r="D222" s="24" t="n">
        <v>0</v>
      </c>
      <c r="E222" s="24" t="n">
        <v>0</v>
      </c>
      <c r="F222" s="24" t="n">
        <v>0</v>
      </c>
      <c r="G222" s="24">
        <f>$G$114*INDEX($C$96:$AL$96,1,1)</f>
        <v/>
      </c>
      <c r="H222" s="24">
        <f>$G$114*INDEX($C$96:$AL$96,1,2)</f>
        <v/>
      </c>
      <c r="I222" s="24">
        <f>$G$114*INDEX($C$96:$AL$96,1,3)</f>
        <v/>
      </c>
      <c r="J222" s="24">
        <f>$G$114*INDEX($C$96:$AL$96,1,4)</f>
        <v/>
      </c>
      <c r="K222" s="24">
        <f>$G$114*INDEX($C$96:$AL$96,1,5)</f>
        <v/>
      </c>
      <c r="L222" s="24">
        <f>$G$114*INDEX($C$96:$AL$96,1,6)</f>
        <v/>
      </c>
      <c r="M222" s="24">
        <f>$G$114*INDEX($C$96:$AL$96,1,7)</f>
        <v/>
      </c>
      <c r="N222" s="24">
        <f>$G$114*INDEX($C$96:$AL$96,1,8)</f>
        <v/>
      </c>
      <c r="O222" s="24">
        <f>$G$114*INDEX($C$96:$AL$96,1,9)</f>
        <v/>
      </c>
      <c r="P222" s="24">
        <f>$G$114*INDEX($C$96:$AL$96,1,10)</f>
        <v/>
      </c>
      <c r="Q222" s="24">
        <f>$G$114*INDEX($C$96:$AL$96,1,11)</f>
        <v/>
      </c>
      <c r="R222" s="24">
        <f>$G$114*INDEX($C$96:$AL$96,1,12)</f>
        <v/>
      </c>
      <c r="S222" s="24">
        <f>$G$114*INDEX($C$96:$AL$96,1,13)</f>
        <v/>
      </c>
      <c r="T222" s="24">
        <f>$G$114*INDEX($C$96:$AL$96,1,14)</f>
        <v/>
      </c>
      <c r="U222" s="24">
        <f>$G$114*INDEX($C$96:$AL$96,1,15)</f>
        <v/>
      </c>
      <c r="V222" s="24">
        <f>$G$114*INDEX($C$96:$AL$96,1,16)</f>
        <v/>
      </c>
      <c r="W222" s="24">
        <f>$G$114*INDEX($C$96:$AL$96,1,17)</f>
        <v/>
      </c>
      <c r="X222" s="24">
        <f>$G$114*INDEX($C$96:$AL$96,1,18)</f>
        <v/>
      </c>
      <c r="Y222" s="24">
        <f>$G$114*INDEX($C$96:$AL$96,1,19)</f>
        <v/>
      </c>
      <c r="Z222" s="24">
        <f>$G$114*INDEX($C$96:$AL$96,1,20)</f>
        <v/>
      </c>
      <c r="AA222" s="24">
        <f>$G$114*INDEX($C$96:$AL$96,1,21)</f>
        <v/>
      </c>
      <c r="AB222" s="24">
        <f>$G$114*INDEX($C$96:$AL$96,1,22)</f>
        <v/>
      </c>
      <c r="AC222" s="24">
        <f>$G$114*INDEX($C$96:$AL$96,1,23)</f>
        <v/>
      </c>
      <c r="AD222" s="24">
        <f>$G$114*INDEX($C$96:$AL$96,1,24)</f>
        <v/>
      </c>
      <c r="AE222" s="24">
        <f>$G$114*INDEX($C$96:$AL$96,1,25)</f>
        <v/>
      </c>
      <c r="AF222" s="24">
        <f>$G$114*INDEX($C$96:$AL$96,1,26)</f>
        <v/>
      </c>
    </row>
    <row r="223">
      <c r="A223" s="4" t="inlineStr">
        <is>
          <t>Coorte del mese 6</t>
        </is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>
        <f>$H$114*INDEX($C$96:$AL$96,1,1)</f>
        <v/>
      </c>
      <c r="I223" s="24">
        <f>$H$114*INDEX($C$96:$AL$96,1,2)</f>
        <v/>
      </c>
      <c r="J223" s="24">
        <f>$H$114*INDEX($C$96:$AL$96,1,3)</f>
        <v/>
      </c>
      <c r="K223" s="24">
        <f>$H$114*INDEX($C$96:$AL$96,1,4)</f>
        <v/>
      </c>
      <c r="L223" s="24">
        <f>$H$114*INDEX($C$96:$AL$96,1,5)</f>
        <v/>
      </c>
      <c r="M223" s="24">
        <f>$H$114*INDEX($C$96:$AL$96,1,6)</f>
        <v/>
      </c>
      <c r="N223" s="24">
        <f>$H$114*INDEX($C$96:$AL$96,1,7)</f>
        <v/>
      </c>
      <c r="O223" s="24">
        <f>$H$114*INDEX($C$96:$AL$96,1,8)</f>
        <v/>
      </c>
      <c r="P223" s="24">
        <f>$H$114*INDEX($C$96:$AL$96,1,9)</f>
        <v/>
      </c>
      <c r="Q223" s="24">
        <f>$H$114*INDEX($C$96:$AL$96,1,10)</f>
        <v/>
      </c>
      <c r="R223" s="24">
        <f>$H$114*INDEX($C$96:$AL$96,1,11)</f>
        <v/>
      </c>
      <c r="S223" s="24">
        <f>$H$114*INDEX($C$96:$AL$96,1,12)</f>
        <v/>
      </c>
      <c r="T223" s="24">
        <f>$H$114*INDEX($C$96:$AL$96,1,13)</f>
        <v/>
      </c>
      <c r="U223" s="24">
        <f>$H$114*INDEX($C$96:$AL$96,1,14)</f>
        <v/>
      </c>
      <c r="V223" s="24">
        <f>$H$114*INDEX($C$96:$AL$96,1,15)</f>
        <v/>
      </c>
      <c r="W223" s="24">
        <f>$H$114*INDEX($C$96:$AL$96,1,16)</f>
        <v/>
      </c>
      <c r="X223" s="24">
        <f>$H$114*INDEX($C$96:$AL$96,1,17)</f>
        <v/>
      </c>
      <c r="Y223" s="24">
        <f>$H$114*INDEX($C$96:$AL$96,1,18)</f>
        <v/>
      </c>
      <c r="Z223" s="24">
        <f>$H$114*INDEX($C$96:$AL$96,1,19)</f>
        <v/>
      </c>
      <c r="AA223" s="24">
        <f>$H$114*INDEX($C$96:$AL$96,1,20)</f>
        <v/>
      </c>
      <c r="AB223" s="24">
        <f>$H$114*INDEX($C$96:$AL$96,1,21)</f>
        <v/>
      </c>
      <c r="AC223" s="24">
        <f>$H$114*INDEX($C$96:$AL$96,1,22)</f>
        <v/>
      </c>
      <c r="AD223" s="24">
        <f>$H$114*INDEX($C$96:$AL$96,1,23)</f>
        <v/>
      </c>
      <c r="AE223" s="24">
        <f>$H$114*INDEX($C$96:$AL$96,1,24)</f>
        <v/>
      </c>
      <c r="AF223" s="24">
        <f>$H$114*INDEX($C$96:$AL$96,1,25)</f>
        <v/>
      </c>
    </row>
    <row r="224">
      <c r="A224" s="4" t="inlineStr">
        <is>
          <t>Coorte del mese 7</t>
        </is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>
        <f>$I$114*INDEX($C$96:$AL$96,1,1)</f>
        <v/>
      </c>
      <c r="J224" s="24">
        <f>$I$114*INDEX($C$96:$AL$96,1,2)</f>
        <v/>
      </c>
      <c r="K224" s="24">
        <f>$I$114*INDEX($C$96:$AL$96,1,3)</f>
        <v/>
      </c>
      <c r="L224" s="24">
        <f>$I$114*INDEX($C$96:$AL$96,1,4)</f>
        <v/>
      </c>
      <c r="M224" s="24">
        <f>$I$114*INDEX($C$96:$AL$96,1,5)</f>
        <v/>
      </c>
      <c r="N224" s="24">
        <f>$I$114*INDEX($C$96:$AL$96,1,6)</f>
        <v/>
      </c>
      <c r="O224" s="24">
        <f>$I$114*INDEX($C$96:$AL$96,1,7)</f>
        <v/>
      </c>
      <c r="P224" s="24">
        <f>$I$114*INDEX($C$96:$AL$96,1,8)</f>
        <v/>
      </c>
      <c r="Q224" s="24">
        <f>$I$114*INDEX($C$96:$AL$96,1,9)</f>
        <v/>
      </c>
      <c r="R224" s="24">
        <f>$I$114*INDEX($C$96:$AL$96,1,10)</f>
        <v/>
      </c>
      <c r="S224" s="24">
        <f>$I$114*INDEX($C$96:$AL$96,1,11)</f>
        <v/>
      </c>
      <c r="T224" s="24">
        <f>$I$114*INDEX($C$96:$AL$96,1,12)</f>
        <v/>
      </c>
      <c r="U224" s="24">
        <f>$I$114*INDEX($C$96:$AL$96,1,13)</f>
        <v/>
      </c>
      <c r="V224" s="24">
        <f>$I$114*INDEX($C$96:$AL$96,1,14)</f>
        <v/>
      </c>
      <c r="W224" s="24">
        <f>$I$114*INDEX($C$96:$AL$96,1,15)</f>
        <v/>
      </c>
      <c r="X224" s="24">
        <f>$I$114*INDEX($C$96:$AL$96,1,16)</f>
        <v/>
      </c>
      <c r="Y224" s="24">
        <f>$I$114*INDEX($C$96:$AL$96,1,17)</f>
        <v/>
      </c>
      <c r="Z224" s="24">
        <f>$I$114*INDEX($C$96:$AL$96,1,18)</f>
        <v/>
      </c>
      <c r="AA224" s="24">
        <f>$I$114*INDEX($C$96:$AL$96,1,19)</f>
        <v/>
      </c>
      <c r="AB224" s="24">
        <f>$I$114*INDEX($C$96:$AL$96,1,20)</f>
        <v/>
      </c>
      <c r="AC224" s="24">
        <f>$I$114*INDEX($C$96:$AL$96,1,21)</f>
        <v/>
      </c>
      <c r="AD224" s="24">
        <f>$I$114*INDEX($C$96:$AL$96,1,22)</f>
        <v/>
      </c>
      <c r="AE224" s="24">
        <f>$I$114*INDEX($C$96:$AL$96,1,23)</f>
        <v/>
      </c>
      <c r="AF224" s="24">
        <f>$I$114*INDEX($C$96:$AL$96,1,24)</f>
        <v/>
      </c>
    </row>
    <row r="225">
      <c r="A225" s="4" t="inlineStr">
        <is>
          <t>Coorte del mese 8</t>
        </is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>
        <f>$J$114*INDEX($C$96:$AL$96,1,1)</f>
        <v/>
      </c>
      <c r="K225" s="24">
        <f>$J$114*INDEX($C$96:$AL$96,1,2)</f>
        <v/>
      </c>
      <c r="L225" s="24">
        <f>$J$114*INDEX($C$96:$AL$96,1,3)</f>
        <v/>
      </c>
      <c r="M225" s="24">
        <f>$J$114*INDEX($C$96:$AL$96,1,4)</f>
        <v/>
      </c>
      <c r="N225" s="24">
        <f>$J$114*INDEX($C$96:$AL$96,1,5)</f>
        <v/>
      </c>
      <c r="O225" s="24">
        <f>$J$114*INDEX($C$96:$AL$96,1,6)</f>
        <v/>
      </c>
      <c r="P225" s="24">
        <f>$J$114*INDEX($C$96:$AL$96,1,7)</f>
        <v/>
      </c>
      <c r="Q225" s="24">
        <f>$J$114*INDEX($C$96:$AL$96,1,8)</f>
        <v/>
      </c>
      <c r="R225" s="24">
        <f>$J$114*INDEX($C$96:$AL$96,1,9)</f>
        <v/>
      </c>
      <c r="S225" s="24">
        <f>$J$114*INDEX($C$96:$AL$96,1,10)</f>
        <v/>
      </c>
      <c r="T225" s="24">
        <f>$J$114*INDEX($C$96:$AL$96,1,11)</f>
        <v/>
      </c>
      <c r="U225" s="24">
        <f>$J$114*INDEX($C$96:$AL$96,1,12)</f>
        <v/>
      </c>
      <c r="V225" s="24">
        <f>$J$114*INDEX($C$96:$AL$96,1,13)</f>
        <v/>
      </c>
      <c r="W225" s="24">
        <f>$J$114*INDEX($C$96:$AL$96,1,14)</f>
        <v/>
      </c>
      <c r="X225" s="24">
        <f>$J$114*INDEX($C$96:$AL$96,1,15)</f>
        <v/>
      </c>
      <c r="Y225" s="24">
        <f>$J$114*INDEX($C$96:$AL$96,1,16)</f>
        <v/>
      </c>
      <c r="Z225" s="24">
        <f>$J$114*INDEX($C$96:$AL$96,1,17)</f>
        <v/>
      </c>
      <c r="AA225" s="24">
        <f>$J$114*INDEX($C$96:$AL$96,1,18)</f>
        <v/>
      </c>
      <c r="AB225" s="24">
        <f>$J$114*INDEX($C$96:$AL$96,1,19)</f>
        <v/>
      </c>
      <c r="AC225" s="24">
        <f>$J$114*INDEX($C$96:$AL$96,1,20)</f>
        <v/>
      </c>
      <c r="AD225" s="24">
        <f>$J$114*INDEX($C$96:$AL$96,1,21)</f>
        <v/>
      </c>
      <c r="AE225" s="24">
        <f>$J$114*INDEX($C$96:$AL$96,1,22)</f>
        <v/>
      </c>
      <c r="AF225" s="24">
        <f>$J$114*INDEX($C$96:$AL$96,1,23)</f>
        <v/>
      </c>
    </row>
    <row r="226">
      <c r="A226" s="4" t="inlineStr">
        <is>
          <t>Coorte del mese 9</t>
        </is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>
        <f>$K$114*INDEX($C$96:$AL$96,1,1)</f>
        <v/>
      </c>
      <c r="L226" s="24">
        <f>$K$114*INDEX($C$96:$AL$96,1,2)</f>
        <v/>
      </c>
      <c r="M226" s="24">
        <f>$K$114*INDEX($C$96:$AL$96,1,3)</f>
        <v/>
      </c>
      <c r="N226" s="24">
        <f>$K$114*INDEX($C$96:$AL$96,1,4)</f>
        <v/>
      </c>
      <c r="O226" s="24">
        <f>$K$114*INDEX($C$96:$AL$96,1,5)</f>
        <v/>
      </c>
      <c r="P226" s="24">
        <f>$K$114*INDEX($C$96:$AL$96,1,6)</f>
        <v/>
      </c>
      <c r="Q226" s="24">
        <f>$K$114*INDEX($C$96:$AL$96,1,7)</f>
        <v/>
      </c>
      <c r="R226" s="24">
        <f>$K$114*INDEX($C$96:$AL$96,1,8)</f>
        <v/>
      </c>
      <c r="S226" s="24">
        <f>$K$114*INDEX($C$96:$AL$96,1,9)</f>
        <v/>
      </c>
      <c r="T226" s="24">
        <f>$K$114*INDEX($C$96:$AL$96,1,10)</f>
        <v/>
      </c>
      <c r="U226" s="24">
        <f>$K$114*INDEX($C$96:$AL$96,1,11)</f>
        <v/>
      </c>
      <c r="V226" s="24">
        <f>$K$114*INDEX($C$96:$AL$96,1,12)</f>
        <v/>
      </c>
      <c r="W226" s="24">
        <f>$K$114*INDEX($C$96:$AL$96,1,13)</f>
        <v/>
      </c>
      <c r="X226" s="24">
        <f>$K$114*INDEX($C$96:$AL$96,1,14)</f>
        <v/>
      </c>
      <c r="Y226" s="24">
        <f>$K$114*INDEX($C$96:$AL$96,1,15)</f>
        <v/>
      </c>
      <c r="Z226" s="24">
        <f>$K$114*INDEX($C$96:$AL$96,1,16)</f>
        <v/>
      </c>
      <c r="AA226" s="24">
        <f>$K$114*INDEX($C$96:$AL$96,1,17)</f>
        <v/>
      </c>
      <c r="AB226" s="24">
        <f>$K$114*INDEX($C$96:$AL$96,1,18)</f>
        <v/>
      </c>
      <c r="AC226" s="24">
        <f>$K$114*INDEX($C$96:$AL$96,1,19)</f>
        <v/>
      </c>
      <c r="AD226" s="24">
        <f>$K$114*INDEX($C$96:$AL$96,1,20)</f>
        <v/>
      </c>
      <c r="AE226" s="24">
        <f>$K$114*INDEX($C$96:$AL$96,1,21)</f>
        <v/>
      </c>
      <c r="AF226" s="24">
        <f>$K$114*INDEX($C$96:$AL$96,1,22)</f>
        <v/>
      </c>
    </row>
    <row r="227">
      <c r="A227" s="4" t="inlineStr">
        <is>
          <t>Coorte del mese 10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>
        <f>$L$114*INDEX($C$96:$AL$96,1,1)</f>
        <v/>
      </c>
      <c r="M227" s="24">
        <f>$L$114*INDEX($C$96:$AL$96,1,2)</f>
        <v/>
      </c>
      <c r="N227" s="24">
        <f>$L$114*INDEX($C$96:$AL$96,1,3)</f>
        <v/>
      </c>
      <c r="O227" s="24">
        <f>$L$114*INDEX($C$96:$AL$96,1,4)</f>
        <v/>
      </c>
      <c r="P227" s="24">
        <f>$L$114*INDEX($C$96:$AL$96,1,5)</f>
        <v/>
      </c>
      <c r="Q227" s="24">
        <f>$L$114*INDEX($C$96:$AL$96,1,6)</f>
        <v/>
      </c>
      <c r="R227" s="24">
        <f>$L$114*INDEX($C$96:$AL$96,1,7)</f>
        <v/>
      </c>
      <c r="S227" s="24">
        <f>$L$114*INDEX($C$96:$AL$96,1,8)</f>
        <v/>
      </c>
      <c r="T227" s="24">
        <f>$L$114*INDEX($C$96:$AL$96,1,9)</f>
        <v/>
      </c>
      <c r="U227" s="24">
        <f>$L$114*INDEX($C$96:$AL$96,1,10)</f>
        <v/>
      </c>
      <c r="V227" s="24">
        <f>$L$114*INDEX($C$96:$AL$96,1,11)</f>
        <v/>
      </c>
      <c r="W227" s="24">
        <f>$L$114*INDEX($C$96:$AL$96,1,12)</f>
        <v/>
      </c>
      <c r="X227" s="24">
        <f>$L$114*INDEX($C$96:$AL$96,1,13)</f>
        <v/>
      </c>
      <c r="Y227" s="24">
        <f>$L$114*INDEX($C$96:$AL$96,1,14)</f>
        <v/>
      </c>
      <c r="Z227" s="24">
        <f>$L$114*INDEX($C$96:$AL$96,1,15)</f>
        <v/>
      </c>
      <c r="AA227" s="24">
        <f>$L$114*INDEX($C$96:$AL$96,1,16)</f>
        <v/>
      </c>
      <c r="AB227" s="24">
        <f>$L$114*INDEX($C$96:$AL$96,1,17)</f>
        <v/>
      </c>
      <c r="AC227" s="24">
        <f>$L$114*INDEX($C$96:$AL$96,1,18)</f>
        <v/>
      </c>
      <c r="AD227" s="24">
        <f>$L$114*INDEX($C$96:$AL$96,1,19)</f>
        <v/>
      </c>
      <c r="AE227" s="24">
        <f>$L$114*INDEX($C$96:$AL$96,1,20)</f>
        <v/>
      </c>
      <c r="AF227" s="24">
        <f>$L$114*INDEX($C$96:$AL$96,1,21)</f>
        <v/>
      </c>
    </row>
    <row r="228">
      <c r="A228" s="4" t="inlineStr">
        <is>
          <t>Coorte del mese 11</t>
        </is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>
        <f>$M$114*INDEX($C$96:$AL$96,1,1)</f>
        <v/>
      </c>
      <c r="N228" s="24">
        <f>$M$114*INDEX($C$96:$AL$96,1,2)</f>
        <v/>
      </c>
      <c r="O228" s="24">
        <f>$M$114*INDEX($C$96:$AL$96,1,3)</f>
        <v/>
      </c>
      <c r="P228" s="24">
        <f>$M$114*INDEX($C$96:$AL$96,1,4)</f>
        <v/>
      </c>
      <c r="Q228" s="24">
        <f>$M$114*INDEX($C$96:$AL$96,1,5)</f>
        <v/>
      </c>
      <c r="R228" s="24">
        <f>$M$114*INDEX($C$96:$AL$96,1,6)</f>
        <v/>
      </c>
      <c r="S228" s="24">
        <f>$M$114*INDEX($C$96:$AL$96,1,7)</f>
        <v/>
      </c>
      <c r="T228" s="24">
        <f>$M$114*INDEX($C$96:$AL$96,1,8)</f>
        <v/>
      </c>
      <c r="U228" s="24">
        <f>$M$114*INDEX($C$96:$AL$96,1,9)</f>
        <v/>
      </c>
      <c r="V228" s="24">
        <f>$M$114*INDEX($C$96:$AL$96,1,10)</f>
        <v/>
      </c>
      <c r="W228" s="24">
        <f>$M$114*INDEX($C$96:$AL$96,1,11)</f>
        <v/>
      </c>
      <c r="X228" s="24">
        <f>$M$114*INDEX($C$96:$AL$96,1,12)</f>
        <v/>
      </c>
      <c r="Y228" s="24">
        <f>$M$114*INDEX($C$96:$AL$96,1,13)</f>
        <v/>
      </c>
      <c r="Z228" s="24">
        <f>$M$114*INDEX($C$96:$AL$96,1,14)</f>
        <v/>
      </c>
      <c r="AA228" s="24">
        <f>$M$114*INDEX($C$96:$AL$96,1,15)</f>
        <v/>
      </c>
      <c r="AB228" s="24">
        <f>$M$114*INDEX($C$96:$AL$96,1,16)</f>
        <v/>
      </c>
      <c r="AC228" s="24">
        <f>$M$114*INDEX($C$96:$AL$96,1,17)</f>
        <v/>
      </c>
      <c r="AD228" s="24">
        <f>$M$114*INDEX($C$96:$AL$96,1,18)</f>
        <v/>
      </c>
      <c r="AE228" s="24">
        <f>$M$114*INDEX($C$96:$AL$96,1,19)</f>
        <v/>
      </c>
      <c r="AF228" s="24">
        <f>$M$114*INDEX($C$96:$AL$96,1,20)</f>
        <v/>
      </c>
    </row>
    <row r="229">
      <c r="A229" s="4" t="inlineStr">
        <is>
          <t>Coorte del mese 12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>
        <f>$N$114*INDEX($C$96:$AL$96,1,1)</f>
        <v/>
      </c>
      <c r="O229" s="24">
        <f>$N$114*INDEX($C$96:$AL$96,1,2)</f>
        <v/>
      </c>
      <c r="P229" s="24">
        <f>$N$114*INDEX($C$96:$AL$96,1,3)</f>
        <v/>
      </c>
      <c r="Q229" s="24">
        <f>$N$114*INDEX($C$96:$AL$96,1,4)</f>
        <v/>
      </c>
      <c r="R229" s="24">
        <f>$N$114*INDEX($C$96:$AL$96,1,5)</f>
        <v/>
      </c>
      <c r="S229" s="24">
        <f>$N$114*INDEX($C$96:$AL$96,1,6)</f>
        <v/>
      </c>
      <c r="T229" s="24">
        <f>$N$114*INDEX($C$96:$AL$96,1,7)</f>
        <v/>
      </c>
      <c r="U229" s="24">
        <f>$N$114*INDEX($C$96:$AL$96,1,8)</f>
        <v/>
      </c>
      <c r="V229" s="24">
        <f>$N$114*INDEX($C$96:$AL$96,1,9)</f>
        <v/>
      </c>
      <c r="W229" s="24">
        <f>$N$114*INDEX($C$96:$AL$96,1,10)</f>
        <v/>
      </c>
      <c r="X229" s="24">
        <f>$N$114*INDEX($C$96:$AL$96,1,11)</f>
        <v/>
      </c>
      <c r="Y229" s="24">
        <f>$N$114*INDEX($C$96:$AL$96,1,12)</f>
        <v/>
      </c>
      <c r="Z229" s="24">
        <f>$N$114*INDEX($C$96:$AL$96,1,13)</f>
        <v/>
      </c>
      <c r="AA229" s="24">
        <f>$N$114*INDEX($C$96:$AL$96,1,14)</f>
        <v/>
      </c>
      <c r="AB229" s="24">
        <f>$N$114*INDEX($C$96:$AL$96,1,15)</f>
        <v/>
      </c>
      <c r="AC229" s="24">
        <f>$N$114*INDEX($C$96:$AL$96,1,16)</f>
        <v/>
      </c>
      <c r="AD229" s="24">
        <f>$N$114*INDEX($C$96:$AL$96,1,17)</f>
        <v/>
      </c>
      <c r="AE229" s="24">
        <f>$N$114*INDEX($C$96:$AL$96,1,18)</f>
        <v/>
      </c>
      <c r="AF229" s="24">
        <f>$N$114*INDEX($C$96:$AL$96,1,19)</f>
        <v/>
      </c>
    </row>
    <row r="230">
      <c r="A230" s="4" t="inlineStr">
        <is>
          <t>Coorte del mese 13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>
        <f>$O$114*INDEX($C$96:$AL$96,1,1)</f>
        <v/>
      </c>
      <c r="P230" s="24">
        <f>$O$114*INDEX($C$96:$AL$96,1,2)</f>
        <v/>
      </c>
      <c r="Q230" s="24">
        <f>$O$114*INDEX($C$96:$AL$96,1,3)</f>
        <v/>
      </c>
      <c r="R230" s="24">
        <f>$O$114*INDEX($C$96:$AL$96,1,4)</f>
        <v/>
      </c>
      <c r="S230" s="24">
        <f>$O$114*INDEX($C$96:$AL$96,1,5)</f>
        <v/>
      </c>
      <c r="T230" s="24">
        <f>$O$114*INDEX($C$96:$AL$96,1,6)</f>
        <v/>
      </c>
      <c r="U230" s="24">
        <f>$O$114*INDEX($C$96:$AL$96,1,7)</f>
        <v/>
      </c>
      <c r="V230" s="24">
        <f>$O$114*INDEX($C$96:$AL$96,1,8)</f>
        <v/>
      </c>
      <c r="W230" s="24">
        <f>$O$114*INDEX($C$96:$AL$96,1,9)</f>
        <v/>
      </c>
      <c r="X230" s="24">
        <f>$O$114*INDEX($C$96:$AL$96,1,10)</f>
        <v/>
      </c>
      <c r="Y230" s="24">
        <f>$O$114*INDEX($C$96:$AL$96,1,11)</f>
        <v/>
      </c>
      <c r="Z230" s="24">
        <f>$O$114*INDEX($C$96:$AL$96,1,12)</f>
        <v/>
      </c>
      <c r="AA230" s="24">
        <f>$O$114*INDEX($C$96:$AL$96,1,13)</f>
        <v/>
      </c>
      <c r="AB230" s="24">
        <f>$O$114*INDEX($C$96:$AL$96,1,14)</f>
        <v/>
      </c>
      <c r="AC230" s="24">
        <f>$O$114*INDEX($C$96:$AL$96,1,15)</f>
        <v/>
      </c>
      <c r="AD230" s="24">
        <f>$O$114*INDEX($C$96:$AL$96,1,16)</f>
        <v/>
      </c>
      <c r="AE230" s="24">
        <f>$O$114*INDEX($C$96:$AL$96,1,17)</f>
        <v/>
      </c>
      <c r="AF230" s="24">
        <f>$O$114*INDEX($C$96:$AL$96,1,18)</f>
        <v/>
      </c>
    </row>
    <row r="231">
      <c r="A231" s="4" t="inlineStr">
        <is>
          <t>Coorte del mese 14</t>
        </is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>
        <f>$P$114*INDEX($C$96:$AL$96,1,1)</f>
        <v/>
      </c>
      <c r="Q231" s="24">
        <f>$P$114*INDEX($C$96:$AL$96,1,2)</f>
        <v/>
      </c>
      <c r="R231" s="24">
        <f>$P$114*INDEX($C$96:$AL$96,1,3)</f>
        <v/>
      </c>
      <c r="S231" s="24">
        <f>$P$114*INDEX($C$96:$AL$96,1,4)</f>
        <v/>
      </c>
      <c r="T231" s="24">
        <f>$P$114*INDEX($C$96:$AL$96,1,5)</f>
        <v/>
      </c>
      <c r="U231" s="24">
        <f>$P$114*INDEX($C$96:$AL$96,1,6)</f>
        <v/>
      </c>
      <c r="V231" s="24">
        <f>$P$114*INDEX($C$96:$AL$96,1,7)</f>
        <v/>
      </c>
      <c r="W231" s="24">
        <f>$P$114*INDEX($C$96:$AL$96,1,8)</f>
        <v/>
      </c>
      <c r="X231" s="24">
        <f>$P$114*INDEX($C$96:$AL$96,1,9)</f>
        <v/>
      </c>
      <c r="Y231" s="24">
        <f>$P$114*INDEX($C$96:$AL$96,1,10)</f>
        <v/>
      </c>
      <c r="Z231" s="24">
        <f>$P$114*INDEX($C$96:$AL$96,1,11)</f>
        <v/>
      </c>
      <c r="AA231" s="24">
        <f>$P$114*INDEX($C$96:$AL$96,1,12)</f>
        <v/>
      </c>
      <c r="AB231" s="24">
        <f>$P$114*INDEX($C$96:$AL$96,1,13)</f>
        <v/>
      </c>
      <c r="AC231" s="24">
        <f>$P$114*INDEX($C$96:$AL$96,1,14)</f>
        <v/>
      </c>
      <c r="AD231" s="24">
        <f>$P$114*INDEX($C$96:$AL$96,1,15)</f>
        <v/>
      </c>
      <c r="AE231" s="24">
        <f>$P$114*INDEX($C$96:$AL$96,1,16)</f>
        <v/>
      </c>
      <c r="AF231" s="24">
        <f>$P$114*INDEX($C$96:$AL$96,1,17)</f>
        <v/>
      </c>
    </row>
    <row r="232">
      <c r="A232" s="4" t="inlineStr">
        <is>
          <t>Coorte del mese 15</t>
        </is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>
        <f>$Q$114*INDEX($C$96:$AL$96,1,1)</f>
        <v/>
      </c>
      <c r="R232" s="24">
        <f>$Q$114*INDEX($C$96:$AL$96,1,2)</f>
        <v/>
      </c>
      <c r="S232" s="24">
        <f>$Q$114*INDEX($C$96:$AL$96,1,3)</f>
        <v/>
      </c>
      <c r="T232" s="24">
        <f>$Q$114*INDEX($C$96:$AL$96,1,4)</f>
        <v/>
      </c>
      <c r="U232" s="24">
        <f>$Q$114*INDEX($C$96:$AL$96,1,5)</f>
        <v/>
      </c>
      <c r="V232" s="24">
        <f>$Q$114*INDEX($C$96:$AL$96,1,6)</f>
        <v/>
      </c>
      <c r="W232" s="24">
        <f>$Q$114*INDEX($C$96:$AL$96,1,7)</f>
        <v/>
      </c>
      <c r="X232" s="24">
        <f>$Q$114*INDEX($C$96:$AL$96,1,8)</f>
        <v/>
      </c>
      <c r="Y232" s="24">
        <f>$Q$114*INDEX($C$96:$AL$96,1,9)</f>
        <v/>
      </c>
      <c r="Z232" s="24">
        <f>$Q$114*INDEX($C$96:$AL$96,1,10)</f>
        <v/>
      </c>
      <c r="AA232" s="24">
        <f>$Q$114*INDEX($C$96:$AL$96,1,11)</f>
        <v/>
      </c>
      <c r="AB232" s="24">
        <f>$Q$114*INDEX($C$96:$AL$96,1,12)</f>
        <v/>
      </c>
      <c r="AC232" s="24">
        <f>$Q$114*INDEX($C$96:$AL$96,1,13)</f>
        <v/>
      </c>
      <c r="AD232" s="24">
        <f>$Q$114*INDEX($C$96:$AL$96,1,14)</f>
        <v/>
      </c>
      <c r="AE232" s="24">
        <f>$Q$114*INDEX($C$96:$AL$96,1,15)</f>
        <v/>
      </c>
      <c r="AF232" s="24">
        <f>$Q$114*INDEX($C$96:$AL$96,1,16)</f>
        <v/>
      </c>
    </row>
    <row r="233">
      <c r="A233" s="4" t="inlineStr">
        <is>
          <t>Coorte del mese 16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>
        <f>$R$114*INDEX($C$96:$AL$96,1,1)</f>
        <v/>
      </c>
      <c r="S233" s="24">
        <f>$R$114*INDEX($C$96:$AL$96,1,2)</f>
        <v/>
      </c>
      <c r="T233" s="24">
        <f>$R$114*INDEX($C$96:$AL$96,1,3)</f>
        <v/>
      </c>
      <c r="U233" s="24">
        <f>$R$114*INDEX($C$96:$AL$96,1,4)</f>
        <v/>
      </c>
      <c r="V233" s="24">
        <f>$R$114*INDEX($C$96:$AL$96,1,5)</f>
        <v/>
      </c>
      <c r="W233" s="24">
        <f>$R$114*INDEX($C$96:$AL$96,1,6)</f>
        <v/>
      </c>
      <c r="X233" s="24">
        <f>$R$114*INDEX($C$96:$AL$96,1,7)</f>
        <v/>
      </c>
      <c r="Y233" s="24">
        <f>$R$114*INDEX($C$96:$AL$96,1,8)</f>
        <v/>
      </c>
      <c r="Z233" s="24">
        <f>$R$114*INDEX($C$96:$AL$96,1,9)</f>
        <v/>
      </c>
      <c r="AA233" s="24">
        <f>$R$114*INDEX($C$96:$AL$96,1,10)</f>
        <v/>
      </c>
      <c r="AB233" s="24">
        <f>$R$114*INDEX($C$96:$AL$96,1,11)</f>
        <v/>
      </c>
      <c r="AC233" s="24">
        <f>$R$114*INDEX($C$96:$AL$96,1,12)</f>
        <v/>
      </c>
      <c r="AD233" s="24">
        <f>$R$114*INDEX($C$96:$AL$96,1,13)</f>
        <v/>
      </c>
      <c r="AE233" s="24">
        <f>$R$114*INDEX($C$96:$AL$96,1,14)</f>
        <v/>
      </c>
      <c r="AF233" s="24">
        <f>$R$114*INDEX($C$96:$AL$96,1,15)</f>
        <v/>
      </c>
    </row>
    <row r="234">
      <c r="A234" s="4" t="inlineStr">
        <is>
          <t>Coorte del mese 17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>
        <f>$S$114*INDEX($C$96:$AL$96,1,1)</f>
        <v/>
      </c>
      <c r="T234" s="24">
        <f>$S$114*INDEX($C$96:$AL$96,1,2)</f>
        <v/>
      </c>
      <c r="U234" s="24">
        <f>$S$114*INDEX($C$96:$AL$96,1,3)</f>
        <v/>
      </c>
      <c r="V234" s="24">
        <f>$S$114*INDEX($C$96:$AL$96,1,4)</f>
        <v/>
      </c>
      <c r="W234" s="24">
        <f>$S$114*INDEX($C$96:$AL$96,1,5)</f>
        <v/>
      </c>
      <c r="X234" s="24">
        <f>$S$114*INDEX($C$96:$AL$96,1,6)</f>
        <v/>
      </c>
      <c r="Y234" s="24">
        <f>$S$114*INDEX($C$96:$AL$96,1,7)</f>
        <v/>
      </c>
      <c r="Z234" s="24">
        <f>$S$114*INDEX($C$96:$AL$96,1,8)</f>
        <v/>
      </c>
      <c r="AA234" s="24">
        <f>$S$114*INDEX($C$96:$AL$96,1,9)</f>
        <v/>
      </c>
      <c r="AB234" s="24">
        <f>$S$114*INDEX($C$96:$AL$96,1,10)</f>
        <v/>
      </c>
      <c r="AC234" s="24">
        <f>$S$114*INDEX($C$96:$AL$96,1,11)</f>
        <v/>
      </c>
      <c r="AD234" s="24">
        <f>$S$114*INDEX($C$96:$AL$96,1,12)</f>
        <v/>
      </c>
      <c r="AE234" s="24">
        <f>$S$114*INDEX($C$96:$AL$96,1,13)</f>
        <v/>
      </c>
      <c r="AF234" s="24">
        <f>$S$114*INDEX($C$96:$AL$96,1,14)</f>
        <v/>
      </c>
    </row>
    <row r="235">
      <c r="A235" s="4" t="inlineStr">
        <is>
          <t>Coorte del mese 18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>
        <f>$T$114*INDEX($C$96:$AL$96,1,1)</f>
        <v/>
      </c>
      <c r="U235" s="24">
        <f>$T$114*INDEX($C$96:$AL$96,1,2)</f>
        <v/>
      </c>
      <c r="V235" s="24">
        <f>$T$114*INDEX($C$96:$AL$96,1,3)</f>
        <v/>
      </c>
      <c r="W235" s="24">
        <f>$T$114*INDEX($C$96:$AL$96,1,4)</f>
        <v/>
      </c>
      <c r="X235" s="24">
        <f>$T$114*INDEX($C$96:$AL$96,1,5)</f>
        <v/>
      </c>
      <c r="Y235" s="24">
        <f>$T$114*INDEX($C$96:$AL$96,1,6)</f>
        <v/>
      </c>
      <c r="Z235" s="24">
        <f>$T$114*INDEX($C$96:$AL$96,1,7)</f>
        <v/>
      </c>
      <c r="AA235" s="24">
        <f>$T$114*INDEX($C$96:$AL$96,1,8)</f>
        <v/>
      </c>
      <c r="AB235" s="24">
        <f>$T$114*INDEX($C$96:$AL$96,1,9)</f>
        <v/>
      </c>
      <c r="AC235" s="24">
        <f>$T$114*INDEX($C$96:$AL$96,1,10)</f>
        <v/>
      </c>
      <c r="AD235" s="24">
        <f>$T$114*INDEX($C$96:$AL$96,1,11)</f>
        <v/>
      </c>
      <c r="AE235" s="24">
        <f>$T$114*INDEX($C$96:$AL$96,1,12)</f>
        <v/>
      </c>
      <c r="AF235" s="24">
        <f>$T$114*INDEX($C$96:$AL$96,1,13)</f>
        <v/>
      </c>
    </row>
    <row r="236">
      <c r="A236" s="4" t="inlineStr">
        <is>
          <t>Coorte del mese 19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>
        <f>$U$114*INDEX($C$96:$AL$96,1,1)</f>
        <v/>
      </c>
      <c r="V236" s="24">
        <f>$U$114*INDEX($C$96:$AL$96,1,2)</f>
        <v/>
      </c>
      <c r="W236" s="24">
        <f>$U$114*INDEX($C$96:$AL$96,1,3)</f>
        <v/>
      </c>
      <c r="X236" s="24">
        <f>$U$114*INDEX($C$96:$AL$96,1,4)</f>
        <v/>
      </c>
      <c r="Y236" s="24">
        <f>$U$114*INDEX($C$96:$AL$96,1,5)</f>
        <v/>
      </c>
      <c r="Z236" s="24">
        <f>$U$114*INDEX($C$96:$AL$96,1,6)</f>
        <v/>
      </c>
      <c r="AA236" s="24">
        <f>$U$114*INDEX($C$96:$AL$96,1,7)</f>
        <v/>
      </c>
      <c r="AB236" s="24">
        <f>$U$114*INDEX($C$96:$AL$96,1,8)</f>
        <v/>
      </c>
      <c r="AC236" s="24">
        <f>$U$114*INDEX($C$96:$AL$96,1,9)</f>
        <v/>
      </c>
      <c r="AD236" s="24">
        <f>$U$114*INDEX($C$96:$AL$96,1,10)</f>
        <v/>
      </c>
      <c r="AE236" s="24">
        <f>$U$114*INDEX($C$96:$AL$96,1,11)</f>
        <v/>
      </c>
      <c r="AF236" s="24">
        <f>$U$114*INDEX($C$96:$AL$96,1,12)</f>
        <v/>
      </c>
    </row>
    <row r="237">
      <c r="A237" s="4" t="inlineStr">
        <is>
          <t>Coorte del mese 20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>
        <f>$V$114*INDEX($C$96:$AL$96,1,1)</f>
        <v/>
      </c>
      <c r="W237" s="24">
        <f>$V$114*INDEX($C$96:$AL$96,1,2)</f>
        <v/>
      </c>
      <c r="X237" s="24">
        <f>$V$114*INDEX($C$96:$AL$96,1,3)</f>
        <v/>
      </c>
      <c r="Y237" s="24">
        <f>$V$114*INDEX($C$96:$AL$96,1,4)</f>
        <v/>
      </c>
      <c r="Z237" s="24">
        <f>$V$114*INDEX($C$96:$AL$96,1,5)</f>
        <v/>
      </c>
      <c r="AA237" s="24">
        <f>$V$114*INDEX($C$96:$AL$96,1,6)</f>
        <v/>
      </c>
      <c r="AB237" s="24">
        <f>$V$114*INDEX($C$96:$AL$96,1,7)</f>
        <v/>
      </c>
      <c r="AC237" s="24">
        <f>$V$114*INDEX($C$96:$AL$96,1,8)</f>
        <v/>
      </c>
      <c r="AD237" s="24">
        <f>$V$114*INDEX($C$96:$AL$96,1,9)</f>
        <v/>
      </c>
      <c r="AE237" s="24">
        <f>$V$114*INDEX($C$96:$AL$96,1,10)</f>
        <v/>
      </c>
      <c r="AF237" s="24">
        <f>$V$114*INDEX($C$96:$AL$96,1,11)</f>
        <v/>
      </c>
    </row>
    <row r="238">
      <c r="A238" s="4" t="inlineStr">
        <is>
          <t>Coorte del mese 21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>
        <f>$W$114*INDEX($C$96:$AL$96,1,1)</f>
        <v/>
      </c>
      <c r="X238" s="24">
        <f>$W$114*INDEX($C$96:$AL$96,1,2)</f>
        <v/>
      </c>
      <c r="Y238" s="24">
        <f>$W$114*INDEX($C$96:$AL$96,1,3)</f>
        <v/>
      </c>
      <c r="Z238" s="24">
        <f>$W$114*INDEX($C$96:$AL$96,1,4)</f>
        <v/>
      </c>
      <c r="AA238" s="24">
        <f>$W$114*INDEX($C$96:$AL$96,1,5)</f>
        <v/>
      </c>
      <c r="AB238" s="24">
        <f>$W$114*INDEX($C$96:$AL$96,1,6)</f>
        <v/>
      </c>
      <c r="AC238" s="24">
        <f>$W$114*INDEX($C$96:$AL$96,1,7)</f>
        <v/>
      </c>
      <c r="AD238" s="24">
        <f>$W$114*INDEX($C$96:$AL$96,1,8)</f>
        <v/>
      </c>
      <c r="AE238" s="24">
        <f>$W$114*INDEX($C$96:$AL$96,1,9)</f>
        <v/>
      </c>
      <c r="AF238" s="24">
        <f>$W$114*INDEX($C$96:$AL$96,1,10)</f>
        <v/>
      </c>
    </row>
    <row r="239">
      <c r="A239" s="4" t="inlineStr">
        <is>
          <t>Coorte del mese 22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>
        <f>$X$114*INDEX($C$96:$AL$96,1,1)</f>
        <v/>
      </c>
      <c r="Y239" s="24">
        <f>$X$114*INDEX($C$96:$AL$96,1,2)</f>
        <v/>
      </c>
      <c r="Z239" s="24">
        <f>$X$114*INDEX($C$96:$AL$96,1,3)</f>
        <v/>
      </c>
      <c r="AA239" s="24">
        <f>$X$114*INDEX($C$96:$AL$96,1,4)</f>
        <v/>
      </c>
      <c r="AB239" s="24">
        <f>$X$114*INDEX($C$96:$AL$96,1,5)</f>
        <v/>
      </c>
      <c r="AC239" s="24">
        <f>$X$114*INDEX($C$96:$AL$96,1,6)</f>
        <v/>
      </c>
      <c r="AD239" s="24">
        <f>$X$114*INDEX($C$96:$AL$96,1,7)</f>
        <v/>
      </c>
      <c r="AE239" s="24">
        <f>$X$114*INDEX($C$96:$AL$96,1,8)</f>
        <v/>
      </c>
      <c r="AF239" s="24">
        <f>$X$114*INDEX($C$96:$AL$96,1,9)</f>
        <v/>
      </c>
    </row>
    <row r="240">
      <c r="A240" s="4" t="inlineStr">
        <is>
          <t>Coorte del mese 23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>
        <f>$Y$114*INDEX($C$96:$AL$96,1,1)</f>
        <v/>
      </c>
      <c r="Z240" s="24">
        <f>$Y$114*INDEX($C$96:$AL$96,1,2)</f>
        <v/>
      </c>
      <c r="AA240" s="24">
        <f>$Y$114*INDEX($C$96:$AL$96,1,3)</f>
        <v/>
      </c>
      <c r="AB240" s="24">
        <f>$Y$114*INDEX($C$96:$AL$96,1,4)</f>
        <v/>
      </c>
      <c r="AC240" s="24">
        <f>$Y$114*INDEX($C$96:$AL$96,1,5)</f>
        <v/>
      </c>
      <c r="AD240" s="24">
        <f>$Y$114*INDEX($C$96:$AL$96,1,6)</f>
        <v/>
      </c>
      <c r="AE240" s="24">
        <f>$Y$114*INDEX($C$96:$AL$96,1,7)</f>
        <v/>
      </c>
      <c r="AF240" s="24">
        <f>$Y$114*INDEX($C$96:$AL$96,1,8)</f>
        <v/>
      </c>
    </row>
    <row r="241">
      <c r="A241" s="4" t="inlineStr">
        <is>
          <t>Coorte del mese 24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0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0</v>
      </c>
      <c r="Y241" s="24" t="n">
        <v>0</v>
      </c>
      <c r="Z241" s="24">
        <f>$Z$114*INDEX($C$96:$AL$96,1,1)</f>
        <v/>
      </c>
      <c r="AA241" s="24">
        <f>$Z$114*INDEX($C$96:$AL$96,1,2)</f>
        <v/>
      </c>
      <c r="AB241" s="24">
        <f>$Z$114*INDEX($C$96:$AL$96,1,3)</f>
        <v/>
      </c>
      <c r="AC241" s="24">
        <f>$Z$114*INDEX($C$96:$AL$96,1,4)</f>
        <v/>
      </c>
      <c r="AD241" s="24">
        <f>$Z$114*INDEX($C$96:$AL$96,1,5)</f>
        <v/>
      </c>
      <c r="AE241" s="24">
        <f>$Z$114*INDEX($C$96:$AL$96,1,6)</f>
        <v/>
      </c>
      <c r="AF241" s="24">
        <f>$Z$114*INDEX($C$96:$AL$96,1,7)</f>
        <v/>
      </c>
    </row>
    <row r="242">
      <c r="A242" s="4" t="inlineStr">
        <is>
          <t>Coorte del mese 25</t>
        </is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>
        <f>$AA$114*INDEX($C$96:$AL$96,1,1)</f>
        <v/>
      </c>
      <c r="AB242" s="24">
        <f>$AA$114*INDEX($C$96:$AL$96,1,2)</f>
        <v/>
      </c>
      <c r="AC242" s="24">
        <f>$AA$114*INDEX($C$96:$AL$96,1,3)</f>
        <v/>
      </c>
      <c r="AD242" s="24">
        <f>$AA$114*INDEX($C$96:$AL$96,1,4)</f>
        <v/>
      </c>
      <c r="AE242" s="24">
        <f>$AA$114*INDEX($C$96:$AL$96,1,5)</f>
        <v/>
      </c>
      <c r="AF242" s="24">
        <f>$AA$114*INDEX($C$96:$AL$96,1,6)</f>
        <v/>
      </c>
    </row>
    <row r="243">
      <c r="A243" s="4" t="inlineStr">
        <is>
          <t>Coorte del mese 26</t>
        </is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>
        <f>$AB$114*INDEX($C$96:$AL$96,1,1)</f>
        <v/>
      </c>
      <c r="AC243" s="24">
        <f>$AB$114*INDEX($C$96:$AL$96,1,2)</f>
        <v/>
      </c>
      <c r="AD243" s="24">
        <f>$AB$114*INDEX($C$96:$AL$96,1,3)</f>
        <v/>
      </c>
      <c r="AE243" s="24">
        <f>$AB$114*INDEX($C$96:$AL$96,1,4)</f>
        <v/>
      </c>
      <c r="AF243" s="24">
        <f>$AB$114*INDEX($C$96:$AL$96,1,5)</f>
        <v/>
      </c>
    </row>
    <row r="244">
      <c r="A244" s="4" t="inlineStr">
        <is>
          <t>Coorte del mese 27</t>
        </is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>
        <f>$AC$114*INDEX($C$96:$AL$96,1,1)</f>
        <v/>
      </c>
      <c r="AD244" s="24">
        <f>$AC$114*INDEX($C$96:$AL$96,1,2)</f>
        <v/>
      </c>
      <c r="AE244" s="24">
        <f>$AC$114*INDEX($C$96:$AL$96,1,3)</f>
        <v/>
      </c>
      <c r="AF244" s="24">
        <f>$AC$114*INDEX($C$96:$AL$96,1,4)</f>
        <v/>
      </c>
    </row>
    <row r="245">
      <c r="A245" s="4" t="inlineStr">
        <is>
          <t>Coorte del mese 28</t>
        </is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n">
        <v>0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0</v>
      </c>
      <c r="X245" s="24" t="n">
        <v>0</v>
      </c>
      <c r="Y245" s="24" t="n">
        <v>0</v>
      </c>
      <c r="Z245" s="24" t="n">
        <v>0</v>
      </c>
      <c r="AA245" s="24" t="n">
        <v>0</v>
      </c>
      <c r="AB245" s="24" t="n">
        <v>0</v>
      </c>
      <c r="AC245" s="24" t="n">
        <v>0</v>
      </c>
      <c r="AD245" s="24">
        <f>$AD$114*INDEX($C$96:$AL$96,1,1)</f>
        <v/>
      </c>
      <c r="AE245" s="24">
        <f>$AD$114*INDEX($C$96:$AL$96,1,2)</f>
        <v/>
      </c>
      <c r="AF245" s="24">
        <f>$AD$114*INDEX($C$96:$AL$96,1,3)</f>
        <v/>
      </c>
    </row>
    <row r="246">
      <c r="A246" s="4" t="inlineStr">
        <is>
          <t>Coorte del mese 29</t>
        </is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4" t="n">
        <v>0</v>
      </c>
      <c r="AD246" s="24" t="n">
        <v>0</v>
      </c>
      <c r="AE246" s="24">
        <f>$AE$114*INDEX($C$96:$AL$96,1,1)</f>
        <v/>
      </c>
      <c r="AF246" s="24">
        <f>$AE$114*INDEX($C$96:$AL$96,1,2)</f>
        <v/>
      </c>
    </row>
    <row r="247">
      <c r="A247" s="4" t="inlineStr">
        <is>
          <t>Coorte del mese 30</t>
        </is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>
        <f>$AF$114*INDEX($C$96:$AL$96,1,1)</f>
        <v/>
      </c>
    </row>
    <row r="248">
      <c r="A248" s="3" t="inlineStr">
        <is>
          <t>Totale abbonamento: ordini</t>
        </is>
      </c>
      <c r="C248" s="25">
        <f>SUM(C218:C247)</f>
        <v/>
      </c>
      <c r="D248" s="25">
        <f>SUM(D218:D247)</f>
        <v/>
      </c>
      <c r="E248" s="25">
        <f>SUM(E218:E247)</f>
        <v/>
      </c>
      <c r="F248" s="25">
        <f>SUM(F218:F247)</f>
        <v/>
      </c>
      <c r="G248" s="25">
        <f>SUM(G218:G247)</f>
        <v/>
      </c>
      <c r="H248" s="25">
        <f>SUM(H218:H247)</f>
        <v/>
      </c>
      <c r="I248" s="25">
        <f>SUM(I218:I247)</f>
        <v/>
      </c>
      <c r="J248" s="25">
        <f>SUM(J218:J247)</f>
        <v/>
      </c>
      <c r="K248" s="25">
        <f>SUM(K218:K247)</f>
        <v/>
      </c>
      <c r="L248" s="25">
        <f>SUM(L218:L247)</f>
        <v/>
      </c>
      <c r="M248" s="25">
        <f>SUM(M218:M247)</f>
        <v/>
      </c>
      <c r="N248" s="25">
        <f>SUM(N218:N247)</f>
        <v/>
      </c>
      <c r="O248" s="25">
        <f>SUM(O218:O247)</f>
        <v/>
      </c>
      <c r="P248" s="25">
        <f>SUM(P218:P247)</f>
        <v/>
      </c>
      <c r="Q248" s="25">
        <f>SUM(Q218:Q247)</f>
        <v/>
      </c>
      <c r="R248" s="25">
        <f>SUM(R218:R247)</f>
        <v/>
      </c>
      <c r="S248" s="25">
        <f>SUM(S218:S247)</f>
        <v/>
      </c>
      <c r="T248" s="25">
        <f>SUM(T218:T247)</f>
        <v/>
      </c>
      <c r="U248" s="25">
        <f>SUM(U218:U247)</f>
        <v/>
      </c>
      <c r="V248" s="25">
        <f>SUM(V218:V247)</f>
        <v/>
      </c>
      <c r="W248" s="25">
        <f>SUM(W218:W247)</f>
        <v/>
      </c>
      <c r="X248" s="25">
        <f>SUM(X218:X247)</f>
        <v/>
      </c>
      <c r="Y248" s="25">
        <f>SUM(Y218:Y247)</f>
        <v/>
      </c>
      <c r="Z248" s="25">
        <f>SUM(Z218:Z247)</f>
        <v/>
      </c>
      <c r="AA248" s="25">
        <f>SUM(AA218:AA247)</f>
        <v/>
      </c>
      <c r="AB248" s="25">
        <f>SUM(AB218:AB247)</f>
        <v/>
      </c>
      <c r="AC248" s="25">
        <f>SUM(AC218:AC247)</f>
        <v/>
      </c>
      <c r="AD248" s="25">
        <f>SUM(AD218:AD247)</f>
        <v/>
      </c>
      <c r="AE248" s="25">
        <f>SUM(AE218:AE247)</f>
        <v/>
      </c>
      <c r="AF248" s="25">
        <f>SUM(AF218:AF247)</f>
        <v/>
      </c>
    </row>
    <row r="250">
      <c r="A250" s="10" t="inlineStr">
        <is>
          <t>Singolo: ordini per coorte (righe = mese di acquisizione, colonne = mese di calendario)</t>
        </is>
      </c>
    </row>
    <row r="251">
      <c r="A251" s="4" t="inlineStr">
        <is>
          <t>Coorte del mese 1</t>
        </is>
      </c>
      <c r="C251" s="24">
        <f>$C$115*INDEX($C$97:$AL$97,1,1)</f>
        <v/>
      </c>
      <c r="D251" s="24">
        <f>$C$115*INDEX($C$97:$AL$97,1,2)</f>
        <v/>
      </c>
      <c r="E251" s="24">
        <f>$C$115*INDEX($C$97:$AL$97,1,3)</f>
        <v/>
      </c>
      <c r="F251" s="24">
        <f>$C$115*INDEX($C$97:$AL$97,1,4)</f>
        <v/>
      </c>
      <c r="G251" s="24">
        <f>$C$115*INDEX($C$97:$AL$97,1,5)</f>
        <v/>
      </c>
      <c r="H251" s="24">
        <f>$C$115*INDEX($C$97:$AL$97,1,6)</f>
        <v/>
      </c>
      <c r="I251" s="24">
        <f>$C$115*INDEX($C$97:$AL$97,1,7)</f>
        <v/>
      </c>
      <c r="J251" s="24">
        <f>$C$115*INDEX($C$97:$AL$97,1,8)</f>
        <v/>
      </c>
      <c r="K251" s="24">
        <f>$C$115*INDEX($C$97:$AL$97,1,9)</f>
        <v/>
      </c>
      <c r="L251" s="24">
        <f>$C$115*INDEX($C$97:$AL$97,1,10)</f>
        <v/>
      </c>
      <c r="M251" s="24">
        <f>$C$115*INDEX($C$97:$AL$97,1,11)</f>
        <v/>
      </c>
      <c r="N251" s="24">
        <f>$C$115*INDEX($C$97:$AL$97,1,12)</f>
        <v/>
      </c>
      <c r="O251" s="24">
        <f>$C$115*INDEX($C$97:$AL$97,1,13)</f>
        <v/>
      </c>
      <c r="P251" s="24">
        <f>$C$115*INDEX($C$97:$AL$97,1,14)</f>
        <v/>
      </c>
      <c r="Q251" s="24">
        <f>$C$115*INDEX($C$97:$AL$97,1,15)</f>
        <v/>
      </c>
      <c r="R251" s="24">
        <f>$C$115*INDEX($C$97:$AL$97,1,16)</f>
        <v/>
      </c>
      <c r="S251" s="24">
        <f>$C$115*INDEX($C$97:$AL$97,1,17)</f>
        <v/>
      </c>
      <c r="T251" s="24">
        <f>$C$115*INDEX($C$97:$AL$97,1,18)</f>
        <v/>
      </c>
      <c r="U251" s="24">
        <f>$C$115*INDEX($C$97:$AL$97,1,19)</f>
        <v/>
      </c>
      <c r="V251" s="24">
        <f>$C$115*INDEX($C$97:$AL$97,1,20)</f>
        <v/>
      </c>
      <c r="W251" s="24">
        <f>$C$115*INDEX($C$97:$AL$97,1,21)</f>
        <v/>
      </c>
      <c r="X251" s="24">
        <f>$C$115*INDEX($C$97:$AL$97,1,22)</f>
        <v/>
      </c>
      <c r="Y251" s="24">
        <f>$C$115*INDEX($C$97:$AL$97,1,23)</f>
        <v/>
      </c>
      <c r="Z251" s="24">
        <f>$C$115*INDEX($C$97:$AL$97,1,24)</f>
        <v/>
      </c>
      <c r="AA251" s="24">
        <f>$C$115*INDEX($C$97:$AL$97,1,25)</f>
        <v/>
      </c>
      <c r="AB251" s="24">
        <f>$C$115*INDEX($C$97:$AL$97,1,26)</f>
        <v/>
      </c>
      <c r="AC251" s="24">
        <f>$C$115*INDEX($C$97:$AL$97,1,27)</f>
        <v/>
      </c>
      <c r="AD251" s="24">
        <f>$C$115*INDEX($C$97:$AL$97,1,28)</f>
        <v/>
      </c>
      <c r="AE251" s="24">
        <f>$C$115*INDEX($C$97:$AL$97,1,29)</f>
        <v/>
      </c>
      <c r="AF251" s="24">
        <f>$C$115*INDEX($C$97:$AL$97,1,30)</f>
        <v/>
      </c>
    </row>
    <row r="252">
      <c r="A252" s="4" t="inlineStr">
        <is>
          <t>Coorte del mese 2</t>
        </is>
      </c>
      <c r="C252" s="24" t="n">
        <v>0</v>
      </c>
      <c r="D252" s="24">
        <f>$D$115*INDEX($C$97:$AL$97,1,1)</f>
        <v/>
      </c>
      <c r="E252" s="24">
        <f>$D$115*INDEX($C$97:$AL$97,1,2)</f>
        <v/>
      </c>
      <c r="F252" s="24">
        <f>$D$115*INDEX($C$97:$AL$97,1,3)</f>
        <v/>
      </c>
      <c r="G252" s="24">
        <f>$D$115*INDEX($C$97:$AL$97,1,4)</f>
        <v/>
      </c>
      <c r="H252" s="24">
        <f>$D$115*INDEX($C$97:$AL$97,1,5)</f>
        <v/>
      </c>
      <c r="I252" s="24">
        <f>$D$115*INDEX($C$97:$AL$97,1,6)</f>
        <v/>
      </c>
      <c r="J252" s="24">
        <f>$D$115*INDEX($C$97:$AL$97,1,7)</f>
        <v/>
      </c>
      <c r="K252" s="24">
        <f>$D$115*INDEX($C$97:$AL$97,1,8)</f>
        <v/>
      </c>
      <c r="L252" s="24">
        <f>$D$115*INDEX($C$97:$AL$97,1,9)</f>
        <v/>
      </c>
      <c r="M252" s="24">
        <f>$D$115*INDEX($C$97:$AL$97,1,10)</f>
        <v/>
      </c>
      <c r="N252" s="24">
        <f>$D$115*INDEX($C$97:$AL$97,1,11)</f>
        <v/>
      </c>
      <c r="O252" s="24">
        <f>$D$115*INDEX($C$97:$AL$97,1,12)</f>
        <v/>
      </c>
      <c r="P252" s="24">
        <f>$D$115*INDEX($C$97:$AL$97,1,13)</f>
        <v/>
      </c>
      <c r="Q252" s="24">
        <f>$D$115*INDEX($C$97:$AL$97,1,14)</f>
        <v/>
      </c>
      <c r="R252" s="24">
        <f>$D$115*INDEX($C$97:$AL$97,1,15)</f>
        <v/>
      </c>
      <c r="S252" s="24">
        <f>$D$115*INDEX($C$97:$AL$97,1,16)</f>
        <v/>
      </c>
      <c r="T252" s="24">
        <f>$D$115*INDEX($C$97:$AL$97,1,17)</f>
        <v/>
      </c>
      <c r="U252" s="24">
        <f>$D$115*INDEX($C$97:$AL$97,1,18)</f>
        <v/>
      </c>
      <c r="V252" s="24">
        <f>$D$115*INDEX($C$97:$AL$97,1,19)</f>
        <v/>
      </c>
      <c r="W252" s="24">
        <f>$D$115*INDEX($C$97:$AL$97,1,20)</f>
        <v/>
      </c>
      <c r="X252" s="24">
        <f>$D$115*INDEX($C$97:$AL$97,1,21)</f>
        <v/>
      </c>
      <c r="Y252" s="24">
        <f>$D$115*INDEX($C$97:$AL$97,1,22)</f>
        <v/>
      </c>
      <c r="Z252" s="24">
        <f>$D$115*INDEX($C$97:$AL$97,1,23)</f>
        <v/>
      </c>
      <c r="AA252" s="24">
        <f>$D$115*INDEX($C$97:$AL$97,1,24)</f>
        <v/>
      </c>
      <c r="AB252" s="24">
        <f>$D$115*INDEX($C$97:$AL$97,1,25)</f>
        <v/>
      </c>
      <c r="AC252" s="24">
        <f>$D$115*INDEX($C$97:$AL$97,1,26)</f>
        <v/>
      </c>
      <c r="AD252" s="24">
        <f>$D$115*INDEX($C$97:$AL$97,1,27)</f>
        <v/>
      </c>
      <c r="AE252" s="24">
        <f>$D$115*INDEX($C$97:$AL$97,1,28)</f>
        <v/>
      </c>
      <c r="AF252" s="24">
        <f>$D$115*INDEX($C$97:$AL$97,1,29)</f>
        <v/>
      </c>
    </row>
    <row r="253">
      <c r="A253" s="4" t="inlineStr">
        <is>
          <t>Coorte del mese 3</t>
        </is>
      </c>
      <c r="C253" s="24" t="n">
        <v>0</v>
      </c>
      <c r="D253" s="24" t="n">
        <v>0</v>
      </c>
      <c r="E253" s="24">
        <f>$E$115*INDEX($C$97:$AL$97,1,1)</f>
        <v/>
      </c>
      <c r="F253" s="24">
        <f>$E$115*INDEX($C$97:$AL$97,1,2)</f>
        <v/>
      </c>
      <c r="G253" s="24">
        <f>$E$115*INDEX($C$97:$AL$97,1,3)</f>
        <v/>
      </c>
      <c r="H253" s="24">
        <f>$E$115*INDEX($C$97:$AL$97,1,4)</f>
        <v/>
      </c>
      <c r="I253" s="24">
        <f>$E$115*INDEX($C$97:$AL$97,1,5)</f>
        <v/>
      </c>
      <c r="J253" s="24">
        <f>$E$115*INDEX($C$97:$AL$97,1,6)</f>
        <v/>
      </c>
      <c r="K253" s="24">
        <f>$E$115*INDEX($C$97:$AL$97,1,7)</f>
        <v/>
      </c>
      <c r="L253" s="24">
        <f>$E$115*INDEX($C$97:$AL$97,1,8)</f>
        <v/>
      </c>
      <c r="M253" s="24">
        <f>$E$115*INDEX($C$97:$AL$97,1,9)</f>
        <v/>
      </c>
      <c r="N253" s="24">
        <f>$E$115*INDEX($C$97:$AL$97,1,10)</f>
        <v/>
      </c>
      <c r="O253" s="24">
        <f>$E$115*INDEX($C$97:$AL$97,1,11)</f>
        <v/>
      </c>
      <c r="P253" s="24">
        <f>$E$115*INDEX($C$97:$AL$97,1,12)</f>
        <v/>
      </c>
      <c r="Q253" s="24">
        <f>$E$115*INDEX($C$97:$AL$97,1,13)</f>
        <v/>
      </c>
      <c r="R253" s="24">
        <f>$E$115*INDEX($C$97:$AL$97,1,14)</f>
        <v/>
      </c>
      <c r="S253" s="24">
        <f>$E$115*INDEX($C$97:$AL$97,1,15)</f>
        <v/>
      </c>
      <c r="T253" s="24">
        <f>$E$115*INDEX($C$97:$AL$97,1,16)</f>
        <v/>
      </c>
      <c r="U253" s="24">
        <f>$E$115*INDEX($C$97:$AL$97,1,17)</f>
        <v/>
      </c>
      <c r="V253" s="24">
        <f>$E$115*INDEX($C$97:$AL$97,1,18)</f>
        <v/>
      </c>
      <c r="W253" s="24">
        <f>$E$115*INDEX($C$97:$AL$97,1,19)</f>
        <v/>
      </c>
      <c r="X253" s="24">
        <f>$E$115*INDEX($C$97:$AL$97,1,20)</f>
        <v/>
      </c>
      <c r="Y253" s="24">
        <f>$E$115*INDEX($C$97:$AL$97,1,21)</f>
        <v/>
      </c>
      <c r="Z253" s="24">
        <f>$E$115*INDEX($C$97:$AL$97,1,22)</f>
        <v/>
      </c>
      <c r="AA253" s="24">
        <f>$E$115*INDEX($C$97:$AL$97,1,23)</f>
        <v/>
      </c>
      <c r="AB253" s="24">
        <f>$E$115*INDEX($C$97:$AL$97,1,24)</f>
        <v/>
      </c>
      <c r="AC253" s="24">
        <f>$E$115*INDEX($C$97:$AL$97,1,25)</f>
        <v/>
      </c>
      <c r="AD253" s="24">
        <f>$E$115*INDEX($C$97:$AL$97,1,26)</f>
        <v/>
      </c>
      <c r="AE253" s="24">
        <f>$E$115*INDEX($C$97:$AL$97,1,27)</f>
        <v/>
      </c>
      <c r="AF253" s="24">
        <f>$E$115*INDEX($C$97:$AL$97,1,28)</f>
        <v/>
      </c>
    </row>
    <row r="254">
      <c r="A254" s="4" t="inlineStr">
        <is>
          <t>Coorte del mese 4</t>
        </is>
      </c>
      <c r="C254" s="24" t="n">
        <v>0</v>
      </c>
      <c r="D254" s="24" t="n">
        <v>0</v>
      </c>
      <c r="E254" s="24" t="n">
        <v>0</v>
      </c>
      <c r="F254" s="24">
        <f>$F$115*INDEX($C$97:$AL$97,1,1)</f>
        <v/>
      </c>
      <c r="G254" s="24">
        <f>$F$115*INDEX($C$97:$AL$97,1,2)</f>
        <v/>
      </c>
      <c r="H254" s="24">
        <f>$F$115*INDEX($C$97:$AL$97,1,3)</f>
        <v/>
      </c>
      <c r="I254" s="24">
        <f>$F$115*INDEX($C$97:$AL$97,1,4)</f>
        <v/>
      </c>
      <c r="J254" s="24">
        <f>$F$115*INDEX($C$97:$AL$97,1,5)</f>
        <v/>
      </c>
      <c r="K254" s="24">
        <f>$F$115*INDEX($C$97:$AL$97,1,6)</f>
        <v/>
      </c>
      <c r="L254" s="24">
        <f>$F$115*INDEX($C$97:$AL$97,1,7)</f>
        <v/>
      </c>
      <c r="M254" s="24">
        <f>$F$115*INDEX($C$97:$AL$97,1,8)</f>
        <v/>
      </c>
      <c r="N254" s="24">
        <f>$F$115*INDEX($C$97:$AL$97,1,9)</f>
        <v/>
      </c>
      <c r="O254" s="24">
        <f>$F$115*INDEX($C$97:$AL$97,1,10)</f>
        <v/>
      </c>
      <c r="P254" s="24">
        <f>$F$115*INDEX($C$97:$AL$97,1,11)</f>
        <v/>
      </c>
      <c r="Q254" s="24">
        <f>$F$115*INDEX($C$97:$AL$97,1,12)</f>
        <v/>
      </c>
      <c r="R254" s="24">
        <f>$F$115*INDEX($C$97:$AL$97,1,13)</f>
        <v/>
      </c>
      <c r="S254" s="24">
        <f>$F$115*INDEX($C$97:$AL$97,1,14)</f>
        <v/>
      </c>
      <c r="T254" s="24">
        <f>$F$115*INDEX($C$97:$AL$97,1,15)</f>
        <v/>
      </c>
      <c r="U254" s="24">
        <f>$F$115*INDEX($C$97:$AL$97,1,16)</f>
        <v/>
      </c>
      <c r="V254" s="24">
        <f>$F$115*INDEX($C$97:$AL$97,1,17)</f>
        <v/>
      </c>
      <c r="W254" s="24">
        <f>$F$115*INDEX($C$97:$AL$97,1,18)</f>
        <v/>
      </c>
      <c r="X254" s="24">
        <f>$F$115*INDEX($C$97:$AL$97,1,19)</f>
        <v/>
      </c>
      <c r="Y254" s="24">
        <f>$F$115*INDEX($C$97:$AL$97,1,20)</f>
        <v/>
      </c>
      <c r="Z254" s="24">
        <f>$F$115*INDEX($C$97:$AL$97,1,21)</f>
        <v/>
      </c>
      <c r="AA254" s="24">
        <f>$F$115*INDEX($C$97:$AL$97,1,22)</f>
        <v/>
      </c>
      <c r="AB254" s="24">
        <f>$F$115*INDEX($C$97:$AL$97,1,23)</f>
        <v/>
      </c>
      <c r="AC254" s="24">
        <f>$F$115*INDEX($C$97:$AL$97,1,24)</f>
        <v/>
      </c>
      <c r="AD254" s="24">
        <f>$F$115*INDEX($C$97:$AL$97,1,25)</f>
        <v/>
      </c>
      <c r="AE254" s="24">
        <f>$F$115*INDEX($C$97:$AL$97,1,26)</f>
        <v/>
      </c>
      <c r="AF254" s="24">
        <f>$F$115*INDEX($C$97:$AL$97,1,27)</f>
        <v/>
      </c>
    </row>
    <row r="255">
      <c r="A255" s="4" t="inlineStr">
        <is>
          <t>Coorte del mese 5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>
        <f>$G$115*INDEX($C$97:$AL$97,1,1)</f>
        <v/>
      </c>
      <c r="H255" s="24">
        <f>$G$115*INDEX($C$97:$AL$97,1,2)</f>
        <v/>
      </c>
      <c r="I255" s="24">
        <f>$G$115*INDEX($C$97:$AL$97,1,3)</f>
        <v/>
      </c>
      <c r="J255" s="24">
        <f>$G$115*INDEX($C$97:$AL$97,1,4)</f>
        <v/>
      </c>
      <c r="K255" s="24">
        <f>$G$115*INDEX($C$97:$AL$97,1,5)</f>
        <v/>
      </c>
      <c r="L255" s="24">
        <f>$G$115*INDEX($C$97:$AL$97,1,6)</f>
        <v/>
      </c>
      <c r="M255" s="24">
        <f>$G$115*INDEX($C$97:$AL$97,1,7)</f>
        <v/>
      </c>
      <c r="N255" s="24">
        <f>$G$115*INDEX($C$97:$AL$97,1,8)</f>
        <v/>
      </c>
      <c r="O255" s="24">
        <f>$G$115*INDEX($C$97:$AL$97,1,9)</f>
        <v/>
      </c>
      <c r="P255" s="24">
        <f>$G$115*INDEX($C$97:$AL$97,1,10)</f>
        <v/>
      </c>
      <c r="Q255" s="24">
        <f>$G$115*INDEX($C$97:$AL$97,1,11)</f>
        <v/>
      </c>
      <c r="R255" s="24">
        <f>$G$115*INDEX($C$97:$AL$97,1,12)</f>
        <v/>
      </c>
      <c r="S255" s="24">
        <f>$G$115*INDEX($C$97:$AL$97,1,13)</f>
        <v/>
      </c>
      <c r="T255" s="24">
        <f>$G$115*INDEX($C$97:$AL$97,1,14)</f>
        <v/>
      </c>
      <c r="U255" s="24">
        <f>$G$115*INDEX($C$97:$AL$97,1,15)</f>
        <v/>
      </c>
      <c r="V255" s="24">
        <f>$G$115*INDEX($C$97:$AL$97,1,16)</f>
        <v/>
      </c>
      <c r="W255" s="24">
        <f>$G$115*INDEX($C$97:$AL$97,1,17)</f>
        <v/>
      </c>
      <c r="X255" s="24">
        <f>$G$115*INDEX($C$97:$AL$97,1,18)</f>
        <v/>
      </c>
      <c r="Y255" s="24">
        <f>$G$115*INDEX($C$97:$AL$97,1,19)</f>
        <v/>
      </c>
      <c r="Z255" s="24">
        <f>$G$115*INDEX($C$97:$AL$97,1,20)</f>
        <v/>
      </c>
      <c r="AA255" s="24">
        <f>$G$115*INDEX($C$97:$AL$97,1,21)</f>
        <v/>
      </c>
      <c r="AB255" s="24">
        <f>$G$115*INDEX($C$97:$AL$97,1,22)</f>
        <v/>
      </c>
      <c r="AC255" s="24">
        <f>$G$115*INDEX($C$97:$AL$97,1,23)</f>
        <v/>
      </c>
      <c r="AD255" s="24">
        <f>$G$115*INDEX($C$97:$AL$97,1,24)</f>
        <v/>
      </c>
      <c r="AE255" s="24">
        <f>$G$115*INDEX($C$97:$AL$97,1,25)</f>
        <v/>
      </c>
      <c r="AF255" s="24">
        <f>$G$115*INDEX($C$97:$AL$97,1,26)</f>
        <v/>
      </c>
    </row>
    <row r="256">
      <c r="A256" s="4" t="inlineStr">
        <is>
          <t>Coorte del mese 6</t>
        </is>
      </c>
      <c r="C256" s="24" t="n">
        <v>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$H$115*INDEX($C$97:$AL$97,1,1)</f>
        <v/>
      </c>
      <c r="I256" s="24">
        <f>$H$115*INDEX($C$97:$AL$97,1,2)</f>
        <v/>
      </c>
      <c r="J256" s="24">
        <f>$H$115*INDEX($C$97:$AL$97,1,3)</f>
        <v/>
      </c>
      <c r="K256" s="24">
        <f>$H$115*INDEX($C$97:$AL$97,1,4)</f>
        <v/>
      </c>
      <c r="L256" s="24">
        <f>$H$115*INDEX($C$97:$AL$97,1,5)</f>
        <v/>
      </c>
      <c r="M256" s="24">
        <f>$H$115*INDEX($C$97:$AL$97,1,6)</f>
        <v/>
      </c>
      <c r="N256" s="24">
        <f>$H$115*INDEX($C$97:$AL$97,1,7)</f>
        <v/>
      </c>
      <c r="O256" s="24">
        <f>$H$115*INDEX($C$97:$AL$97,1,8)</f>
        <v/>
      </c>
      <c r="P256" s="24">
        <f>$H$115*INDEX($C$97:$AL$97,1,9)</f>
        <v/>
      </c>
      <c r="Q256" s="24">
        <f>$H$115*INDEX($C$97:$AL$97,1,10)</f>
        <v/>
      </c>
      <c r="R256" s="24">
        <f>$H$115*INDEX($C$97:$AL$97,1,11)</f>
        <v/>
      </c>
      <c r="S256" s="24">
        <f>$H$115*INDEX($C$97:$AL$97,1,12)</f>
        <v/>
      </c>
      <c r="T256" s="24">
        <f>$H$115*INDEX($C$97:$AL$97,1,13)</f>
        <v/>
      </c>
      <c r="U256" s="24">
        <f>$H$115*INDEX($C$97:$AL$97,1,14)</f>
        <v/>
      </c>
      <c r="V256" s="24">
        <f>$H$115*INDEX($C$97:$AL$97,1,15)</f>
        <v/>
      </c>
      <c r="W256" s="24">
        <f>$H$115*INDEX($C$97:$AL$97,1,16)</f>
        <v/>
      </c>
      <c r="X256" s="24">
        <f>$H$115*INDEX($C$97:$AL$97,1,17)</f>
        <v/>
      </c>
      <c r="Y256" s="24">
        <f>$H$115*INDEX($C$97:$AL$97,1,18)</f>
        <v/>
      </c>
      <c r="Z256" s="24">
        <f>$H$115*INDEX($C$97:$AL$97,1,19)</f>
        <v/>
      </c>
      <c r="AA256" s="24">
        <f>$H$115*INDEX($C$97:$AL$97,1,20)</f>
        <v/>
      </c>
      <c r="AB256" s="24">
        <f>$H$115*INDEX($C$97:$AL$97,1,21)</f>
        <v/>
      </c>
      <c r="AC256" s="24">
        <f>$H$115*INDEX($C$97:$AL$97,1,22)</f>
        <v/>
      </c>
      <c r="AD256" s="24">
        <f>$H$115*INDEX($C$97:$AL$97,1,23)</f>
        <v/>
      </c>
      <c r="AE256" s="24">
        <f>$H$115*INDEX($C$97:$AL$97,1,24)</f>
        <v/>
      </c>
      <c r="AF256" s="24">
        <f>$H$115*INDEX($C$97:$AL$97,1,25)</f>
        <v/>
      </c>
    </row>
    <row r="257">
      <c r="A257" s="4" t="inlineStr">
        <is>
          <t>Coorte del mese 7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>
        <f>$I$115*INDEX($C$97:$AL$97,1,1)</f>
        <v/>
      </c>
      <c r="J257" s="24">
        <f>$I$115*INDEX($C$97:$AL$97,1,2)</f>
        <v/>
      </c>
      <c r="K257" s="24">
        <f>$I$115*INDEX($C$97:$AL$97,1,3)</f>
        <v/>
      </c>
      <c r="L257" s="24">
        <f>$I$115*INDEX($C$97:$AL$97,1,4)</f>
        <v/>
      </c>
      <c r="M257" s="24">
        <f>$I$115*INDEX($C$97:$AL$97,1,5)</f>
        <v/>
      </c>
      <c r="N257" s="24">
        <f>$I$115*INDEX($C$97:$AL$97,1,6)</f>
        <v/>
      </c>
      <c r="O257" s="24">
        <f>$I$115*INDEX($C$97:$AL$97,1,7)</f>
        <v/>
      </c>
      <c r="P257" s="24">
        <f>$I$115*INDEX($C$97:$AL$97,1,8)</f>
        <v/>
      </c>
      <c r="Q257" s="24">
        <f>$I$115*INDEX($C$97:$AL$97,1,9)</f>
        <v/>
      </c>
      <c r="R257" s="24">
        <f>$I$115*INDEX($C$97:$AL$97,1,10)</f>
        <v/>
      </c>
      <c r="S257" s="24">
        <f>$I$115*INDEX($C$97:$AL$97,1,11)</f>
        <v/>
      </c>
      <c r="T257" s="24">
        <f>$I$115*INDEX($C$97:$AL$97,1,12)</f>
        <v/>
      </c>
      <c r="U257" s="24">
        <f>$I$115*INDEX($C$97:$AL$97,1,13)</f>
        <v/>
      </c>
      <c r="V257" s="24">
        <f>$I$115*INDEX($C$97:$AL$97,1,14)</f>
        <v/>
      </c>
      <c r="W257" s="24">
        <f>$I$115*INDEX($C$97:$AL$97,1,15)</f>
        <v/>
      </c>
      <c r="X257" s="24">
        <f>$I$115*INDEX($C$97:$AL$97,1,16)</f>
        <v/>
      </c>
      <c r="Y257" s="24">
        <f>$I$115*INDEX($C$97:$AL$97,1,17)</f>
        <v/>
      </c>
      <c r="Z257" s="24">
        <f>$I$115*INDEX($C$97:$AL$97,1,18)</f>
        <v/>
      </c>
      <c r="AA257" s="24">
        <f>$I$115*INDEX($C$97:$AL$97,1,19)</f>
        <v/>
      </c>
      <c r="AB257" s="24">
        <f>$I$115*INDEX($C$97:$AL$97,1,20)</f>
        <v/>
      </c>
      <c r="AC257" s="24">
        <f>$I$115*INDEX($C$97:$AL$97,1,21)</f>
        <v/>
      </c>
      <c r="AD257" s="24">
        <f>$I$115*INDEX($C$97:$AL$97,1,22)</f>
        <v/>
      </c>
      <c r="AE257" s="24">
        <f>$I$115*INDEX($C$97:$AL$97,1,23)</f>
        <v/>
      </c>
      <c r="AF257" s="24">
        <f>$I$115*INDEX($C$97:$AL$97,1,24)</f>
        <v/>
      </c>
    </row>
    <row r="258">
      <c r="A258" s="4" t="inlineStr">
        <is>
          <t>Coorte del mese 8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>
        <f>$J$115*INDEX($C$97:$AL$97,1,1)</f>
        <v/>
      </c>
      <c r="K258" s="24">
        <f>$J$115*INDEX($C$97:$AL$97,1,2)</f>
        <v/>
      </c>
      <c r="L258" s="24">
        <f>$J$115*INDEX($C$97:$AL$97,1,3)</f>
        <v/>
      </c>
      <c r="M258" s="24">
        <f>$J$115*INDEX($C$97:$AL$97,1,4)</f>
        <v/>
      </c>
      <c r="N258" s="24">
        <f>$J$115*INDEX($C$97:$AL$97,1,5)</f>
        <v/>
      </c>
      <c r="O258" s="24">
        <f>$J$115*INDEX($C$97:$AL$97,1,6)</f>
        <v/>
      </c>
      <c r="P258" s="24">
        <f>$J$115*INDEX($C$97:$AL$97,1,7)</f>
        <v/>
      </c>
      <c r="Q258" s="24">
        <f>$J$115*INDEX($C$97:$AL$97,1,8)</f>
        <v/>
      </c>
      <c r="R258" s="24">
        <f>$J$115*INDEX($C$97:$AL$97,1,9)</f>
        <v/>
      </c>
      <c r="S258" s="24">
        <f>$J$115*INDEX($C$97:$AL$97,1,10)</f>
        <v/>
      </c>
      <c r="T258" s="24">
        <f>$J$115*INDEX($C$97:$AL$97,1,11)</f>
        <v/>
      </c>
      <c r="U258" s="24">
        <f>$J$115*INDEX($C$97:$AL$97,1,12)</f>
        <v/>
      </c>
      <c r="V258" s="24">
        <f>$J$115*INDEX($C$97:$AL$97,1,13)</f>
        <v/>
      </c>
      <c r="W258" s="24">
        <f>$J$115*INDEX($C$97:$AL$97,1,14)</f>
        <v/>
      </c>
      <c r="X258" s="24">
        <f>$J$115*INDEX($C$97:$AL$97,1,15)</f>
        <v/>
      </c>
      <c r="Y258" s="24">
        <f>$J$115*INDEX($C$97:$AL$97,1,16)</f>
        <v/>
      </c>
      <c r="Z258" s="24">
        <f>$J$115*INDEX($C$97:$AL$97,1,17)</f>
        <v/>
      </c>
      <c r="AA258" s="24">
        <f>$J$115*INDEX($C$97:$AL$97,1,18)</f>
        <v/>
      </c>
      <c r="AB258" s="24">
        <f>$J$115*INDEX($C$97:$AL$97,1,19)</f>
        <v/>
      </c>
      <c r="AC258" s="24">
        <f>$J$115*INDEX($C$97:$AL$97,1,20)</f>
        <v/>
      </c>
      <c r="AD258" s="24">
        <f>$J$115*INDEX($C$97:$AL$97,1,21)</f>
        <v/>
      </c>
      <c r="AE258" s="24">
        <f>$J$115*INDEX($C$97:$AL$97,1,22)</f>
        <v/>
      </c>
      <c r="AF258" s="24">
        <f>$J$115*INDEX($C$97:$AL$97,1,23)</f>
        <v/>
      </c>
    </row>
    <row r="259">
      <c r="A259" s="4" t="inlineStr">
        <is>
          <t>Coorte del mese 9</t>
        </is>
      </c>
      <c r="C259" s="24" t="n">
        <v>0</v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>
        <f>$K$115*INDEX($C$97:$AL$97,1,1)</f>
        <v/>
      </c>
      <c r="L259" s="24">
        <f>$K$115*INDEX($C$97:$AL$97,1,2)</f>
        <v/>
      </c>
      <c r="M259" s="24">
        <f>$K$115*INDEX($C$97:$AL$97,1,3)</f>
        <v/>
      </c>
      <c r="N259" s="24">
        <f>$K$115*INDEX($C$97:$AL$97,1,4)</f>
        <v/>
      </c>
      <c r="O259" s="24">
        <f>$K$115*INDEX($C$97:$AL$97,1,5)</f>
        <v/>
      </c>
      <c r="P259" s="24">
        <f>$K$115*INDEX($C$97:$AL$97,1,6)</f>
        <v/>
      </c>
      <c r="Q259" s="24">
        <f>$K$115*INDEX($C$97:$AL$97,1,7)</f>
        <v/>
      </c>
      <c r="R259" s="24">
        <f>$K$115*INDEX($C$97:$AL$97,1,8)</f>
        <v/>
      </c>
      <c r="S259" s="24">
        <f>$K$115*INDEX($C$97:$AL$97,1,9)</f>
        <v/>
      </c>
      <c r="T259" s="24">
        <f>$K$115*INDEX($C$97:$AL$97,1,10)</f>
        <v/>
      </c>
      <c r="U259" s="24">
        <f>$K$115*INDEX($C$97:$AL$97,1,11)</f>
        <v/>
      </c>
      <c r="V259" s="24">
        <f>$K$115*INDEX($C$97:$AL$97,1,12)</f>
        <v/>
      </c>
      <c r="W259" s="24">
        <f>$K$115*INDEX($C$97:$AL$97,1,13)</f>
        <v/>
      </c>
      <c r="X259" s="24">
        <f>$K$115*INDEX($C$97:$AL$97,1,14)</f>
        <v/>
      </c>
      <c r="Y259" s="24">
        <f>$K$115*INDEX($C$97:$AL$97,1,15)</f>
        <v/>
      </c>
      <c r="Z259" s="24">
        <f>$K$115*INDEX($C$97:$AL$97,1,16)</f>
        <v/>
      </c>
      <c r="AA259" s="24">
        <f>$K$115*INDEX($C$97:$AL$97,1,17)</f>
        <v/>
      </c>
      <c r="AB259" s="24">
        <f>$K$115*INDEX($C$97:$AL$97,1,18)</f>
        <v/>
      </c>
      <c r="AC259" s="24">
        <f>$K$115*INDEX($C$97:$AL$97,1,19)</f>
        <v/>
      </c>
      <c r="AD259" s="24">
        <f>$K$115*INDEX($C$97:$AL$97,1,20)</f>
        <v/>
      </c>
      <c r="AE259" s="24">
        <f>$K$115*INDEX($C$97:$AL$97,1,21)</f>
        <v/>
      </c>
      <c r="AF259" s="24">
        <f>$K$115*INDEX($C$97:$AL$97,1,22)</f>
        <v/>
      </c>
    </row>
    <row r="260">
      <c r="A260" s="4" t="inlineStr">
        <is>
          <t>Coorte del mese 10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>
        <f>$L$115*INDEX($C$97:$AL$97,1,1)</f>
        <v/>
      </c>
      <c r="M260" s="24">
        <f>$L$115*INDEX($C$97:$AL$97,1,2)</f>
        <v/>
      </c>
      <c r="N260" s="24">
        <f>$L$115*INDEX($C$97:$AL$97,1,3)</f>
        <v/>
      </c>
      <c r="O260" s="24">
        <f>$L$115*INDEX($C$97:$AL$97,1,4)</f>
        <v/>
      </c>
      <c r="P260" s="24">
        <f>$L$115*INDEX($C$97:$AL$97,1,5)</f>
        <v/>
      </c>
      <c r="Q260" s="24">
        <f>$L$115*INDEX($C$97:$AL$97,1,6)</f>
        <v/>
      </c>
      <c r="R260" s="24">
        <f>$L$115*INDEX($C$97:$AL$97,1,7)</f>
        <v/>
      </c>
      <c r="S260" s="24">
        <f>$L$115*INDEX($C$97:$AL$97,1,8)</f>
        <v/>
      </c>
      <c r="T260" s="24">
        <f>$L$115*INDEX($C$97:$AL$97,1,9)</f>
        <v/>
      </c>
      <c r="U260" s="24">
        <f>$L$115*INDEX($C$97:$AL$97,1,10)</f>
        <v/>
      </c>
      <c r="V260" s="24">
        <f>$L$115*INDEX($C$97:$AL$97,1,11)</f>
        <v/>
      </c>
      <c r="W260" s="24">
        <f>$L$115*INDEX($C$97:$AL$97,1,12)</f>
        <v/>
      </c>
      <c r="X260" s="24">
        <f>$L$115*INDEX($C$97:$AL$97,1,13)</f>
        <v/>
      </c>
      <c r="Y260" s="24">
        <f>$L$115*INDEX($C$97:$AL$97,1,14)</f>
        <v/>
      </c>
      <c r="Z260" s="24">
        <f>$L$115*INDEX($C$97:$AL$97,1,15)</f>
        <v/>
      </c>
      <c r="AA260" s="24">
        <f>$L$115*INDEX($C$97:$AL$97,1,16)</f>
        <v/>
      </c>
      <c r="AB260" s="24">
        <f>$L$115*INDEX($C$97:$AL$97,1,17)</f>
        <v/>
      </c>
      <c r="AC260" s="24">
        <f>$L$115*INDEX($C$97:$AL$97,1,18)</f>
        <v/>
      </c>
      <c r="AD260" s="24">
        <f>$L$115*INDEX($C$97:$AL$97,1,19)</f>
        <v/>
      </c>
      <c r="AE260" s="24">
        <f>$L$115*INDEX($C$97:$AL$97,1,20)</f>
        <v/>
      </c>
      <c r="AF260" s="24">
        <f>$L$115*INDEX($C$97:$AL$97,1,21)</f>
        <v/>
      </c>
    </row>
    <row r="261">
      <c r="A261" s="4" t="inlineStr">
        <is>
          <t>Coorte del mese 11</t>
        </is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4">
        <f>$M$115*INDEX($C$97:$AL$97,1,1)</f>
        <v/>
      </c>
      <c r="N261" s="24">
        <f>$M$115*INDEX($C$97:$AL$97,1,2)</f>
        <v/>
      </c>
      <c r="O261" s="24">
        <f>$M$115*INDEX($C$97:$AL$97,1,3)</f>
        <v/>
      </c>
      <c r="P261" s="24">
        <f>$M$115*INDEX($C$97:$AL$97,1,4)</f>
        <v/>
      </c>
      <c r="Q261" s="24">
        <f>$M$115*INDEX($C$97:$AL$97,1,5)</f>
        <v/>
      </c>
      <c r="R261" s="24">
        <f>$M$115*INDEX($C$97:$AL$97,1,6)</f>
        <v/>
      </c>
      <c r="S261" s="24">
        <f>$M$115*INDEX($C$97:$AL$97,1,7)</f>
        <v/>
      </c>
      <c r="T261" s="24">
        <f>$M$115*INDEX($C$97:$AL$97,1,8)</f>
        <v/>
      </c>
      <c r="U261" s="24">
        <f>$M$115*INDEX($C$97:$AL$97,1,9)</f>
        <v/>
      </c>
      <c r="V261" s="24">
        <f>$M$115*INDEX($C$97:$AL$97,1,10)</f>
        <v/>
      </c>
      <c r="W261" s="24">
        <f>$M$115*INDEX($C$97:$AL$97,1,11)</f>
        <v/>
      </c>
      <c r="X261" s="24">
        <f>$M$115*INDEX($C$97:$AL$97,1,12)</f>
        <v/>
      </c>
      <c r="Y261" s="24">
        <f>$M$115*INDEX($C$97:$AL$97,1,13)</f>
        <v/>
      </c>
      <c r="Z261" s="24">
        <f>$M$115*INDEX($C$97:$AL$97,1,14)</f>
        <v/>
      </c>
      <c r="AA261" s="24">
        <f>$M$115*INDEX($C$97:$AL$97,1,15)</f>
        <v/>
      </c>
      <c r="AB261" s="24">
        <f>$M$115*INDEX($C$97:$AL$97,1,16)</f>
        <v/>
      </c>
      <c r="AC261" s="24">
        <f>$M$115*INDEX($C$97:$AL$97,1,17)</f>
        <v/>
      </c>
      <c r="AD261" s="24">
        <f>$M$115*INDEX($C$97:$AL$97,1,18)</f>
        <v/>
      </c>
      <c r="AE261" s="24">
        <f>$M$115*INDEX($C$97:$AL$97,1,19)</f>
        <v/>
      </c>
      <c r="AF261" s="24">
        <f>$M$115*INDEX($C$97:$AL$97,1,20)</f>
        <v/>
      </c>
    </row>
    <row r="262">
      <c r="A262" s="4" t="inlineStr">
        <is>
          <t>Coorte del mese 12</t>
        </is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>
        <f>$N$115*INDEX($C$97:$AL$97,1,1)</f>
        <v/>
      </c>
      <c r="O262" s="24">
        <f>$N$115*INDEX($C$97:$AL$97,1,2)</f>
        <v/>
      </c>
      <c r="P262" s="24">
        <f>$N$115*INDEX($C$97:$AL$97,1,3)</f>
        <v/>
      </c>
      <c r="Q262" s="24">
        <f>$N$115*INDEX($C$97:$AL$97,1,4)</f>
        <v/>
      </c>
      <c r="R262" s="24">
        <f>$N$115*INDEX($C$97:$AL$97,1,5)</f>
        <v/>
      </c>
      <c r="S262" s="24">
        <f>$N$115*INDEX($C$97:$AL$97,1,6)</f>
        <v/>
      </c>
      <c r="T262" s="24">
        <f>$N$115*INDEX($C$97:$AL$97,1,7)</f>
        <v/>
      </c>
      <c r="U262" s="24">
        <f>$N$115*INDEX($C$97:$AL$97,1,8)</f>
        <v/>
      </c>
      <c r="V262" s="24">
        <f>$N$115*INDEX($C$97:$AL$97,1,9)</f>
        <v/>
      </c>
      <c r="W262" s="24">
        <f>$N$115*INDEX($C$97:$AL$97,1,10)</f>
        <v/>
      </c>
      <c r="X262" s="24">
        <f>$N$115*INDEX($C$97:$AL$97,1,11)</f>
        <v/>
      </c>
      <c r="Y262" s="24">
        <f>$N$115*INDEX($C$97:$AL$97,1,12)</f>
        <v/>
      </c>
      <c r="Z262" s="24">
        <f>$N$115*INDEX($C$97:$AL$97,1,13)</f>
        <v/>
      </c>
      <c r="AA262" s="24">
        <f>$N$115*INDEX($C$97:$AL$97,1,14)</f>
        <v/>
      </c>
      <c r="AB262" s="24">
        <f>$N$115*INDEX($C$97:$AL$97,1,15)</f>
        <v/>
      </c>
      <c r="AC262" s="24">
        <f>$N$115*INDEX($C$97:$AL$97,1,16)</f>
        <v/>
      </c>
      <c r="AD262" s="24">
        <f>$N$115*INDEX($C$97:$AL$97,1,17)</f>
        <v/>
      </c>
      <c r="AE262" s="24">
        <f>$N$115*INDEX($C$97:$AL$97,1,18)</f>
        <v/>
      </c>
      <c r="AF262" s="24">
        <f>$N$115*INDEX($C$97:$AL$97,1,19)</f>
        <v/>
      </c>
    </row>
    <row r="263">
      <c r="A263" s="4" t="inlineStr">
        <is>
          <t>Coorte del mese 13</t>
        </is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>
        <f>$O$115*INDEX($C$97:$AL$97,1,1)</f>
        <v/>
      </c>
      <c r="P263" s="24">
        <f>$O$115*INDEX($C$97:$AL$97,1,2)</f>
        <v/>
      </c>
      <c r="Q263" s="24">
        <f>$O$115*INDEX($C$97:$AL$97,1,3)</f>
        <v/>
      </c>
      <c r="R263" s="24">
        <f>$O$115*INDEX($C$97:$AL$97,1,4)</f>
        <v/>
      </c>
      <c r="S263" s="24">
        <f>$O$115*INDEX($C$97:$AL$97,1,5)</f>
        <v/>
      </c>
      <c r="T263" s="24">
        <f>$O$115*INDEX($C$97:$AL$97,1,6)</f>
        <v/>
      </c>
      <c r="U263" s="24">
        <f>$O$115*INDEX($C$97:$AL$97,1,7)</f>
        <v/>
      </c>
      <c r="V263" s="24">
        <f>$O$115*INDEX($C$97:$AL$97,1,8)</f>
        <v/>
      </c>
      <c r="W263" s="24">
        <f>$O$115*INDEX($C$97:$AL$97,1,9)</f>
        <v/>
      </c>
      <c r="X263" s="24">
        <f>$O$115*INDEX($C$97:$AL$97,1,10)</f>
        <v/>
      </c>
      <c r="Y263" s="24">
        <f>$O$115*INDEX($C$97:$AL$97,1,11)</f>
        <v/>
      </c>
      <c r="Z263" s="24">
        <f>$O$115*INDEX($C$97:$AL$97,1,12)</f>
        <v/>
      </c>
      <c r="AA263" s="24">
        <f>$O$115*INDEX($C$97:$AL$97,1,13)</f>
        <v/>
      </c>
      <c r="AB263" s="24">
        <f>$O$115*INDEX($C$97:$AL$97,1,14)</f>
        <v/>
      </c>
      <c r="AC263" s="24">
        <f>$O$115*INDEX($C$97:$AL$97,1,15)</f>
        <v/>
      </c>
      <c r="AD263" s="24">
        <f>$O$115*INDEX($C$97:$AL$97,1,16)</f>
        <v/>
      </c>
      <c r="AE263" s="24">
        <f>$O$115*INDEX($C$97:$AL$97,1,17)</f>
        <v/>
      </c>
      <c r="AF263" s="24">
        <f>$O$115*INDEX($C$97:$AL$97,1,18)</f>
        <v/>
      </c>
    </row>
    <row r="264">
      <c r="A264" s="4" t="inlineStr">
        <is>
          <t>Coorte del mese 14</t>
        </is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>
        <f>$P$115*INDEX($C$97:$AL$97,1,1)</f>
        <v/>
      </c>
      <c r="Q264" s="24">
        <f>$P$115*INDEX($C$97:$AL$97,1,2)</f>
        <v/>
      </c>
      <c r="R264" s="24">
        <f>$P$115*INDEX($C$97:$AL$97,1,3)</f>
        <v/>
      </c>
      <c r="S264" s="24">
        <f>$P$115*INDEX($C$97:$AL$97,1,4)</f>
        <v/>
      </c>
      <c r="T264" s="24">
        <f>$P$115*INDEX($C$97:$AL$97,1,5)</f>
        <v/>
      </c>
      <c r="U264" s="24">
        <f>$P$115*INDEX($C$97:$AL$97,1,6)</f>
        <v/>
      </c>
      <c r="V264" s="24">
        <f>$P$115*INDEX($C$97:$AL$97,1,7)</f>
        <v/>
      </c>
      <c r="W264" s="24">
        <f>$P$115*INDEX($C$97:$AL$97,1,8)</f>
        <v/>
      </c>
      <c r="X264" s="24">
        <f>$P$115*INDEX($C$97:$AL$97,1,9)</f>
        <v/>
      </c>
      <c r="Y264" s="24">
        <f>$P$115*INDEX($C$97:$AL$97,1,10)</f>
        <v/>
      </c>
      <c r="Z264" s="24">
        <f>$P$115*INDEX($C$97:$AL$97,1,11)</f>
        <v/>
      </c>
      <c r="AA264" s="24">
        <f>$P$115*INDEX($C$97:$AL$97,1,12)</f>
        <v/>
      </c>
      <c r="AB264" s="24">
        <f>$P$115*INDEX($C$97:$AL$97,1,13)</f>
        <v/>
      </c>
      <c r="AC264" s="24">
        <f>$P$115*INDEX($C$97:$AL$97,1,14)</f>
        <v/>
      </c>
      <c r="AD264" s="24">
        <f>$P$115*INDEX($C$97:$AL$97,1,15)</f>
        <v/>
      </c>
      <c r="AE264" s="24">
        <f>$P$115*INDEX($C$97:$AL$97,1,16)</f>
        <v/>
      </c>
      <c r="AF264" s="24">
        <f>$P$115*INDEX($C$97:$AL$97,1,17)</f>
        <v/>
      </c>
    </row>
    <row r="265">
      <c r="A265" s="4" t="inlineStr">
        <is>
          <t>Coorte del mese 15</t>
        </is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>
        <f>$Q$115*INDEX($C$97:$AL$97,1,1)</f>
        <v/>
      </c>
      <c r="R265" s="24">
        <f>$Q$115*INDEX($C$97:$AL$97,1,2)</f>
        <v/>
      </c>
      <c r="S265" s="24">
        <f>$Q$115*INDEX($C$97:$AL$97,1,3)</f>
        <v/>
      </c>
      <c r="T265" s="24">
        <f>$Q$115*INDEX($C$97:$AL$97,1,4)</f>
        <v/>
      </c>
      <c r="U265" s="24">
        <f>$Q$115*INDEX($C$97:$AL$97,1,5)</f>
        <v/>
      </c>
      <c r="V265" s="24">
        <f>$Q$115*INDEX($C$97:$AL$97,1,6)</f>
        <v/>
      </c>
      <c r="W265" s="24">
        <f>$Q$115*INDEX($C$97:$AL$97,1,7)</f>
        <v/>
      </c>
      <c r="X265" s="24">
        <f>$Q$115*INDEX($C$97:$AL$97,1,8)</f>
        <v/>
      </c>
      <c r="Y265" s="24">
        <f>$Q$115*INDEX($C$97:$AL$97,1,9)</f>
        <v/>
      </c>
      <c r="Z265" s="24">
        <f>$Q$115*INDEX($C$97:$AL$97,1,10)</f>
        <v/>
      </c>
      <c r="AA265" s="24">
        <f>$Q$115*INDEX($C$97:$AL$97,1,11)</f>
        <v/>
      </c>
      <c r="AB265" s="24">
        <f>$Q$115*INDEX($C$97:$AL$97,1,12)</f>
        <v/>
      </c>
      <c r="AC265" s="24">
        <f>$Q$115*INDEX($C$97:$AL$97,1,13)</f>
        <v/>
      </c>
      <c r="AD265" s="24">
        <f>$Q$115*INDEX($C$97:$AL$97,1,14)</f>
        <v/>
      </c>
      <c r="AE265" s="24">
        <f>$Q$115*INDEX($C$97:$AL$97,1,15)</f>
        <v/>
      </c>
      <c r="AF265" s="24">
        <f>$Q$115*INDEX($C$97:$AL$97,1,16)</f>
        <v/>
      </c>
    </row>
    <row r="266">
      <c r="A266" s="4" t="inlineStr">
        <is>
          <t>Coorte del mese 16</t>
        </is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>
        <f>$R$115*INDEX($C$97:$AL$97,1,1)</f>
        <v/>
      </c>
      <c r="S266" s="24">
        <f>$R$115*INDEX($C$97:$AL$97,1,2)</f>
        <v/>
      </c>
      <c r="T266" s="24">
        <f>$R$115*INDEX($C$97:$AL$97,1,3)</f>
        <v/>
      </c>
      <c r="U266" s="24">
        <f>$R$115*INDEX($C$97:$AL$97,1,4)</f>
        <v/>
      </c>
      <c r="V266" s="24">
        <f>$R$115*INDEX($C$97:$AL$97,1,5)</f>
        <v/>
      </c>
      <c r="W266" s="24">
        <f>$R$115*INDEX($C$97:$AL$97,1,6)</f>
        <v/>
      </c>
      <c r="X266" s="24">
        <f>$R$115*INDEX($C$97:$AL$97,1,7)</f>
        <v/>
      </c>
      <c r="Y266" s="24">
        <f>$R$115*INDEX($C$97:$AL$97,1,8)</f>
        <v/>
      </c>
      <c r="Z266" s="24">
        <f>$R$115*INDEX($C$97:$AL$97,1,9)</f>
        <v/>
      </c>
      <c r="AA266" s="24">
        <f>$R$115*INDEX($C$97:$AL$97,1,10)</f>
        <v/>
      </c>
      <c r="AB266" s="24">
        <f>$R$115*INDEX($C$97:$AL$97,1,11)</f>
        <v/>
      </c>
      <c r="AC266" s="24">
        <f>$R$115*INDEX($C$97:$AL$97,1,12)</f>
        <v/>
      </c>
      <c r="AD266" s="24">
        <f>$R$115*INDEX($C$97:$AL$97,1,13)</f>
        <v/>
      </c>
      <c r="AE266" s="24">
        <f>$R$115*INDEX($C$97:$AL$97,1,14)</f>
        <v/>
      </c>
      <c r="AF266" s="24">
        <f>$R$115*INDEX($C$97:$AL$97,1,15)</f>
        <v/>
      </c>
    </row>
    <row r="267">
      <c r="A267" s="4" t="inlineStr">
        <is>
          <t>Coorte del mese 17</t>
        </is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>
        <f>$S$115*INDEX($C$97:$AL$97,1,1)</f>
        <v/>
      </c>
      <c r="T267" s="24">
        <f>$S$115*INDEX($C$97:$AL$97,1,2)</f>
        <v/>
      </c>
      <c r="U267" s="24">
        <f>$S$115*INDEX($C$97:$AL$97,1,3)</f>
        <v/>
      </c>
      <c r="V267" s="24">
        <f>$S$115*INDEX($C$97:$AL$97,1,4)</f>
        <v/>
      </c>
      <c r="W267" s="24">
        <f>$S$115*INDEX($C$97:$AL$97,1,5)</f>
        <v/>
      </c>
      <c r="X267" s="24">
        <f>$S$115*INDEX($C$97:$AL$97,1,6)</f>
        <v/>
      </c>
      <c r="Y267" s="24">
        <f>$S$115*INDEX($C$97:$AL$97,1,7)</f>
        <v/>
      </c>
      <c r="Z267" s="24">
        <f>$S$115*INDEX($C$97:$AL$97,1,8)</f>
        <v/>
      </c>
      <c r="AA267" s="24">
        <f>$S$115*INDEX($C$97:$AL$97,1,9)</f>
        <v/>
      </c>
      <c r="AB267" s="24">
        <f>$S$115*INDEX($C$97:$AL$97,1,10)</f>
        <v/>
      </c>
      <c r="AC267" s="24">
        <f>$S$115*INDEX($C$97:$AL$97,1,11)</f>
        <v/>
      </c>
      <c r="AD267" s="24">
        <f>$S$115*INDEX($C$97:$AL$97,1,12)</f>
        <v/>
      </c>
      <c r="AE267" s="24">
        <f>$S$115*INDEX($C$97:$AL$97,1,13)</f>
        <v/>
      </c>
      <c r="AF267" s="24">
        <f>$S$115*INDEX($C$97:$AL$97,1,14)</f>
        <v/>
      </c>
    </row>
    <row r="268">
      <c r="A268" s="4" t="inlineStr">
        <is>
          <t>Coorte del mese 18</t>
        </is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>
        <f>$T$115*INDEX($C$97:$AL$97,1,1)</f>
        <v/>
      </c>
      <c r="U268" s="24">
        <f>$T$115*INDEX($C$97:$AL$97,1,2)</f>
        <v/>
      </c>
      <c r="V268" s="24">
        <f>$T$115*INDEX($C$97:$AL$97,1,3)</f>
        <v/>
      </c>
      <c r="W268" s="24">
        <f>$T$115*INDEX($C$97:$AL$97,1,4)</f>
        <v/>
      </c>
      <c r="X268" s="24">
        <f>$T$115*INDEX($C$97:$AL$97,1,5)</f>
        <v/>
      </c>
      <c r="Y268" s="24">
        <f>$T$115*INDEX($C$97:$AL$97,1,6)</f>
        <v/>
      </c>
      <c r="Z268" s="24">
        <f>$T$115*INDEX($C$97:$AL$97,1,7)</f>
        <v/>
      </c>
      <c r="AA268" s="24">
        <f>$T$115*INDEX($C$97:$AL$97,1,8)</f>
        <v/>
      </c>
      <c r="AB268" s="24">
        <f>$T$115*INDEX($C$97:$AL$97,1,9)</f>
        <v/>
      </c>
      <c r="AC268" s="24">
        <f>$T$115*INDEX($C$97:$AL$97,1,10)</f>
        <v/>
      </c>
      <c r="AD268" s="24">
        <f>$T$115*INDEX($C$97:$AL$97,1,11)</f>
        <v/>
      </c>
      <c r="AE268" s="24">
        <f>$T$115*INDEX($C$97:$AL$97,1,12)</f>
        <v/>
      </c>
      <c r="AF268" s="24">
        <f>$T$115*INDEX($C$97:$AL$97,1,13)</f>
        <v/>
      </c>
    </row>
    <row r="269">
      <c r="A269" s="4" t="inlineStr">
        <is>
          <t>Coorte del mese 19</t>
        </is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>
        <f>$U$115*INDEX($C$97:$AL$97,1,1)</f>
        <v/>
      </c>
      <c r="V269" s="24">
        <f>$U$115*INDEX($C$97:$AL$97,1,2)</f>
        <v/>
      </c>
      <c r="W269" s="24">
        <f>$U$115*INDEX($C$97:$AL$97,1,3)</f>
        <v/>
      </c>
      <c r="X269" s="24">
        <f>$U$115*INDEX($C$97:$AL$97,1,4)</f>
        <v/>
      </c>
      <c r="Y269" s="24">
        <f>$U$115*INDEX($C$97:$AL$97,1,5)</f>
        <v/>
      </c>
      <c r="Z269" s="24">
        <f>$U$115*INDEX($C$97:$AL$97,1,6)</f>
        <v/>
      </c>
      <c r="AA269" s="24">
        <f>$U$115*INDEX($C$97:$AL$97,1,7)</f>
        <v/>
      </c>
      <c r="AB269" s="24">
        <f>$U$115*INDEX($C$97:$AL$97,1,8)</f>
        <v/>
      </c>
      <c r="AC269" s="24">
        <f>$U$115*INDEX($C$97:$AL$97,1,9)</f>
        <v/>
      </c>
      <c r="AD269" s="24">
        <f>$U$115*INDEX($C$97:$AL$97,1,10)</f>
        <v/>
      </c>
      <c r="AE269" s="24">
        <f>$U$115*INDEX($C$97:$AL$97,1,11)</f>
        <v/>
      </c>
      <c r="AF269" s="24">
        <f>$U$115*INDEX($C$97:$AL$97,1,12)</f>
        <v/>
      </c>
    </row>
    <row r="270">
      <c r="A270" s="4" t="inlineStr">
        <is>
          <t>Coorte del mese 20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>
        <f>$V$115*INDEX($C$97:$AL$97,1,1)</f>
        <v/>
      </c>
      <c r="W270" s="24">
        <f>$V$115*INDEX($C$97:$AL$97,1,2)</f>
        <v/>
      </c>
      <c r="X270" s="24">
        <f>$V$115*INDEX($C$97:$AL$97,1,3)</f>
        <v/>
      </c>
      <c r="Y270" s="24">
        <f>$V$115*INDEX($C$97:$AL$97,1,4)</f>
        <v/>
      </c>
      <c r="Z270" s="24">
        <f>$V$115*INDEX($C$97:$AL$97,1,5)</f>
        <v/>
      </c>
      <c r="AA270" s="24">
        <f>$V$115*INDEX($C$97:$AL$97,1,6)</f>
        <v/>
      </c>
      <c r="AB270" s="24">
        <f>$V$115*INDEX($C$97:$AL$97,1,7)</f>
        <v/>
      </c>
      <c r="AC270" s="24">
        <f>$V$115*INDEX($C$97:$AL$97,1,8)</f>
        <v/>
      </c>
      <c r="AD270" s="24">
        <f>$V$115*INDEX($C$97:$AL$97,1,9)</f>
        <v/>
      </c>
      <c r="AE270" s="24">
        <f>$V$115*INDEX($C$97:$AL$97,1,10)</f>
        <v/>
      </c>
      <c r="AF270" s="24">
        <f>$V$115*INDEX($C$97:$AL$97,1,11)</f>
        <v/>
      </c>
    </row>
    <row r="271">
      <c r="A271" s="4" t="inlineStr">
        <is>
          <t>Coorte del mese 21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>
        <f>$W$115*INDEX($C$97:$AL$97,1,1)</f>
        <v/>
      </c>
      <c r="X271" s="24">
        <f>$W$115*INDEX($C$97:$AL$97,1,2)</f>
        <v/>
      </c>
      <c r="Y271" s="24">
        <f>$W$115*INDEX($C$97:$AL$97,1,3)</f>
        <v/>
      </c>
      <c r="Z271" s="24">
        <f>$W$115*INDEX($C$97:$AL$97,1,4)</f>
        <v/>
      </c>
      <c r="AA271" s="24">
        <f>$W$115*INDEX($C$97:$AL$97,1,5)</f>
        <v/>
      </c>
      <c r="AB271" s="24">
        <f>$W$115*INDEX($C$97:$AL$97,1,6)</f>
        <v/>
      </c>
      <c r="AC271" s="24">
        <f>$W$115*INDEX($C$97:$AL$97,1,7)</f>
        <v/>
      </c>
      <c r="AD271" s="24">
        <f>$W$115*INDEX($C$97:$AL$97,1,8)</f>
        <v/>
      </c>
      <c r="AE271" s="24">
        <f>$W$115*INDEX($C$97:$AL$97,1,9)</f>
        <v/>
      </c>
      <c r="AF271" s="24">
        <f>$W$115*INDEX($C$97:$AL$97,1,10)</f>
        <v/>
      </c>
    </row>
    <row r="272">
      <c r="A272" s="4" t="inlineStr">
        <is>
          <t>Coorte del mese 22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>
        <f>$X$115*INDEX($C$97:$AL$97,1,1)</f>
        <v/>
      </c>
      <c r="Y272" s="24">
        <f>$X$115*INDEX($C$97:$AL$97,1,2)</f>
        <v/>
      </c>
      <c r="Z272" s="24">
        <f>$X$115*INDEX($C$97:$AL$97,1,3)</f>
        <v/>
      </c>
      <c r="AA272" s="24">
        <f>$X$115*INDEX($C$97:$AL$97,1,4)</f>
        <v/>
      </c>
      <c r="AB272" s="24">
        <f>$X$115*INDEX($C$97:$AL$97,1,5)</f>
        <v/>
      </c>
      <c r="AC272" s="24">
        <f>$X$115*INDEX($C$97:$AL$97,1,6)</f>
        <v/>
      </c>
      <c r="AD272" s="24">
        <f>$X$115*INDEX($C$97:$AL$97,1,7)</f>
        <v/>
      </c>
      <c r="AE272" s="24">
        <f>$X$115*INDEX($C$97:$AL$97,1,8)</f>
        <v/>
      </c>
      <c r="AF272" s="24">
        <f>$X$115*INDEX($C$97:$AL$97,1,9)</f>
        <v/>
      </c>
    </row>
    <row r="273">
      <c r="A273" s="4" t="inlineStr">
        <is>
          <t>Coorte del mese 23</t>
        </is>
      </c>
      <c r="C273" s="24" t="n">
        <v>0</v>
      </c>
      <c r="D273" s="24" t="n">
        <v>0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>
        <f>$Y$115*INDEX($C$97:$AL$97,1,1)</f>
        <v/>
      </c>
      <c r="Z273" s="24">
        <f>$Y$115*INDEX($C$97:$AL$97,1,2)</f>
        <v/>
      </c>
      <c r="AA273" s="24">
        <f>$Y$115*INDEX($C$97:$AL$97,1,3)</f>
        <v/>
      </c>
      <c r="AB273" s="24">
        <f>$Y$115*INDEX($C$97:$AL$97,1,4)</f>
        <v/>
      </c>
      <c r="AC273" s="24">
        <f>$Y$115*INDEX($C$97:$AL$97,1,5)</f>
        <v/>
      </c>
      <c r="AD273" s="24">
        <f>$Y$115*INDEX($C$97:$AL$97,1,6)</f>
        <v/>
      </c>
      <c r="AE273" s="24">
        <f>$Y$115*INDEX($C$97:$AL$97,1,7)</f>
        <v/>
      </c>
      <c r="AF273" s="24">
        <f>$Y$115*INDEX($C$97:$AL$97,1,8)</f>
        <v/>
      </c>
    </row>
    <row r="274">
      <c r="A274" s="4" t="inlineStr">
        <is>
          <t>Coorte del mese 24</t>
        </is>
      </c>
      <c r="C274" s="24" t="n">
        <v>0</v>
      </c>
      <c r="D274" s="24" t="n">
        <v>0</v>
      </c>
      <c r="E274" s="24" t="n">
        <v>0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24">
        <f>$Z$115*INDEX($C$97:$AL$97,1,1)</f>
        <v/>
      </c>
      <c r="AA274" s="24">
        <f>$Z$115*INDEX($C$97:$AL$97,1,2)</f>
        <v/>
      </c>
      <c r="AB274" s="24">
        <f>$Z$115*INDEX($C$97:$AL$97,1,3)</f>
        <v/>
      </c>
      <c r="AC274" s="24">
        <f>$Z$115*INDEX($C$97:$AL$97,1,4)</f>
        <v/>
      </c>
      <c r="AD274" s="24">
        <f>$Z$115*INDEX($C$97:$AL$97,1,5)</f>
        <v/>
      </c>
      <c r="AE274" s="24">
        <f>$Z$115*INDEX($C$97:$AL$97,1,6)</f>
        <v/>
      </c>
      <c r="AF274" s="24">
        <f>$Z$115*INDEX($C$97:$AL$97,1,7)</f>
        <v/>
      </c>
    </row>
    <row r="275">
      <c r="A275" s="4" t="inlineStr">
        <is>
          <t>Coorte del mese 25</t>
        </is>
      </c>
      <c r="C275" s="24" t="n">
        <v>0</v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>
        <f>$AA$115*INDEX($C$97:$AL$97,1,1)</f>
        <v/>
      </c>
      <c r="AB275" s="24">
        <f>$AA$115*INDEX($C$97:$AL$97,1,2)</f>
        <v/>
      </c>
      <c r="AC275" s="24">
        <f>$AA$115*INDEX($C$97:$AL$97,1,3)</f>
        <v/>
      </c>
      <c r="AD275" s="24">
        <f>$AA$115*INDEX($C$97:$AL$97,1,4)</f>
        <v/>
      </c>
      <c r="AE275" s="24">
        <f>$AA$115*INDEX($C$97:$AL$97,1,5)</f>
        <v/>
      </c>
      <c r="AF275" s="24">
        <f>$AA$115*INDEX($C$97:$AL$97,1,6)</f>
        <v/>
      </c>
    </row>
    <row r="276">
      <c r="A276" s="4" t="inlineStr">
        <is>
          <t>Coorte del mese 26</t>
        </is>
      </c>
      <c r="C276" s="24" t="n">
        <v>0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24" t="n">
        <v>0</v>
      </c>
      <c r="AA276" s="24" t="n">
        <v>0</v>
      </c>
      <c r="AB276" s="24">
        <f>$AB$115*INDEX($C$97:$AL$97,1,1)</f>
        <v/>
      </c>
      <c r="AC276" s="24">
        <f>$AB$115*INDEX($C$97:$AL$97,1,2)</f>
        <v/>
      </c>
      <c r="AD276" s="24">
        <f>$AB$115*INDEX($C$97:$AL$97,1,3)</f>
        <v/>
      </c>
      <c r="AE276" s="24">
        <f>$AB$115*INDEX($C$97:$AL$97,1,4)</f>
        <v/>
      </c>
      <c r="AF276" s="24">
        <f>$AB$115*INDEX($C$97:$AL$97,1,5)</f>
        <v/>
      </c>
    </row>
    <row r="277">
      <c r="A277" s="4" t="inlineStr">
        <is>
          <t>Coorte del mese 27</t>
        </is>
      </c>
      <c r="C277" s="24" t="n">
        <v>0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0</v>
      </c>
      <c r="X277" s="24" t="n">
        <v>0</v>
      </c>
      <c r="Y277" s="24" t="n">
        <v>0</v>
      </c>
      <c r="Z277" s="24" t="n">
        <v>0</v>
      </c>
      <c r="AA277" s="24" t="n">
        <v>0</v>
      </c>
      <c r="AB277" s="24" t="n">
        <v>0</v>
      </c>
      <c r="AC277" s="24">
        <f>$AC$115*INDEX($C$97:$AL$97,1,1)</f>
        <v/>
      </c>
      <c r="AD277" s="24">
        <f>$AC$115*INDEX($C$97:$AL$97,1,2)</f>
        <v/>
      </c>
      <c r="AE277" s="24">
        <f>$AC$115*INDEX($C$97:$AL$97,1,3)</f>
        <v/>
      </c>
      <c r="AF277" s="24">
        <f>$AC$115*INDEX($C$97:$AL$97,1,4)</f>
        <v/>
      </c>
    </row>
    <row r="278">
      <c r="A278" s="4" t="inlineStr">
        <is>
          <t>Coorte del mese 28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>
        <f>$AD$115*INDEX($C$97:$AL$97,1,1)</f>
        <v/>
      </c>
      <c r="AE278" s="24">
        <f>$AD$115*INDEX($C$97:$AL$97,1,2)</f>
        <v/>
      </c>
      <c r="AF278" s="24">
        <f>$AD$115*INDEX($C$97:$AL$97,1,3)</f>
        <v/>
      </c>
    </row>
    <row r="279">
      <c r="A279" s="4" t="inlineStr">
        <is>
          <t>Coorte del mese 29</t>
        </is>
      </c>
      <c r="C279" s="24" t="n">
        <v>0</v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>
        <f>$AE$115*INDEX($C$97:$AL$97,1,1)</f>
        <v/>
      </c>
      <c r="AF279" s="24">
        <f>$AE$115*INDEX($C$97:$AL$97,1,2)</f>
        <v/>
      </c>
    </row>
    <row r="280">
      <c r="A280" s="4" t="inlineStr">
        <is>
          <t>Coorte del mese 30</t>
        </is>
      </c>
      <c r="C280" s="24" t="n">
        <v>0</v>
      </c>
      <c r="D280" s="24" t="n">
        <v>0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24" t="n">
        <v>0</v>
      </c>
      <c r="AA280" s="24" t="n">
        <v>0</v>
      </c>
      <c r="AB280" s="24" t="n">
        <v>0</v>
      </c>
      <c r="AC280" s="24" t="n">
        <v>0</v>
      </c>
      <c r="AD280" s="24" t="n">
        <v>0</v>
      </c>
      <c r="AE280" s="24" t="n">
        <v>0</v>
      </c>
      <c r="AF280" s="24">
        <f>$AF$115*INDEX($C$97:$AL$97,1,1)</f>
        <v/>
      </c>
    </row>
    <row r="281">
      <c r="A281" s="3" t="inlineStr">
        <is>
          <t>Totale singolo: ordini</t>
        </is>
      </c>
      <c r="C281" s="25">
        <f>SUM(C251:C280)</f>
        <v/>
      </c>
      <c r="D281" s="25">
        <f>SUM(D251:D280)</f>
        <v/>
      </c>
      <c r="E281" s="25">
        <f>SUM(E251:E280)</f>
        <v/>
      </c>
      <c r="F281" s="25">
        <f>SUM(F251:F280)</f>
        <v/>
      </c>
      <c r="G281" s="25">
        <f>SUM(G251:G280)</f>
        <v/>
      </c>
      <c r="H281" s="25">
        <f>SUM(H251:H280)</f>
        <v/>
      </c>
      <c r="I281" s="25">
        <f>SUM(I251:I280)</f>
        <v/>
      </c>
      <c r="J281" s="25">
        <f>SUM(J251:J280)</f>
        <v/>
      </c>
      <c r="K281" s="25">
        <f>SUM(K251:K280)</f>
        <v/>
      </c>
      <c r="L281" s="25">
        <f>SUM(L251:L280)</f>
        <v/>
      </c>
      <c r="M281" s="25">
        <f>SUM(M251:M280)</f>
        <v/>
      </c>
      <c r="N281" s="25">
        <f>SUM(N251:N280)</f>
        <v/>
      </c>
      <c r="O281" s="25">
        <f>SUM(O251:O280)</f>
        <v/>
      </c>
      <c r="P281" s="25">
        <f>SUM(P251:P280)</f>
        <v/>
      </c>
      <c r="Q281" s="25">
        <f>SUM(Q251:Q280)</f>
        <v/>
      </c>
      <c r="R281" s="25">
        <f>SUM(R251:R280)</f>
        <v/>
      </c>
      <c r="S281" s="25">
        <f>SUM(S251:S280)</f>
        <v/>
      </c>
      <c r="T281" s="25">
        <f>SUM(T251:T280)</f>
        <v/>
      </c>
      <c r="U281" s="25">
        <f>SUM(U251:U280)</f>
        <v/>
      </c>
      <c r="V281" s="25">
        <f>SUM(V251:V280)</f>
        <v/>
      </c>
      <c r="W281" s="25">
        <f>SUM(W251:W280)</f>
        <v/>
      </c>
      <c r="X281" s="25">
        <f>SUM(X251:X280)</f>
        <v/>
      </c>
      <c r="Y281" s="25">
        <f>SUM(Y251:Y280)</f>
        <v/>
      </c>
      <c r="Z281" s="25">
        <f>SUM(Z251:Z280)</f>
        <v/>
      </c>
      <c r="AA281" s="25">
        <f>SUM(AA251:AA280)</f>
        <v/>
      </c>
      <c r="AB281" s="25">
        <f>SUM(AB251:AB280)</f>
        <v/>
      </c>
      <c r="AC281" s="25">
        <f>SUM(AC251:AC280)</f>
        <v/>
      </c>
      <c r="AD281" s="25">
        <f>SUM(AD251:AD280)</f>
        <v/>
      </c>
      <c r="AE281" s="25">
        <f>SUM(AE251:AE280)</f>
        <v/>
      </c>
      <c r="AF281" s="25">
        <f>SUM(AF251:AF280)</f>
        <v/>
      </c>
    </row>
    <row r="283">
      <c r="A283" s="10" t="inlineStr">
        <is>
          <t>Vendite e costi variabili per mese</t>
        </is>
      </c>
    </row>
    <row r="284">
      <c r="A284" s="3" t="inlineStr">
        <is>
          <t>Incassi lordi (IVA incl.)</t>
        </is>
      </c>
      <c r="B284" s="4" t="inlineStr">
        <is>
          <t>€</t>
        </is>
      </c>
      <c r="C284" s="20">
        <f>C112*$H$76+(C149-C112)*$C$76+C113*$I$76+(C215-C113)*$D$76+C114*$J$76+(C248-C114)*$E$76+C115*$K$76+(C281-C115)*$F$76</f>
        <v/>
      </c>
      <c r="D284" s="20">
        <f>D112*$H$76+(D149-D112)*$C$76+D113*$I$76+(D215-D113)*$D$76+D114*$J$76+(D248-D114)*$E$76+D115*$K$76+(D281-D115)*$F$76</f>
        <v/>
      </c>
      <c r="E284" s="20">
        <f>E112*$H$76+(E149-E112)*$C$76+E113*$I$76+(E215-E113)*$D$76+E114*$J$76+(E248-E114)*$E$76+E115*$K$76+(E281-E115)*$F$76</f>
        <v/>
      </c>
      <c r="F284" s="20">
        <f>F112*$H$76+(F149-F112)*$C$76+F113*$I$76+(F215-F113)*$D$76+F114*$J$76+(F248-F114)*$E$76+F115*$K$76+(F281-F115)*$F$76</f>
        <v/>
      </c>
      <c r="G284" s="20">
        <f>G112*$H$76+(G149-G112)*$C$76+G113*$I$76+(G215-G113)*$D$76+G114*$J$76+(G248-G114)*$E$76+G115*$K$76+(G281-G115)*$F$76</f>
        <v/>
      </c>
      <c r="H284" s="20">
        <f>H112*$H$76+(H149-H112)*$C$76+H113*$I$76+(H215-H113)*$D$76+H114*$J$76+(H248-H114)*$E$76+H115*$K$76+(H281-H115)*$F$76</f>
        <v/>
      </c>
      <c r="I284" s="20">
        <f>I112*$H$76+(I149-I112)*$C$76+I113*$I$76+(I215-I113)*$D$76+I114*$J$76+(I248-I114)*$E$76+I115*$K$76+(I281-I115)*$F$76</f>
        <v/>
      </c>
      <c r="J284" s="20">
        <f>J112*$H$76+(J149-J112)*$C$76+J113*$I$76+(J215-J113)*$D$76+J114*$J$76+(J248-J114)*$E$76+J115*$K$76+(J281-J115)*$F$76</f>
        <v/>
      </c>
      <c r="K284" s="20">
        <f>K112*$H$76+(K149-K112)*$C$76+K113*$I$76+(K215-K113)*$D$76+K114*$J$76+(K248-K114)*$E$76+K115*$K$76+(K281-K115)*$F$76</f>
        <v/>
      </c>
      <c r="L284" s="20">
        <f>L112*$H$76+(L149-L112)*$C$76+L113*$I$76+(L215-L113)*$D$76+L114*$J$76+(L248-L114)*$E$76+L115*$K$76+(L281-L115)*$F$76</f>
        <v/>
      </c>
      <c r="M284" s="20">
        <f>M112*$H$76+(M149-M112)*$C$76+M113*$I$76+(M215-M113)*$D$76+M114*$J$76+(M248-M114)*$E$76+M115*$K$76+(M281-M115)*$F$76</f>
        <v/>
      </c>
      <c r="N284" s="20">
        <f>N112*$H$76+(N149-N112)*$C$76+N113*$I$76+(N215-N113)*$D$76+N114*$J$76+(N248-N114)*$E$76+N115*$K$76+(N281-N115)*$F$76</f>
        <v/>
      </c>
      <c r="O284" s="20">
        <f>O112*$H$76+(O149-O112)*$C$76+O113*$I$76+(O215-O113)*$D$76+O114*$J$76+(O248-O114)*$E$76+O115*$K$76+(O281-O115)*$F$76</f>
        <v/>
      </c>
      <c r="P284" s="20">
        <f>P112*$H$76+(P149-P112)*$C$76+P113*$I$76+(P215-P113)*$D$76+P114*$J$76+(P248-P114)*$E$76+P115*$K$76+(P281-P115)*$F$76</f>
        <v/>
      </c>
      <c r="Q284" s="20">
        <f>Q112*$H$76+(Q149-Q112)*$C$76+Q113*$I$76+(Q215-Q113)*$D$76+Q114*$J$76+(Q248-Q114)*$E$76+Q115*$K$76+(Q281-Q115)*$F$76</f>
        <v/>
      </c>
      <c r="R284" s="20">
        <f>R112*$H$76+(R149-R112)*$C$76+R113*$I$76+(R215-R113)*$D$76+R114*$J$76+(R248-R114)*$E$76+R115*$K$76+(R281-R115)*$F$76</f>
        <v/>
      </c>
      <c r="S284" s="20">
        <f>S112*$H$76+(S149-S112)*$C$76+S113*$I$76+(S215-S113)*$D$76+S114*$J$76+(S248-S114)*$E$76+S115*$K$76+(S281-S115)*$F$76</f>
        <v/>
      </c>
      <c r="T284" s="20">
        <f>T112*$H$76+(T149-T112)*$C$76+T113*$I$76+(T215-T113)*$D$76+T114*$J$76+(T248-T114)*$E$76+T115*$K$76+(T281-T115)*$F$76</f>
        <v/>
      </c>
      <c r="U284" s="20">
        <f>U112*$H$76+(U149-U112)*$C$76+U113*$I$76+(U215-U113)*$D$76+U114*$J$76+(U248-U114)*$E$76+U115*$K$76+(U281-U115)*$F$76</f>
        <v/>
      </c>
      <c r="V284" s="20">
        <f>V112*$H$76+(V149-V112)*$C$76+V113*$I$76+(V215-V113)*$D$76+V114*$J$76+(V248-V114)*$E$76+V115*$K$76+(V281-V115)*$F$76</f>
        <v/>
      </c>
      <c r="W284" s="20">
        <f>W112*$H$76+(W149-W112)*$C$76+W113*$I$76+(W215-W113)*$D$76+W114*$J$76+(W248-W114)*$E$76+W115*$K$76+(W281-W115)*$F$76</f>
        <v/>
      </c>
      <c r="X284" s="20">
        <f>X112*$H$76+(X149-X112)*$C$76+X113*$I$76+(X215-X113)*$D$76+X114*$J$76+(X248-X114)*$E$76+X115*$K$76+(X281-X115)*$F$76</f>
        <v/>
      </c>
      <c r="Y284" s="20">
        <f>Y112*$H$76+(Y149-Y112)*$C$76+Y113*$I$76+(Y215-Y113)*$D$76+Y114*$J$76+(Y248-Y114)*$E$76+Y115*$K$76+(Y281-Y115)*$F$76</f>
        <v/>
      </c>
      <c r="Z284" s="20">
        <f>Z112*$H$76+(Z149-Z112)*$C$76+Z113*$I$76+(Z215-Z113)*$D$76+Z114*$J$76+(Z248-Z114)*$E$76+Z115*$K$76+(Z281-Z115)*$F$76</f>
        <v/>
      </c>
      <c r="AA284" s="20">
        <f>AA112*$H$76+(AA149-AA112)*$C$76+AA113*$I$76+(AA215-AA113)*$D$76+AA114*$J$76+(AA248-AA114)*$E$76+AA115*$K$76+(AA281-AA115)*$F$76</f>
        <v/>
      </c>
      <c r="AB284" s="20">
        <f>AB112*$H$76+(AB149-AB112)*$C$76+AB113*$I$76+(AB215-AB113)*$D$76+AB114*$J$76+(AB248-AB114)*$E$76+AB115*$K$76+(AB281-AB115)*$F$76</f>
        <v/>
      </c>
      <c r="AC284" s="20">
        <f>AC112*$H$76+(AC149-AC112)*$C$76+AC113*$I$76+(AC215-AC113)*$D$76+AC114*$J$76+(AC248-AC114)*$E$76+AC115*$K$76+(AC281-AC115)*$F$76</f>
        <v/>
      </c>
      <c r="AD284" s="20">
        <f>AD112*$H$76+(AD149-AD112)*$C$76+AD113*$I$76+(AD215-AD113)*$D$76+AD114*$J$76+(AD248-AD114)*$E$76+AD115*$K$76+(AD281-AD115)*$F$76</f>
        <v/>
      </c>
      <c r="AE284" s="20">
        <f>AE112*$H$76+(AE149-AE112)*$C$76+AE113*$I$76+(AE215-AE113)*$D$76+AE114*$J$76+(AE248-AE114)*$E$76+AE115*$K$76+(AE281-AE115)*$F$76</f>
        <v/>
      </c>
      <c r="AF284" s="20">
        <f>AF112*$H$76+(AF149-AF112)*$C$76+AF113*$I$76+(AF215-AF113)*$D$76+AF114*$J$76+(AF248-AF114)*$E$76+AF115*$K$76+(AF281-AF115)*$F$76</f>
        <v/>
      </c>
    </row>
    <row r="285">
      <c r="A285" s="3" t="inlineStr">
        <is>
          <t>Ricavi netti IVA</t>
        </is>
      </c>
      <c r="B285" s="4" t="inlineStr">
        <is>
          <t>€</t>
        </is>
      </c>
      <c r="C285" s="20">
        <f>C112*$H$77+(C149-C112)*$C$77+C113*$I$77+(C215-C113)*$D$77+C114*$J$77+(C248-C114)*$E$77+C115*$K$77+(C281-C115)*$F$77</f>
        <v/>
      </c>
      <c r="D285" s="20">
        <f>D112*$H$77+(D149-D112)*$C$77+D113*$I$77+(D215-D113)*$D$77+D114*$J$77+(D248-D114)*$E$77+D115*$K$77+(D281-D115)*$F$77</f>
        <v/>
      </c>
      <c r="E285" s="20">
        <f>E112*$H$77+(E149-E112)*$C$77+E113*$I$77+(E215-E113)*$D$77+E114*$J$77+(E248-E114)*$E$77+E115*$K$77+(E281-E115)*$F$77</f>
        <v/>
      </c>
      <c r="F285" s="20">
        <f>F112*$H$77+(F149-F112)*$C$77+F113*$I$77+(F215-F113)*$D$77+F114*$J$77+(F248-F114)*$E$77+F115*$K$77+(F281-F115)*$F$77</f>
        <v/>
      </c>
      <c r="G285" s="20">
        <f>G112*$H$77+(G149-G112)*$C$77+G113*$I$77+(G215-G113)*$D$77+G114*$J$77+(G248-G114)*$E$77+G115*$K$77+(G281-G115)*$F$77</f>
        <v/>
      </c>
      <c r="H285" s="20">
        <f>H112*$H$77+(H149-H112)*$C$77+H113*$I$77+(H215-H113)*$D$77+H114*$J$77+(H248-H114)*$E$77+H115*$K$77+(H281-H115)*$F$77</f>
        <v/>
      </c>
      <c r="I285" s="20">
        <f>I112*$H$77+(I149-I112)*$C$77+I113*$I$77+(I215-I113)*$D$77+I114*$J$77+(I248-I114)*$E$77+I115*$K$77+(I281-I115)*$F$77</f>
        <v/>
      </c>
      <c r="J285" s="20">
        <f>J112*$H$77+(J149-J112)*$C$77+J113*$I$77+(J215-J113)*$D$77+J114*$J$77+(J248-J114)*$E$77+J115*$K$77+(J281-J115)*$F$77</f>
        <v/>
      </c>
      <c r="K285" s="20">
        <f>K112*$H$77+(K149-K112)*$C$77+K113*$I$77+(K215-K113)*$D$77+K114*$J$77+(K248-K114)*$E$77+K115*$K$77+(K281-K115)*$F$77</f>
        <v/>
      </c>
      <c r="L285" s="20">
        <f>L112*$H$77+(L149-L112)*$C$77+L113*$I$77+(L215-L113)*$D$77+L114*$J$77+(L248-L114)*$E$77+L115*$K$77+(L281-L115)*$F$77</f>
        <v/>
      </c>
      <c r="M285" s="20">
        <f>M112*$H$77+(M149-M112)*$C$77+M113*$I$77+(M215-M113)*$D$77+M114*$J$77+(M248-M114)*$E$77+M115*$K$77+(M281-M115)*$F$77</f>
        <v/>
      </c>
      <c r="N285" s="20">
        <f>N112*$H$77+(N149-N112)*$C$77+N113*$I$77+(N215-N113)*$D$77+N114*$J$77+(N248-N114)*$E$77+N115*$K$77+(N281-N115)*$F$77</f>
        <v/>
      </c>
      <c r="O285" s="20">
        <f>O112*$H$77+(O149-O112)*$C$77+O113*$I$77+(O215-O113)*$D$77+O114*$J$77+(O248-O114)*$E$77+O115*$K$77+(O281-O115)*$F$77</f>
        <v/>
      </c>
      <c r="P285" s="20">
        <f>P112*$H$77+(P149-P112)*$C$77+P113*$I$77+(P215-P113)*$D$77+P114*$J$77+(P248-P114)*$E$77+P115*$K$77+(P281-P115)*$F$77</f>
        <v/>
      </c>
      <c r="Q285" s="20">
        <f>Q112*$H$77+(Q149-Q112)*$C$77+Q113*$I$77+(Q215-Q113)*$D$77+Q114*$J$77+(Q248-Q114)*$E$77+Q115*$K$77+(Q281-Q115)*$F$77</f>
        <v/>
      </c>
      <c r="R285" s="20">
        <f>R112*$H$77+(R149-R112)*$C$77+R113*$I$77+(R215-R113)*$D$77+R114*$J$77+(R248-R114)*$E$77+R115*$K$77+(R281-R115)*$F$77</f>
        <v/>
      </c>
      <c r="S285" s="20">
        <f>S112*$H$77+(S149-S112)*$C$77+S113*$I$77+(S215-S113)*$D$77+S114*$J$77+(S248-S114)*$E$77+S115*$K$77+(S281-S115)*$F$77</f>
        <v/>
      </c>
      <c r="T285" s="20">
        <f>T112*$H$77+(T149-T112)*$C$77+T113*$I$77+(T215-T113)*$D$77+T114*$J$77+(T248-T114)*$E$77+T115*$K$77+(T281-T115)*$F$77</f>
        <v/>
      </c>
      <c r="U285" s="20">
        <f>U112*$H$77+(U149-U112)*$C$77+U113*$I$77+(U215-U113)*$D$77+U114*$J$77+(U248-U114)*$E$77+U115*$K$77+(U281-U115)*$F$77</f>
        <v/>
      </c>
      <c r="V285" s="20">
        <f>V112*$H$77+(V149-V112)*$C$77+V113*$I$77+(V215-V113)*$D$77+V114*$J$77+(V248-V114)*$E$77+V115*$K$77+(V281-V115)*$F$77</f>
        <v/>
      </c>
      <c r="W285" s="20">
        <f>W112*$H$77+(W149-W112)*$C$77+W113*$I$77+(W215-W113)*$D$77+W114*$J$77+(W248-W114)*$E$77+W115*$K$77+(W281-W115)*$F$77</f>
        <v/>
      </c>
      <c r="X285" s="20">
        <f>X112*$H$77+(X149-X112)*$C$77+X113*$I$77+(X215-X113)*$D$77+X114*$J$77+(X248-X114)*$E$77+X115*$K$77+(X281-X115)*$F$77</f>
        <v/>
      </c>
      <c r="Y285" s="20">
        <f>Y112*$H$77+(Y149-Y112)*$C$77+Y113*$I$77+(Y215-Y113)*$D$77+Y114*$J$77+(Y248-Y114)*$E$77+Y115*$K$77+(Y281-Y115)*$F$77</f>
        <v/>
      </c>
      <c r="Z285" s="20">
        <f>Z112*$H$77+(Z149-Z112)*$C$77+Z113*$I$77+(Z215-Z113)*$D$77+Z114*$J$77+(Z248-Z114)*$E$77+Z115*$K$77+(Z281-Z115)*$F$77</f>
        <v/>
      </c>
      <c r="AA285" s="20">
        <f>AA112*$H$77+(AA149-AA112)*$C$77+AA113*$I$77+(AA215-AA113)*$D$77+AA114*$J$77+(AA248-AA114)*$E$77+AA115*$K$77+(AA281-AA115)*$F$77</f>
        <v/>
      </c>
      <c r="AB285" s="20">
        <f>AB112*$H$77+(AB149-AB112)*$C$77+AB113*$I$77+(AB215-AB113)*$D$77+AB114*$J$77+(AB248-AB114)*$E$77+AB115*$K$77+(AB281-AB115)*$F$77</f>
        <v/>
      </c>
      <c r="AC285" s="20">
        <f>AC112*$H$77+(AC149-AC112)*$C$77+AC113*$I$77+(AC215-AC113)*$D$77+AC114*$J$77+(AC248-AC114)*$E$77+AC115*$K$77+(AC281-AC115)*$F$77</f>
        <v/>
      </c>
      <c r="AD285" s="20">
        <f>AD112*$H$77+(AD149-AD112)*$C$77+AD113*$I$77+(AD215-AD113)*$D$77+AD114*$J$77+(AD248-AD114)*$E$77+AD115*$K$77+(AD281-AD115)*$F$77</f>
        <v/>
      </c>
      <c r="AE285" s="20">
        <f>AE112*$H$77+(AE149-AE112)*$C$77+AE113*$I$77+(AE215-AE113)*$D$77+AE114*$J$77+(AE248-AE114)*$E$77+AE115*$K$77+(AE281-AE115)*$F$77</f>
        <v/>
      </c>
      <c r="AF285" s="20">
        <f>AF112*$H$77+(AF149-AF112)*$C$77+AF113*$I$77+(AF215-AF113)*$D$77+AF114*$J$77+(AF248-AF114)*$E$77+AF115*$K$77+(AF281-AF115)*$F$77</f>
        <v/>
      </c>
    </row>
    <row r="286">
      <c r="A286" s="3" t="inlineStr">
        <is>
          <t>IVA sulle vendite</t>
        </is>
      </c>
      <c r="B286" s="4" t="inlineStr">
        <is>
          <t>€</t>
        </is>
      </c>
      <c r="C286" s="20">
        <f>C284-C285</f>
        <v/>
      </c>
      <c r="D286" s="20">
        <f>D284-D285</f>
        <v/>
      </c>
      <c r="E286" s="20">
        <f>E284-E285</f>
        <v/>
      </c>
      <c r="F286" s="20">
        <f>F284-F285</f>
        <v/>
      </c>
      <c r="G286" s="20">
        <f>G284-G285</f>
        <v/>
      </c>
      <c r="H286" s="20">
        <f>H284-H285</f>
        <v/>
      </c>
      <c r="I286" s="20">
        <f>I284-I285</f>
        <v/>
      </c>
      <c r="J286" s="20">
        <f>J284-J285</f>
        <v/>
      </c>
      <c r="K286" s="20">
        <f>K284-K285</f>
        <v/>
      </c>
      <c r="L286" s="20">
        <f>L284-L285</f>
        <v/>
      </c>
      <c r="M286" s="20">
        <f>M284-M285</f>
        <v/>
      </c>
      <c r="N286" s="20">
        <f>N284-N285</f>
        <v/>
      </c>
      <c r="O286" s="20">
        <f>O284-O285</f>
        <v/>
      </c>
      <c r="P286" s="20">
        <f>P284-P285</f>
        <v/>
      </c>
      <c r="Q286" s="20">
        <f>Q284-Q285</f>
        <v/>
      </c>
      <c r="R286" s="20">
        <f>R284-R285</f>
        <v/>
      </c>
      <c r="S286" s="20">
        <f>S284-S285</f>
        <v/>
      </c>
      <c r="T286" s="20">
        <f>T284-T285</f>
        <v/>
      </c>
      <c r="U286" s="20">
        <f>U284-U285</f>
        <v/>
      </c>
      <c r="V286" s="20">
        <f>V284-V285</f>
        <v/>
      </c>
      <c r="W286" s="20">
        <f>W284-W285</f>
        <v/>
      </c>
      <c r="X286" s="20">
        <f>X284-X285</f>
        <v/>
      </c>
      <c r="Y286" s="20">
        <f>Y284-Y285</f>
        <v/>
      </c>
      <c r="Z286" s="20">
        <f>Z284-Z285</f>
        <v/>
      </c>
      <c r="AA286" s="20">
        <f>AA284-AA285</f>
        <v/>
      </c>
      <c r="AB286" s="20">
        <f>AB284-AB285</f>
        <v/>
      </c>
      <c r="AC286" s="20">
        <f>AC284-AC285</f>
        <v/>
      </c>
      <c r="AD286" s="20">
        <f>AD284-AD285</f>
        <v/>
      </c>
      <c r="AE286" s="20">
        <f>AE284-AE285</f>
        <v/>
      </c>
      <c r="AF286" s="20">
        <f>AF284-AF285</f>
        <v/>
      </c>
    </row>
    <row r="287">
      <c r="A287" s="3" t="inlineStr">
        <is>
          <t>Rimborsi di garanzia pagati (lordi)</t>
        </is>
      </c>
      <c r="B287" s="4" t="inlineStr">
        <is>
          <t>€</t>
        </is>
      </c>
      <c r="C287" s="20">
        <f>C182*$H$76</f>
        <v/>
      </c>
      <c r="D287" s="20">
        <f>D182*$H$76</f>
        <v/>
      </c>
      <c r="E287" s="20">
        <f>E182*$H$76</f>
        <v/>
      </c>
      <c r="F287" s="20">
        <f>F182*$H$76</f>
        <v/>
      </c>
      <c r="G287" s="20">
        <f>G182*$H$76</f>
        <v/>
      </c>
      <c r="H287" s="20">
        <f>H182*$H$76</f>
        <v/>
      </c>
      <c r="I287" s="20">
        <f>I182*$H$76</f>
        <v/>
      </c>
      <c r="J287" s="20">
        <f>J182*$H$76</f>
        <v/>
      </c>
      <c r="K287" s="20">
        <f>K182*$H$76</f>
        <v/>
      </c>
      <c r="L287" s="20">
        <f>L182*$H$76</f>
        <v/>
      </c>
      <c r="M287" s="20">
        <f>M182*$H$76</f>
        <v/>
      </c>
      <c r="N287" s="20">
        <f>N182*$H$76</f>
        <v/>
      </c>
      <c r="O287" s="20">
        <f>O182*$H$76</f>
        <v/>
      </c>
      <c r="P287" s="20">
        <f>P182*$H$76</f>
        <v/>
      </c>
      <c r="Q287" s="20">
        <f>Q182*$H$76</f>
        <v/>
      </c>
      <c r="R287" s="20">
        <f>R182*$H$76</f>
        <v/>
      </c>
      <c r="S287" s="20">
        <f>S182*$H$76</f>
        <v/>
      </c>
      <c r="T287" s="20">
        <f>T182*$H$76</f>
        <v/>
      </c>
      <c r="U287" s="20">
        <f>U182*$H$76</f>
        <v/>
      </c>
      <c r="V287" s="20">
        <f>V182*$H$76</f>
        <v/>
      </c>
      <c r="W287" s="20">
        <f>W182*$H$76</f>
        <v/>
      </c>
      <c r="X287" s="20">
        <f>X182*$H$76</f>
        <v/>
      </c>
      <c r="Y287" s="20">
        <f>Y182*$H$76</f>
        <v/>
      </c>
      <c r="Z287" s="20">
        <f>Z182*$H$76</f>
        <v/>
      </c>
      <c r="AA287" s="20">
        <f>AA182*$H$76</f>
        <v/>
      </c>
      <c r="AB287" s="20">
        <f>AB182*$H$76</f>
        <v/>
      </c>
      <c r="AC287" s="20">
        <f>AC182*$H$76</f>
        <v/>
      </c>
      <c r="AD287" s="20">
        <f>AD182*$H$76</f>
        <v/>
      </c>
      <c r="AE287" s="20">
        <f>AE182*$H$76</f>
        <v/>
      </c>
      <c r="AF287" s="20">
        <f>AF182*$H$76</f>
        <v/>
      </c>
    </row>
    <row r="288">
      <c r="A288" s="3" t="inlineStr">
        <is>
          <t>IVA recuperata sui rimborsi</t>
        </is>
      </c>
      <c r="B288" s="4" t="inlineStr">
        <is>
          <t>€</t>
        </is>
      </c>
      <c r="C288" s="20">
        <f>C182*($H$76-$H$77)</f>
        <v/>
      </c>
      <c r="D288" s="20">
        <f>D182*($H$76-$H$77)</f>
        <v/>
      </c>
      <c r="E288" s="20">
        <f>E182*($H$76-$H$77)</f>
        <v/>
      </c>
      <c r="F288" s="20">
        <f>F182*($H$76-$H$77)</f>
        <v/>
      </c>
      <c r="G288" s="20">
        <f>G182*($H$76-$H$77)</f>
        <v/>
      </c>
      <c r="H288" s="20">
        <f>H182*($H$76-$H$77)</f>
        <v/>
      </c>
      <c r="I288" s="20">
        <f>I182*($H$76-$H$77)</f>
        <v/>
      </c>
      <c r="J288" s="20">
        <f>J182*($H$76-$H$77)</f>
        <v/>
      </c>
      <c r="K288" s="20">
        <f>K182*($H$76-$H$77)</f>
        <v/>
      </c>
      <c r="L288" s="20">
        <f>L182*($H$76-$H$77)</f>
        <v/>
      </c>
      <c r="M288" s="20">
        <f>M182*($H$76-$H$77)</f>
        <v/>
      </c>
      <c r="N288" s="20">
        <f>N182*($H$76-$H$77)</f>
        <v/>
      </c>
      <c r="O288" s="20">
        <f>O182*($H$76-$H$77)</f>
        <v/>
      </c>
      <c r="P288" s="20">
        <f>P182*($H$76-$H$77)</f>
        <v/>
      </c>
      <c r="Q288" s="20">
        <f>Q182*($H$76-$H$77)</f>
        <v/>
      </c>
      <c r="R288" s="20">
        <f>R182*($H$76-$H$77)</f>
        <v/>
      </c>
      <c r="S288" s="20">
        <f>S182*($H$76-$H$77)</f>
        <v/>
      </c>
      <c r="T288" s="20">
        <f>T182*($H$76-$H$77)</f>
        <v/>
      </c>
      <c r="U288" s="20">
        <f>U182*($H$76-$H$77)</f>
        <v/>
      </c>
      <c r="V288" s="20">
        <f>V182*($H$76-$H$77)</f>
        <v/>
      </c>
      <c r="W288" s="20">
        <f>W182*($H$76-$H$77)</f>
        <v/>
      </c>
      <c r="X288" s="20">
        <f>X182*($H$76-$H$77)</f>
        <v/>
      </c>
      <c r="Y288" s="20">
        <f>Y182*($H$76-$H$77)</f>
        <v/>
      </c>
      <c r="Z288" s="20">
        <f>Z182*($H$76-$H$77)</f>
        <v/>
      </c>
      <c r="AA288" s="20">
        <f>AA182*($H$76-$H$77)</f>
        <v/>
      </c>
      <c r="AB288" s="20">
        <f>AB182*($H$76-$H$77)</f>
        <v/>
      </c>
      <c r="AC288" s="20">
        <f>AC182*($H$76-$H$77)</f>
        <v/>
      </c>
      <c r="AD288" s="20">
        <f>AD182*($H$76-$H$77)</f>
        <v/>
      </c>
      <c r="AE288" s="20">
        <f>AE182*($H$76-$H$77)</f>
        <v/>
      </c>
      <c r="AF288" s="20">
        <f>AF182*($H$76-$H$77)</f>
        <v/>
      </c>
    </row>
    <row r="289">
      <c r="A289" s="3" t="inlineStr">
        <is>
          <t>Logistica (netto IVA)</t>
        </is>
      </c>
      <c r="B289" s="4" t="inlineStr">
        <is>
          <t>€</t>
        </is>
      </c>
      <c r="C289" s="20">
        <f>C112*$H$79+(C149-C112)*$C$79+C113*$I$79+(C215-C113)*$D$79+C114*$J$79+(C248-C114)*$E$79+C115*$K$79+(C281-C115)*$F$79</f>
        <v/>
      </c>
      <c r="D289" s="20">
        <f>D112*$H$79+(D149-D112)*$C$79+D113*$I$79+(D215-D113)*$D$79+D114*$J$79+(D248-D114)*$E$79+D115*$K$79+(D281-D115)*$F$79</f>
        <v/>
      </c>
      <c r="E289" s="20">
        <f>E112*$H$79+(E149-E112)*$C$79+E113*$I$79+(E215-E113)*$D$79+E114*$J$79+(E248-E114)*$E$79+E115*$K$79+(E281-E115)*$F$79</f>
        <v/>
      </c>
      <c r="F289" s="20">
        <f>F112*$H$79+(F149-F112)*$C$79+F113*$I$79+(F215-F113)*$D$79+F114*$J$79+(F248-F114)*$E$79+F115*$K$79+(F281-F115)*$F$79</f>
        <v/>
      </c>
      <c r="G289" s="20">
        <f>G112*$H$79+(G149-G112)*$C$79+G113*$I$79+(G215-G113)*$D$79+G114*$J$79+(G248-G114)*$E$79+G115*$K$79+(G281-G115)*$F$79</f>
        <v/>
      </c>
      <c r="H289" s="20">
        <f>H112*$H$79+(H149-H112)*$C$79+H113*$I$79+(H215-H113)*$D$79+H114*$J$79+(H248-H114)*$E$79+H115*$K$79+(H281-H115)*$F$79</f>
        <v/>
      </c>
      <c r="I289" s="20">
        <f>I112*$H$79+(I149-I112)*$C$79+I113*$I$79+(I215-I113)*$D$79+I114*$J$79+(I248-I114)*$E$79+I115*$K$79+(I281-I115)*$F$79</f>
        <v/>
      </c>
      <c r="J289" s="20">
        <f>J112*$H$79+(J149-J112)*$C$79+J113*$I$79+(J215-J113)*$D$79+J114*$J$79+(J248-J114)*$E$79+J115*$K$79+(J281-J115)*$F$79</f>
        <v/>
      </c>
      <c r="K289" s="20">
        <f>K112*$H$79+(K149-K112)*$C$79+K113*$I$79+(K215-K113)*$D$79+K114*$J$79+(K248-K114)*$E$79+K115*$K$79+(K281-K115)*$F$79</f>
        <v/>
      </c>
      <c r="L289" s="20">
        <f>L112*$H$79+(L149-L112)*$C$79+L113*$I$79+(L215-L113)*$D$79+L114*$J$79+(L248-L114)*$E$79+L115*$K$79+(L281-L115)*$F$79</f>
        <v/>
      </c>
      <c r="M289" s="20">
        <f>M112*$H$79+(M149-M112)*$C$79+M113*$I$79+(M215-M113)*$D$79+M114*$J$79+(M248-M114)*$E$79+M115*$K$79+(M281-M115)*$F$79</f>
        <v/>
      </c>
      <c r="N289" s="20">
        <f>N112*$H$79+(N149-N112)*$C$79+N113*$I$79+(N215-N113)*$D$79+N114*$J$79+(N248-N114)*$E$79+N115*$K$79+(N281-N115)*$F$79</f>
        <v/>
      </c>
      <c r="O289" s="20">
        <f>O112*$H$79+(O149-O112)*$C$79+O113*$I$79+(O215-O113)*$D$79+O114*$J$79+(O248-O114)*$E$79+O115*$K$79+(O281-O115)*$F$79</f>
        <v/>
      </c>
      <c r="P289" s="20">
        <f>P112*$H$79+(P149-P112)*$C$79+P113*$I$79+(P215-P113)*$D$79+P114*$J$79+(P248-P114)*$E$79+P115*$K$79+(P281-P115)*$F$79</f>
        <v/>
      </c>
      <c r="Q289" s="20">
        <f>Q112*$H$79+(Q149-Q112)*$C$79+Q113*$I$79+(Q215-Q113)*$D$79+Q114*$J$79+(Q248-Q114)*$E$79+Q115*$K$79+(Q281-Q115)*$F$79</f>
        <v/>
      </c>
      <c r="R289" s="20">
        <f>R112*$H$79+(R149-R112)*$C$79+R113*$I$79+(R215-R113)*$D$79+R114*$J$79+(R248-R114)*$E$79+R115*$K$79+(R281-R115)*$F$79</f>
        <v/>
      </c>
      <c r="S289" s="20">
        <f>S112*$H$79+(S149-S112)*$C$79+S113*$I$79+(S215-S113)*$D$79+S114*$J$79+(S248-S114)*$E$79+S115*$K$79+(S281-S115)*$F$79</f>
        <v/>
      </c>
      <c r="T289" s="20">
        <f>T112*$H$79+(T149-T112)*$C$79+T113*$I$79+(T215-T113)*$D$79+T114*$J$79+(T248-T114)*$E$79+T115*$K$79+(T281-T115)*$F$79</f>
        <v/>
      </c>
      <c r="U289" s="20">
        <f>U112*$H$79+(U149-U112)*$C$79+U113*$I$79+(U215-U113)*$D$79+U114*$J$79+(U248-U114)*$E$79+U115*$K$79+(U281-U115)*$F$79</f>
        <v/>
      </c>
      <c r="V289" s="20">
        <f>V112*$H$79+(V149-V112)*$C$79+V113*$I$79+(V215-V113)*$D$79+V114*$J$79+(V248-V114)*$E$79+V115*$K$79+(V281-V115)*$F$79</f>
        <v/>
      </c>
      <c r="W289" s="20">
        <f>W112*$H$79+(W149-W112)*$C$79+W113*$I$79+(W215-W113)*$D$79+W114*$J$79+(W248-W114)*$E$79+W115*$K$79+(W281-W115)*$F$79</f>
        <v/>
      </c>
      <c r="X289" s="20">
        <f>X112*$H$79+(X149-X112)*$C$79+X113*$I$79+(X215-X113)*$D$79+X114*$J$79+(X248-X114)*$E$79+X115*$K$79+(X281-X115)*$F$79</f>
        <v/>
      </c>
      <c r="Y289" s="20">
        <f>Y112*$H$79+(Y149-Y112)*$C$79+Y113*$I$79+(Y215-Y113)*$D$79+Y114*$J$79+(Y248-Y114)*$E$79+Y115*$K$79+(Y281-Y115)*$F$79</f>
        <v/>
      </c>
      <c r="Z289" s="20">
        <f>Z112*$H$79+(Z149-Z112)*$C$79+Z113*$I$79+(Z215-Z113)*$D$79+Z114*$J$79+(Z248-Z114)*$E$79+Z115*$K$79+(Z281-Z115)*$F$79</f>
        <v/>
      </c>
      <c r="AA289" s="20">
        <f>AA112*$H$79+(AA149-AA112)*$C$79+AA113*$I$79+(AA215-AA113)*$D$79+AA114*$J$79+(AA248-AA114)*$E$79+AA115*$K$79+(AA281-AA115)*$F$79</f>
        <v/>
      </c>
      <c r="AB289" s="20">
        <f>AB112*$H$79+(AB149-AB112)*$C$79+AB113*$I$79+(AB215-AB113)*$D$79+AB114*$J$79+(AB248-AB114)*$E$79+AB115*$K$79+(AB281-AB115)*$F$79</f>
        <v/>
      </c>
      <c r="AC289" s="20">
        <f>AC112*$H$79+(AC149-AC112)*$C$79+AC113*$I$79+(AC215-AC113)*$D$79+AC114*$J$79+(AC248-AC114)*$E$79+AC115*$K$79+(AC281-AC115)*$F$79</f>
        <v/>
      </c>
      <c r="AD289" s="20">
        <f>AD112*$H$79+(AD149-AD112)*$C$79+AD113*$I$79+(AD215-AD113)*$D$79+AD114*$J$79+(AD248-AD114)*$E$79+AD115*$K$79+(AD281-AD115)*$F$79</f>
        <v/>
      </c>
      <c r="AE289" s="20">
        <f>AE112*$H$79+(AE149-AE112)*$C$79+AE113*$I$79+(AE215-AE113)*$D$79+AE114*$J$79+(AE248-AE114)*$E$79+AE115*$K$79+(AE281-AE115)*$F$79</f>
        <v/>
      </c>
      <c r="AF289" s="20">
        <f>AF112*$H$79+(AF149-AF112)*$C$79+AF113*$I$79+(AF215-AF113)*$D$79+AF114*$J$79+(AF248-AF114)*$E$79+AF115*$K$79+(AF281-AF115)*$F$79</f>
        <v/>
      </c>
    </row>
    <row r="290">
      <c r="A290" s="3" t="inlineStr">
        <is>
          <t>Commissioni di incasso</t>
        </is>
      </c>
      <c r="B290" s="4" t="inlineStr">
        <is>
          <t>€</t>
        </is>
      </c>
      <c r="C290" s="20">
        <f>C112*$H$80+(C149-C112)*$C$80+C113*$I$80+(C215-C113)*$D$80+C114*$J$80+(C248-C114)*$E$80+C115*$K$80+(C281-C115)*$F$80</f>
        <v/>
      </c>
      <c r="D290" s="20">
        <f>D112*$H$80+(D149-D112)*$C$80+D113*$I$80+(D215-D113)*$D$80+D114*$J$80+(D248-D114)*$E$80+D115*$K$80+(D281-D115)*$F$80</f>
        <v/>
      </c>
      <c r="E290" s="20">
        <f>E112*$H$80+(E149-E112)*$C$80+E113*$I$80+(E215-E113)*$D$80+E114*$J$80+(E248-E114)*$E$80+E115*$K$80+(E281-E115)*$F$80</f>
        <v/>
      </c>
      <c r="F290" s="20">
        <f>F112*$H$80+(F149-F112)*$C$80+F113*$I$80+(F215-F113)*$D$80+F114*$J$80+(F248-F114)*$E$80+F115*$K$80+(F281-F115)*$F$80</f>
        <v/>
      </c>
      <c r="G290" s="20">
        <f>G112*$H$80+(G149-G112)*$C$80+G113*$I$80+(G215-G113)*$D$80+G114*$J$80+(G248-G114)*$E$80+G115*$K$80+(G281-G115)*$F$80</f>
        <v/>
      </c>
      <c r="H290" s="20">
        <f>H112*$H$80+(H149-H112)*$C$80+H113*$I$80+(H215-H113)*$D$80+H114*$J$80+(H248-H114)*$E$80+H115*$K$80+(H281-H115)*$F$80</f>
        <v/>
      </c>
      <c r="I290" s="20">
        <f>I112*$H$80+(I149-I112)*$C$80+I113*$I$80+(I215-I113)*$D$80+I114*$J$80+(I248-I114)*$E$80+I115*$K$80+(I281-I115)*$F$80</f>
        <v/>
      </c>
      <c r="J290" s="20">
        <f>J112*$H$80+(J149-J112)*$C$80+J113*$I$80+(J215-J113)*$D$80+J114*$J$80+(J248-J114)*$E$80+J115*$K$80+(J281-J115)*$F$80</f>
        <v/>
      </c>
      <c r="K290" s="20">
        <f>K112*$H$80+(K149-K112)*$C$80+K113*$I$80+(K215-K113)*$D$80+K114*$J$80+(K248-K114)*$E$80+K115*$K$80+(K281-K115)*$F$80</f>
        <v/>
      </c>
      <c r="L290" s="20">
        <f>L112*$H$80+(L149-L112)*$C$80+L113*$I$80+(L215-L113)*$D$80+L114*$J$80+(L248-L114)*$E$80+L115*$K$80+(L281-L115)*$F$80</f>
        <v/>
      </c>
      <c r="M290" s="20">
        <f>M112*$H$80+(M149-M112)*$C$80+M113*$I$80+(M215-M113)*$D$80+M114*$J$80+(M248-M114)*$E$80+M115*$K$80+(M281-M115)*$F$80</f>
        <v/>
      </c>
      <c r="N290" s="20">
        <f>N112*$H$80+(N149-N112)*$C$80+N113*$I$80+(N215-N113)*$D$80+N114*$J$80+(N248-N114)*$E$80+N115*$K$80+(N281-N115)*$F$80</f>
        <v/>
      </c>
      <c r="O290" s="20">
        <f>O112*$H$80+(O149-O112)*$C$80+O113*$I$80+(O215-O113)*$D$80+O114*$J$80+(O248-O114)*$E$80+O115*$K$80+(O281-O115)*$F$80</f>
        <v/>
      </c>
      <c r="P290" s="20">
        <f>P112*$H$80+(P149-P112)*$C$80+P113*$I$80+(P215-P113)*$D$80+P114*$J$80+(P248-P114)*$E$80+P115*$K$80+(P281-P115)*$F$80</f>
        <v/>
      </c>
      <c r="Q290" s="20">
        <f>Q112*$H$80+(Q149-Q112)*$C$80+Q113*$I$80+(Q215-Q113)*$D$80+Q114*$J$80+(Q248-Q114)*$E$80+Q115*$K$80+(Q281-Q115)*$F$80</f>
        <v/>
      </c>
      <c r="R290" s="20">
        <f>R112*$H$80+(R149-R112)*$C$80+R113*$I$80+(R215-R113)*$D$80+R114*$J$80+(R248-R114)*$E$80+R115*$K$80+(R281-R115)*$F$80</f>
        <v/>
      </c>
      <c r="S290" s="20">
        <f>S112*$H$80+(S149-S112)*$C$80+S113*$I$80+(S215-S113)*$D$80+S114*$J$80+(S248-S114)*$E$80+S115*$K$80+(S281-S115)*$F$80</f>
        <v/>
      </c>
      <c r="T290" s="20">
        <f>T112*$H$80+(T149-T112)*$C$80+T113*$I$80+(T215-T113)*$D$80+T114*$J$80+(T248-T114)*$E$80+T115*$K$80+(T281-T115)*$F$80</f>
        <v/>
      </c>
      <c r="U290" s="20">
        <f>U112*$H$80+(U149-U112)*$C$80+U113*$I$80+(U215-U113)*$D$80+U114*$J$80+(U248-U114)*$E$80+U115*$K$80+(U281-U115)*$F$80</f>
        <v/>
      </c>
      <c r="V290" s="20">
        <f>V112*$H$80+(V149-V112)*$C$80+V113*$I$80+(V215-V113)*$D$80+V114*$J$80+(V248-V114)*$E$80+V115*$K$80+(V281-V115)*$F$80</f>
        <v/>
      </c>
      <c r="W290" s="20">
        <f>W112*$H$80+(W149-W112)*$C$80+W113*$I$80+(W215-W113)*$D$80+W114*$J$80+(W248-W114)*$E$80+W115*$K$80+(W281-W115)*$F$80</f>
        <v/>
      </c>
      <c r="X290" s="20">
        <f>X112*$H$80+(X149-X112)*$C$80+X113*$I$80+(X215-X113)*$D$80+X114*$J$80+(X248-X114)*$E$80+X115*$K$80+(X281-X115)*$F$80</f>
        <v/>
      </c>
      <c r="Y290" s="20">
        <f>Y112*$H$80+(Y149-Y112)*$C$80+Y113*$I$80+(Y215-Y113)*$D$80+Y114*$J$80+(Y248-Y114)*$E$80+Y115*$K$80+(Y281-Y115)*$F$80</f>
        <v/>
      </c>
      <c r="Z290" s="20">
        <f>Z112*$H$80+(Z149-Z112)*$C$80+Z113*$I$80+(Z215-Z113)*$D$80+Z114*$J$80+(Z248-Z114)*$E$80+Z115*$K$80+(Z281-Z115)*$F$80</f>
        <v/>
      </c>
      <c r="AA290" s="20">
        <f>AA112*$H$80+(AA149-AA112)*$C$80+AA113*$I$80+(AA215-AA113)*$D$80+AA114*$J$80+(AA248-AA114)*$E$80+AA115*$K$80+(AA281-AA115)*$F$80</f>
        <v/>
      </c>
      <c r="AB290" s="20">
        <f>AB112*$H$80+(AB149-AB112)*$C$80+AB113*$I$80+(AB215-AB113)*$D$80+AB114*$J$80+(AB248-AB114)*$E$80+AB115*$K$80+(AB281-AB115)*$F$80</f>
        <v/>
      </c>
      <c r="AC290" s="20">
        <f>AC112*$H$80+(AC149-AC112)*$C$80+AC113*$I$80+(AC215-AC113)*$D$80+AC114*$J$80+(AC248-AC114)*$E$80+AC115*$K$80+(AC281-AC115)*$F$80</f>
        <v/>
      </c>
      <c r="AD290" s="20">
        <f>AD112*$H$80+(AD149-AD112)*$C$80+AD113*$I$80+(AD215-AD113)*$D$80+AD114*$J$80+(AD248-AD114)*$E$80+AD115*$K$80+(AD281-AD115)*$F$80</f>
        <v/>
      </c>
      <c r="AE290" s="20">
        <f>AE112*$H$80+(AE149-AE112)*$C$80+AE113*$I$80+(AE215-AE113)*$D$80+AE114*$J$80+(AE248-AE114)*$E$80+AE115*$K$80+(AE281-AE115)*$F$80</f>
        <v/>
      </c>
      <c r="AF290" s="20">
        <f>AF112*$H$80+(AF149-AF112)*$C$80+AF113*$I$80+(AF215-AF113)*$D$80+AF114*$J$80+(AF248-AF114)*$E$80+AF115*$K$80+(AF281-AF115)*$F$80</f>
        <v/>
      </c>
    </row>
    <row r="291">
      <c r="A291" s="3" t="inlineStr">
        <is>
          <t>Assistenza e resi ordinari</t>
        </is>
      </c>
      <c r="B291" s="4" t="inlineStr">
        <is>
          <t>€</t>
        </is>
      </c>
      <c r="C291" s="20">
        <f>C112*$H$81+(C149-C112)*$C$81+C113*$I$81+(C215-C113)*$D$81+C114*$J$81+(C248-C114)*$E$81+C115*$K$81+(C281-C115)*$F$81</f>
        <v/>
      </c>
      <c r="D291" s="20">
        <f>D112*$H$81+(D149-D112)*$C$81+D113*$I$81+(D215-D113)*$D$81+D114*$J$81+(D248-D114)*$E$81+D115*$K$81+(D281-D115)*$F$81</f>
        <v/>
      </c>
      <c r="E291" s="20">
        <f>E112*$H$81+(E149-E112)*$C$81+E113*$I$81+(E215-E113)*$D$81+E114*$J$81+(E248-E114)*$E$81+E115*$K$81+(E281-E115)*$F$81</f>
        <v/>
      </c>
      <c r="F291" s="20">
        <f>F112*$H$81+(F149-F112)*$C$81+F113*$I$81+(F215-F113)*$D$81+F114*$J$81+(F248-F114)*$E$81+F115*$K$81+(F281-F115)*$F$81</f>
        <v/>
      </c>
      <c r="G291" s="20">
        <f>G112*$H$81+(G149-G112)*$C$81+G113*$I$81+(G215-G113)*$D$81+G114*$J$81+(G248-G114)*$E$81+G115*$K$81+(G281-G115)*$F$81</f>
        <v/>
      </c>
      <c r="H291" s="20">
        <f>H112*$H$81+(H149-H112)*$C$81+H113*$I$81+(H215-H113)*$D$81+H114*$J$81+(H248-H114)*$E$81+H115*$K$81+(H281-H115)*$F$81</f>
        <v/>
      </c>
      <c r="I291" s="20">
        <f>I112*$H$81+(I149-I112)*$C$81+I113*$I$81+(I215-I113)*$D$81+I114*$J$81+(I248-I114)*$E$81+I115*$K$81+(I281-I115)*$F$81</f>
        <v/>
      </c>
      <c r="J291" s="20">
        <f>J112*$H$81+(J149-J112)*$C$81+J113*$I$81+(J215-J113)*$D$81+J114*$J$81+(J248-J114)*$E$81+J115*$K$81+(J281-J115)*$F$81</f>
        <v/>
      </c>
      <c r="K291" s="20">
        <f>K112*$H$81+(K149-K112)*$C$81+K113*$I$81+(K215-K113)*$D$81+K114*$J$81+(K248-K114)*$E$81+K115*$K$81+(K281-K115)*$F$81</f>
        <v/>
      </c>
      <c r="L291" s="20">
        <f>L112*$H$81+(L149-L112)*$C$81+L113*$I$81+(L215-L113)*$D$81+L114*$J$81+(L248-L114)*$E$81+L115*$K$81+(L281-L115)*$F$81</f>
        <v/>
      </c>
      <c r="M291" s="20">
        <f>M112*$H$81+(M149-M112)*$C$81+M113*$I$81+(M215-M113)*$D$81+M114*$J$81+(M248-M114)*$E$81+M115*$K$81+(M281-M115)*$F$81</f>
        <v/>
      </c>
      <c r="N291" s="20">
        <f>N112*$H$81+(N149-N112)*$C$81+N113*$I$81+(N215-N113)*$D$81+N114*$J$81+(N248-N114)*$E$81+N115*$K$81+(N281-N115)*$F$81</f>
        <v/>
      </c>
      <c r="O291" s="20">
        <f>O112*$H$81+(O149-O112)*$C$81+O113*$I$81+(O215-O113)*$D$81+O114*$J$81+(O248-O114)*$E$81+O115*$K$81+(O281-O115)*$F$81</f>
        <v/>
      </c>
      <c r="P291" s="20">
        <f>P112*$H$81+(P149-P112)*$C$81+P113*$I$81+(P215-P113)*$D$81+P114*$J$81+(P248-P114)*$E$81+P115*$K$81+(P281-P115)*$F$81</f>
        <v/>
      </c>
      <c r="Q291" s="20">
        <f>Q112*$H$81+(Q149-Q112)*$C$81+Q113*$I$81+(Q215-Q113)*$D$81+Q114*$J$81+(Q248-Q114)*$E$81+Q115*$K$81+(Q281-Q115)*$F$81</f>
        <v/>
      </c>
      <c r="R291" s="20">
        <f>R112*$H$81+(R149-R112)*$C$81+R113*$I$81+(R215-R113)*$D$81+R114*$J$81+(R248-R114)*$E$81+R115*$K$81+(R281-R115)*$F$81</f>
        <v/>
      </c>
      <c r="S291" s="20">
        <f>S112*$H$81+(S149-S112)*$C$81+S113*$I$81+(S215-S113)*$D$81+S114*$J$81+(S248-S114)*$E$81+S115*$K$81+(S281-S115)*$F$81</f>
        <v/>
      </c>
      <c r="T291" s="20">
        <f>T112*$H$81+(T149-T112)*$C$81+T113*$I$81+(T215-T113)*$D$81+T114*$J$81+(T248-T114)*$E$81+T115*$K$81+(T281-T115)*$F$81</f>
        <v/>
      </c>
      <c r="U291" s="20">
        <f>U112*$H$81+(U149-U112)*$C$81+U113*$I$81+(U215-U113)*$D$81+U114*$J$81+(U248-U114)*$E$81+U115*$K$81+(U281-U115)*$F$81</f>
        <v/>
      </c>
      <c r="V291" s="20">
        <f>V112*$H$81+(V149-V112)*$C$81+V113*$I$81+(V215-V113)*$D$81+V114*$J$81+(V248-V114)*$E$81+V115*$K$81+(V281-V115)*$F$81</f>
        <v/>
      </c>
      <c r="W291" s="20">
        <f>W112*$H$81+(W149-W112)*$C$81+W113*$I$81+(W215-W113)*$D$81+W114*$J$81+(W248-W114)*$E$81+W115*$K$81+(W281-W115)*$F$81</f>
        <v/>
      </c>
      <c r="X291" s="20">
        <f>X112*$H$81+(X149-X112)*$C$81+X113*$I$81+(X215-X113)*$D$81+X114*$J$81+(X248-X114)*$E$81+X115*$K$81+(X281-X115)*$F$81</f>
        <v/>
      </c>
      <c r="Y291" s="20">
        <f>Y112*$H$81+(Y149-Y112)*$C$81+Y113*$I$81+(Y215-Y113)*$D$81+Y114*$J$81+(Y248-Y114)*$E$81+Y115*$K$81+(Y281-Y115)*$F$81</f>
        <v/>
      </c>
      <c r="Z291" s="20">
        <f>Z112*$H$81+(Z149-Z112)*$C$81+Z113*$I$81+(Z215-Z113)*$D$81+Z114*$J$81+(Z248-Z114)*$E$81+Z115*$K$81+(Z281-Z115)*$F$81</f>
        <v/>
      </c>
      <c r="AA291" s="20">
        <f>AA112*$H$81+(AA149-AA112)*$C$81+AA113*$I$81+(AA215-AA113)*$D$81+AA114*$J$81+(AA248-AA114)*$E$81+AA115*$K$81+(AA281-AA115)*$F$81</f>
        <v/>
      </c>
      <c r="AB291" s="20">
        <f>AB112*$H$81+(AB149-AB112)*$C$81+AB113*$I$81+(AB215-AB113)*$D$81+AB114*$J$81+(AB248-AB114)*$E$81+AB115*$K$81+(AB281-AB115)*$F$81</f>
        <v/>
      </c>
      <c r="AC291" s="20">
        <f>AC112*$H$81+(AC149-AC112)*$C$81+AC113*$I$81+(AC215-AC113)*$D$81+AC114*$J$81+(AC248-AC114)*$E$81+AC115*$K$81+(AC281-AC115)*$F$81</f>
        <v/>
      </c>
      <c r="AD291" s="20">
        <f>AD112*$H$81+(AD149-AD112)*$C$81+AD113*$I$81+(AD215-AD113)*$D$81+AD114*$J$81+(AD248-AD114)*$E$81+AD115*$K$81+(AD281-AD115)*$F$81</f>
        <v/>
      </c>
      <c r="AE291" s="20">
        <f>AE112*$H$81+(AE149-AE112)*$C$81+AE113*$I$81+(AE215-AE113)*$D$81+AE114*$J$81+(AE248-AE114)*$E$81+AE115*$K$81+(AE281-AE115)*$F$81</f>
        <v/>
      </c>
      <c r="AF291" s="20">
        <f>AF112*$H$81+(AF149-AF112)*$C$81+AF113*$I$81+(AF215-AF113)*$D$81+AF114*$J$81+(AF248-AF114)*$E$81+AF115*$K$81+(AF281-AF115)*$F$81</f>
        <v/>
      </c>
    </row>
    <row r="292">
      <c r="A292" s="3" t="inlineStr">
        <is>
          <t>Costo del prodotto venduto (competenza)</t>
        </is>
      </c>
      <c r="B292" s="4" t="inlineStr">
        <is>
          <t>€</t>
        </is>
      </c>
      <c r="C292" s="20">
        <f>C112*$H$78+(C149-C112)*$C$78+C113*$I$78+(C215-C113)*$D$78+C114*$J$78+(C248-C114)*$E$78+C115*$K$78+(C281-C115)*$F$78</f>
        <v/>
      </c>
      <c r="D292" s="20">
        <f>D112*$H$78+(D149-D112)*$C$78+D113*$I$78+(D215-D113)*$D$78+D114*$J$78+(D248-D114)*$E$78+D115*$K$78+(D281-D115)*$F$78</f>
        <v/>
      </c>
      <c r="E292" s="20">
        <f>E112*$H$78+(E149-E112)*$C$78+E113*$I$78+(E215-E113)*$D$78+E114*$J$78+(E248-E114)*$E$78+E115*$K$78+(E281-E115)*$F$78</f>
        <v/>
      </c>
      <c r="F292" s="20">
        <f>F112*$H$78+(F149-F112)*$C$78+F113*$I$78+(F215-F113)*$D$78+F114*$J$78+(F248-F114)*$E$78+F115*$K$78+(F281-F115)*$F$78</f>
        <v/>
      </c>
      <c r="G292" s="20">
        <f>G112*$H$78+(G149-G112)*$C$78+G113*$I$78+(G215-G113)*$D$78+G114*$J$78+(G248-G114)*$E$78+G115*$K$78+(G281-G115)*$F$78</f>
        <v/>
      </c>
      <c r="H292" s="20">
        <f>H112*$H$78+(H149-H112)*$C$78+H113*$I$78+(H215-H113)*$D$78+H114*$J$78+(H248-H114)*$E$78+H115*$K$78+(H281-H115)*$F$78</f>
        <v/>
      </c>
      <c r="I292" s="20">
        <f>I112*$H$78+(I149-I112)*$C$78+I113*$I$78+(I215-I113)*$D$78+I114*$J$78+(I248-I114)*$E$78+I115*$K$78+(I281-I115)*$F$78</f>
        <v/>
      </c>
      <c r="J292" s="20">
        <f>J112*$H$78+(J149-J112)*$C$78+J113*$I$78+(J215-J113)*$D$78+J114*$J$78+(J248-J114)*$E$78+J115*$K$78+(J281-J115)*$F$78</f>
        <v/>
      </c>
      <c r="K292" s="20">
        <f>K112*$H$78+(K149-K112)*$C$78+K113*$I$78+(K215-K113)*$D$78+K114*$J$78+(K248-K114)*$E$78+K115*$K$78+(K281-K115)*$F$78</f>
        <v/>
      </c>
      <c r="L292" s="20">
        <f>L112*$H$78+(L149-L112)*$C$78+L113*$I$78+(L215-L113)*$D$78+L114*$J$78+(L248-L114)*$E$78+L115*$K$78+(L281-L115)*$F$78</f>
        <v/>
      </c>
      <c r="M292" s="20">
        <f>M112*$H$78+(M149-M112)*$C$78+M113*$I$78+(M215-M113)*$D$78+M114*$J$78+(M248-M114)*$E$78+M115*$K$78+(M281-M115)*$F$78</f>
        <v/>
      </c>
      <c r="N292" s="20">
        <f>N112*$H$78+(N149-N112)*$C$78+N113*$I$78+(N215-N113)*$D$78+N114*$J$78+(N248-N114)*$E$78+N115*$K$78+(N281-N115)*$F$78</f>
        <v/>
      </c>
      <c r="O292" s="20">
        <f>O112*$H$78+(O149-O112)*$C$78+O113*$I$78+(O215-O113)*$D$78+O114*$J$78+(O248-O114)*$E$78+O115*$K$78+(O281-O115)*$F$78</f>
        <v/>
      </c>
      <c r="P292" s="20">
        <f>P112*$H$78+(P149-P112)*$C$78+P113*$I$78+(P215-P113)*$D$78+P114*$J$78+(P248-P114)*$E$78+P115*$K$78+(P281-P115)*$F$78</f>
        <v/>
      </c>
      <c r="Q292" s="20">
        <f>Q112*$H$78+(Q149-Q112)*$C$78+Q113*$I$78+(Q215-Q113)*$D$78+Q114*$J$78+(Q248-Q114)*$E$78+Q115*$K$78+(Q281-Q115)*$F$78</f>
        <v/>
      </c>
      <c r="R292" s="20">
        <f>R112*$H$78+(R149-R112)*$C$78+R113*$I$78+(R215-R113)*$D$78+R114*$J$78+(R248-R114)*$E$78+R115*$K$78+(R281-R115)*$F$78</f>
        <v/>
      </c>
      <c r="S292" s="20">
        <f>S112*$H$78+(S149-S112)*$C$78+S113*$I$78+(S215-S113)*$D$78+S114*$J$78+(S248-S114)*$E$78+S115*$K$78+(S281-S115)*$F$78</f>
        <v/>
      </c>
      <c r="T292" s="20">
        <f>T112*$H$78+(T149-T112)*$C$78+T113*$I$78+(T215-T113)*$D$78+T114*$J$78+(T248-T114)*$E$78+T115*$K$78+(T281-T115)*$F$78</f>
        <v/>
      </c>
      <c r="U292" s="20">
        <f>U112*$H$78+(U149-U112)*$C$78+U113*$I$78+(U215-U113)*$D$78+U114*$J$78+(U248-U114)*$E$78+U115*$K$78+(U281-U115)*$F$78</f>
        <v/>
      </c>
      <c r="V292" s="20">
        <f>V112*$H$78+(V149-V112)*$C$78+V113*$I$78+(V215-V113)*$D$78+V114*$J$78+(V248-V114)*$E$78+V115*$K$78+(V281-V115)*$F$78</f>
        <v/>
      </c>
      <c r="W292" s="20">
        <f>W112*$H$78+(W149-W112)*$C$78+W113*$I$78+(W215-W113)*$D$78+W114*$J$78+(W248-W114)*$E$78+W115*$K$78+(W281-W115)*$F$78</f>
        <v/>
      </c>
      <c r="X292" s="20">
        <f>X112*$H$78+(X149-X112)*$C$78+X113*$I$78+(X215-X113)*$D$78+X114*$J$78+(X248-X114)*$E$78+X115*$K$78+(X281-X115)*$F$78</f>
        <v/>
      </c>
      <c r="Y292" s="20">
        <f>Y112*$H$78+(Y149-Y112)*$C$78+Y113*$I$78+(Y215-Y113)*$D$78+Y114*$J$78+(Y248-Y114)*$E$78+Y115*$K$78+(Y281-Y115)*$F$78</f>
        <v/>
      </c>
      <c r="Z292" s="20">
        <f>Z112*$H$78+(Z149-Z112)*$C$78+Z113*$I$78+(Z215-Z113)*$D$78+Z114*$J$78+(Z248-Z114)*$E$78+Z115*$K$78+(Z281-Z115)*$F$78</f>
        <v/>
      </c>
      <c r="AA292" s="20">
        <f>AA112*$H$78+(AA149-AA112)*$C$78+AA113*$I$78+(AA215-AA113)*$D$78+AA114*$J$78+(AA248-AA114)*$E$78+AA115*$K$78+(AA281-AA115)*$F$78</f>
        <v/>
      </c>
      <c r="AB292" s="20">
        <f>AB112*$H$78+(AB149-AB112)*$C$78+AB113*$I$78+(AB215-AB113)*$D$78+AB114*$J$78+(AB248-AB114)*$E$78+AB115*$K$78+(AB281-AB115)*$F$78</f>
        <v/>
      </c>
      <c r="AC292" s="20">
        <f>AC112*$H$78+(AC149-AC112)*$C$78+AC113*$I$78+(AC215-AC113)*$D$78+AC114*$J$78+(AC248-AC114)*$E$78+AC115*$K$78+(AC281-AC115)*$F$78</f>
        <v/>
      </c>
      <c r="AD292" s="20">
        <f>AD112*$H$78+(AD149-AD112)*$C$78+AD113*$I$78+(AD215-AD113)*$D$78+AD114*$J$78+(AD248-AD114)*$E$78+AD115*$K$78+(AD281-AD115)*$F$78</f>
        <v/>
      </c>
      <c r="AE292" s="20">
        <f>AE112*$H$78+(AE149-AE112)*$C$78+AE113*$I$78+(AE215-AE113)*$D$78+AE114*$J$78+(AE248-AE114)*$E$78+AE115*$K$78+(AE281-AE115)*$F$78</f>
        <v/>
      </c>
      <c r="AF292" s="20">
        <f>AF112*$H$78+(AF149-AF112)*$C$78+AF113*$I$78+(AF215-AF113)*$D$78+AF114*$J$78+(AF248-AF114)*$E$78+AF115*$K$78+(AF281-AF115)*$F$78</f>
        <v/>
      </c>
    </row>
    <row r="293">
      <c r="A293" s="3" t="inlineStr">
        <is>
          <t>Flaconi spediti con gli ordini</t>
        </is>
      </c>
      <c r="C293" s="24">
        <f>C149*$C$49+C215*$C$50+C248*$C$51+C281*$C$52</f>
        <v/>
      </c>
      <c r="D293" s="24">
        <f>D149*$C$49+D215*$C$50+D248*$C$51+D281*$C$52</f>
        <v/>
      </c>
      <c r="E293" s="24">
        <f>E149*$C$49+E215*$C$50+E248*$C$51+E281*$C$52</f>
        <v/>
      </c>
      <c r="F293" s="24">
        <f>F149*$C$49+F215*$C$50+F248*$C$51+F281*$C$52</f>
        <v/>
      </c>
      <c r="G293" s="24">
        <f>G149*$C$49+G215*$C$50+G248*$C$51+G281*$C$52</f>
        <v/>
      </c>
      <c r="H293" s="24">
        <f>H149*$C$49+H215*$C$50+H248*$C$51+H281*$C$52</f>
        <v/>
      </c>
      <c r="I293" s="24">
        <f>I149*$C$49+I215*$C$50+I248*$C$51+I281*$C$52</f>
        <v/>
      </c>
      <c r="J293" s="24">
        <f>J149*$C$49+J215*$C$50+J248*$C$51+J281*$C$52</f>
        <v/>
      </c>
      <c r="K293" s="24">
        <f>K149*$C$49+K215*$C$50+K248*$C$51+K281*$C$52</f>
        <v/>
      </c>
      <c r="L293" s="24">
        <f>L149*$C$49+L215*$C$50+L248*$C$51+L281*$C$52</f>
        <v/>
      </c>
      <c r="M293" s="24">
        <f>M149*$C$49+M215*$C$50+M248*$C$51+M281*$C$52</f>
        <v/>
      </c>
      <c r="N293" s="24">
        <f>N149*$C$49+N215*$C$50+N248*$C$51+N281*$C$52</f>
        <v/>
      </c>
      <c r="O293" s="24">
        <f>O149*$C$49+O215*$C$50+O248*$C$51+O281*$C$52</f>
        <v/>
      </c>
      <c r="P293" s="24">
        <f>P149*$C$49+P215*$C$50+P248*$C$51+P281*$C$52</f>
        <v/>
      </c>
      <c r="Q293" s="24">
        <f>Q149*$C$49+Q215*$C$50+Q248*$C$51+Q281*$C$52</f>
        <v/>
      </c>
      <c r="R293" s="24">
        <f>R149*$C$49+R215*$C$50+R248*$C$51+R281*$C$52</f>
        <v/>
      </c>
      <c r="S293" s="24">
        <f>S149*$C$49+S215*$C$50+S248*$C$51+S281*$C$52</f>
        <v/>
      </c>
      <c r="T293" s="24">
        <f>T149*$C$49+T215*$C$50+T248*$C$51+T281*$C$52</f>
        <v/>
      </c>
      <c r="U293" s="24">
        <f>U149*$C$49+U215*$C$50+U248*$C$51+U281*$C$52</f>
        <v/>
      </c>
      <c r="V293" s="24">
        <f>V149*$C$49+V215*$C$50+V248*$C$51+V281*$C$52</f>
        <v/>
      </c>
      <c r="W293" s="24">
        <f>W149*$C$49+W215*$C$50+W248*$C$51+W281*$C$52</f>
        <v/>
      </c>
      <c r="X293" s="24">
        <f>X149*$C$49+X215*$C$50+X248*$C$51+X281*$C$52</f>
        <v/>
      </c>
      <c r="Y293" s="24">
        <f>Y149*$C$49+Y215*$C$50+Y248*$C$51+Y281*$C$52</f>
        <v/>
      </c>
      <c r="Z293" s="24">
        <f>Z149*$C$49+Z215*$C$50+Z248*$C$51+Z281*$C$52</f>
        <v/>
      </c>
      <c r="AA293" s="24">
        <f>AA149*$C$49+AA215*$C$50+AA248*$C$51+AA281*$C$52</f>
        <v/>
      </c>
      <c r="AB293" s="24">
        <f>AB149*$C$49+AB215*$C$50+AB248*$C$51+AB281*$C$52</f>
        <v/>
      </c>
      <c r="AC293" s="24">
        <f>AC149*$C$49+AC215*$C$50+AC248*$C$51+AC281*$C$52</f>
        <v/>
      </c>
      <c r="AD293" s="24">
        <f>AD149*$C$49+AD215*$C$50+AD248*$C$51+AD281*$C$52</f>
        <v/>
      </c>
      <c r="AE293" s="24">
        <f>AE149*$C$49+AE215*$C$50+AE248*$C$51+AE281*$C$52</f>
        <v/>
      </c>
      <c r="AF293" s="24">
        <f>AF149*$C$49+AF215*$C$50+AF248*$C$51+AF281*$C$52</f>
        <v/>
      </c>
    </row>
    <row r="294">
      <c r="A294" s="3" t="inlineStr">
        <is>
          <t>Campioni</t>
        </is>
      </c>
      <c r="C294" s="24">
        <f>IF(C106=0,$C$67,IF(C106&gt;0,$C$68,0))</f>
        <v/>
      </c>
      <c r="D294" s="24">
        <f>IF(D106=0,$C$67,IF(D106&gt;0,$C$68,0))</f>
        <v/>
      </c>
      <c r="E294" s="24">
        <f>IF(E106=0,$C$67,IF(E106&gt;0,$C$68,0))</f>
        <v/>
      </c>
      <c r="F294" s="24">
        <f>IF(F106=0,$C$67,IF(F106&gt;0,$C$68,0))</f>
        <v/>
      </c>
      <c r="G294" s="24">
        <f>IF(G106=0,$C$67,IF(G106&gt;0,$C$68,0))</f>
        <v/>
      </c>
      <c r="H294" s="24">
        <f>IF(H106=0,$C$67,IF(H106&gt;0,$C$68,0))</f>
        <v/>
      </c>
      <c r="I294" s="24">
        <f>IF(I106=0,$C$67,IF(I106&gt;0,$C$68,0))</f>
        <v/>
      </c>
      <c r="J294" s="24">
        <f>IF(J106=0,$C$67,IF(J106&gt;0,$C$68,0))</f>
        <v/>
      </c>
      <c r="K294" s="24">
        <f>IF(K106=0,$C$67,IF(K106&gt;0,$C$68,0))</f>
        <v/>
      </c>
      <c r="L294" s="24">
        <f>IF(L106=0,$C$67,IF(L106&gt;0,$C$68,0))</f>
        <v/>
      </c>
      <c r="M294" s="24">
        <f>IF(M106=0,$C$67,IF(M106&gt;0,$C$68,0))</f>
        <v/>
      </c>
      <c r="N294" s="24">
        <f>IF(N106=0,$C$67,IF(N106&gt;0,$C$68,0))</f>
        <v/>
      </c>
      <c r="O294" s="24">
        <f>IF(O106=0,$C$67,IF(O106&gt;0,$C$68,0))</f>
        <v/>
      </c>
      <c r="P294" s="24">
        <f>IF(P106=0,$C$67,IF(P106&gt;0,$C$68,0))</f>
        <v/>
      </c>
      <c r="Q294" s="24">
        <f>IF(Q106=0,$C$67,IF(Q106&gt;0,$C$68,0))</f>
        <v/>
      </c>
      <c r="R294" s="24">
        <f>IF(R106=0,$C$67,IF(R106&gt;0,$C$68,0))</f>
        <v/>
      </c>
      <c r="S294" s="24">
        <f>IF(S106=0,$C$67,IF(S106&gt;0,$C$68,0))</f>
        <v/>
      </c>
      <c r="T294" s="24">
        <f>IF(T106=0,$C$67,IF(T106&gt;0,$C$68,0))</f>
        <v/>
      </c>
      <c r="U294" s="24">
        <f>IF(U106=0,$C$67,IF(U106&gt;0,$C$68,0))</f>
        <v/>
      </c>
      <c r="V294" s="24">
        <f>IF(V106=0,$C$67,IF(V106&gt;0,$C$68,0))</f>
        <v/>
      </c>
      <c r="W294" s="24">
        <f>IF(W106=0,$C$67,IF(W106&gt;0,$C$68,0))</f>
        <v/>
      </c>
      <c r="X294" s="24">
        <f>IF(X106=0,$C$67,IF(X106&gt;0,$C$68,0))</f>
        <v/>
      </c>
      <c r="Y294" s="24">
        <f>IF(Y106=0,$C$67,IF(Y106&gt;0,$C$68,0))</f>
        <v/>
      </c>
      <c r="Z294" s="24">
        <f>IF(Z106=0,$C$67,IF(Z106&gt;0,$C$68,0))</f>
        <v/>
      </c>
      <c r="AA294" s="24">
        <f>IF(AA106=0,$C$67,IF(AA106&gt;0,$C$68,0))</f>
        <v/>
      </c>
      <c r="AB294" s="24">
        <f>IF(AB106=0,$C$67,IF(AB106&gt;0,$C$68,0))</f>
        <v/>
      </c>
      <c r="AC294" s="24">
        <f>IF(AC106=0,$C$67,IF(AC106&gt;0,$C$68,0))</f>
        <v/>
      </c>
      <c r="AD294" s="24">
        <f>IF(AD106=0,$C$67,IF(AD106&gt;0,$C$68,0))</f>
        <v/>
      </c>
      <c r="AE294" s="24">
        <f>IF(AE106=0,$C$67,IF(AE106&gt;0,$C$68,0))</f>
        <v/>
      </c>
      <c r="AF294" s="24">
        <f>IF(AF106=0,$C$67,IF(AF106&gt;0,$C$68,0))</f>
        <v/>
      </c>
    </row>
    <row r="295">
      <c r="A295" s="3" t="inlineStr">
        <is>
          <t>Sostituzioni</t>
        </is>
      </c>
      <c r="C295" s="24">
        <f>C293*$C$69</f>
        <v/>
      </c>
      <c r="D295" s="24">
        <f>D293*$C$69</f>
        <v/>
      </c>
      <c r="E295" s="24">
        <f>E293*$C$69</f>
        <v/>
      </c>
      <c r="F295" s="24">
        <f>F293*$C$69</f>
        <v/>
      </c>
      <c r="G295" s="24">
        <f>G293*$C$69</f>
        <v/>
      </c>
      <c r="H295" s="24">
        <f>H293*$C$69</f>
        <v/>
      </c>
      <c r="I295" s="24">
        <f>I293*$C$69</f>
        <v/>
      </c>
      <c r="J295" s="24">
        <f>J293*$C$69</f>
        <v/>
      </c>
      <c r="K295" s="24">
        <f>K293*$C$69</f>
        <v/>
      </c>
      <c r="L295" s="24">
        <f>L293*$C$69</f>
        <v/>
      </c>
      <c r="M295" s="24">
        <f>M293*$C$69</f>
        <v/>
      </c>
      <c r="N295" s="24">
        <f>N293*$C$69</f>
        <v/>
      </c>
      <c r="O295" s="24">
        <f>O293*$C$69</f>
        <v/>
      </c>
      <c r="P295" s="24">
        <f>P293*$C$69</f>
        <v/>
      </c>
      <c r="Q295" s="24">
        <f>Q293*$C$69</f>
        <v/>
      </c>
      <c r="R295" s="24">
        <f>R293*$C$69</f>
        <v/>
      </c>
      <c r="S295" s="24">
        <f>S293*$C$69</f>
        <v/>
      </c>
      <c r="T295" s="24">
        <f>T293*$C$69</f>
        <v/>
      </c>
      <c r="U295" s="24">
        <f>U293*$C$69</f>
        <v/>
      </c>
      <c r="V295" s="24">
        <f>V293*$C$69</f>
        <v/>
      </c>
      <c r="W295" s="24">
        <f>W293*$C$69</f>
        <v/>
      </c>
      <c r="X295" s="24">
        <f>X293*$C$69</f>
        <v/>
      </c>
      <c r="Y295" s="24">
        <f>Y293*$C$69</f>
        <v/>
      </c>
      <c r="Z295" s="24">
        <f>Z293*$C$69</f>
        <v/>
      </c>
      <c r="AA295" s="24">
        <f>AA293*$C$69</f>
        <v/>
      </c>
      <c r="AB295" s="24">
        <f>AB293*$C$69</f>
        <v/>
      </c>
      <c r="AC295" s="24">
        <f>AC293*$C$69</f>
        <v/>
      </c>
      <c r="AD295" s="24">
        <f>AD293*$C$69</f>
        <v/>
      </c>
      <c r="AE295" s="24">
        <f>AE293*$C$69</f>
        <v/>
      </c>
      <c r="AF295" s="24">
        <f>AF293*$C$69</f>
        <v/>
      </c>
    </row>
    <row r="297">
      <c r="A297" s="10" t="inlineStr">
        <is>
          <t>Costi di progetto nello scenario (mese effettivo)</t>
        </is>
      </c>
      <c r="C297" s="2" t="inlineStr">
        <is>
          <t>Mese</t>
        </is>
      </c>
      <c r="D297" s="2" t="inlineStr">
        <is>
          <t>Importo</t>
        </is>
      </c>
      <c r="E297" s="2" t="inlineStr">
        <is>
          <t>IVA</t>
        </is>
      </c>
    </row>
    <row r="298">
      <c r="A298" s="21">
        <f>Progetto!A5</f>
        <v/>
      </c>
      <c r="C298" s="21">
        <f>Progetto!B5+IF(Progetto!C5="sì",$C$6-16,0)</f>
        <v/>
      </c>
      <c r="D298" s="6">
        <f>Progetto!D5</f>
        <v/>
      </c>
      <c r="E298" s="6">
        <f>Progetto!D5*Progetto!E5*$C$44</f>
        <v/>
      </c>
    </row>
    <row r="299">
      <c r="A299" s="21">
        <f>Progetto!A6</f>
        <v/>
      </c>
      <c r="C299" s="21">
        <f>Progetto!B6+IF(Progetto!C6="sì",$C$6-16,0)</f>
        <v/>
      </c>
      <c r="D299" s="6">
        <f>Progetto!D6</f>
        <v/>
      </c>
      <c r="E299" s="6">
        <f>Progetto!D6*Progetto!E6*$C$44</f>
        <v/>
      </c>
    </row>
    <row r="300">
      <c r="A300" s="21">
        <f>Progetto!A7</f>
        <v/>
      </c>
      <c r="C300" s="21">
        <f>Progetto!B7+IF(Progetto!C7="sì",$C$6-16,0)</f>
        <v/>
      </c>
      <c r="D300" s="6">
        <f>Progetto!D7</f>
        <v/>
      </c>
      <c r="E300" s="6">
        <f>Progetto!D7*Progetto!E7*$C$44</f>
        <v/>
      </c>
    </row>
    <row r="301">
      <c r="A301" s="21">
        <f>Progetto!A8</f>
        <v/>
      </c>
      <c r="C301" s="21">
        <f>Progetto!B8+IF(Progetto!C8="sì",$C$6-16,0)</f>
        <v/>
      </c>
      <c r="D301" s="6">
        <f>Progetto!D8</f>
        <v/>
      </c>
      <c r="E301" s="6">
        <f>Progetto!D8*Progetto!E8*$C$44</f>
        <v/>
      </c>
    </row>
    <row r="302">
      <c r="A302" s="21">
        <f>Progetto!A9</f>
        <v/>
      </c>
      <c r="C302" s="21">
        <f>Progetto!B9+IF(Progetto!C9="sì",$C$6-16,0)</f>
        <v/>
      </c>
      <c r="D302" s="6">
        <f>Progetto!D9</f>
        <v/>
      </c>
      <c r="E302" s="6">
        <f>Progetto!D9*Progetto!E9*$C$44</f>
        <v/>
      </c>
    </row>
    <row r="303">
      <c r="A303" s="21">
        <f>Progetto!A10</f>
        <v/>
      </c>
      <c r="C303" s="21">
        <f>Progetto!B10+IF(Progetto!C10="sì",$C$6-16,0)</f>
        <v/>
      </c>
      <c r="D303" s="6">
        <f>Progetto!D10</f>
        <v/>
      </c>
      <c r="E303" s="6">
        <f>Progetto!D10*Progetto!E10*$C$44</f>
        <v/>
      </c>
    </row>
    <row r="304">
      <c r="A304" s="21">
        <f>Progetto!A11</f>
        <v/>
      </c>
      <c r="C304" s="21">
        <f>Progetto!B11+IF(Progetto!C11="sì",$C$6-16,0)</f>
        <v/>
      </c>
      <c r="D304" s="6">
        <f>Progetto!D11</f>
        <v/>
      </c>
      <c r="E304" s="6">
        <f>Progetto!D11*Progetto!E11*$C$44</f>
        <v/>
      </c>
    </row>
    <row r="305">
      <c r="A305" s="21">
        <f>Progetto!A12</f>
        <v/>
      </c>
      <c r="C305" s="21">
        <f>Progetto!B12+IF(Progetto!C12="sì",$C$6-16,0)</f>
        <v/>
      </c>
      <c r="D305" s="6">
        <f>Progetto!D12</f>
        <v/>
      </c>
      <c r="E305" s="6">
        <f>Progetto!D12*Progetto!E12*$C$44</f>
        <v/>
      </c>
    </row>
    <row r="306">
      <c r="A306" s="21">
        <f>Progetto!A13</f>
        <v/>
      </c>
      <c r="C306" s="21">
        <f>Progetto!B13+IF(Progetto!C13="sì",$C$6-16,0)</f>
        <v/>
      </c>
      <c r="D306" s="6">
        <f>Progetto!D13</f>
        <v/>
      </c>
      <c r="E306" s="6">
        <f>Progetto!D13*Progetto!E13*$C$44</f>
        <v/>
      </c>
    </row>
    <row r="307">
      <c r="A307" s="21">
        <f>Progetto!A14</f>
        <v/>
      </c>
      <c r="C307" s="21">
        <f>Progetto!B14+IF(Progetto!C14="sì",$C$6-16,0)</f>
        <v/>
      </c>
      <c r="D307" s="6">
        <f>Progetto!D14</f>
        <v/>
      </c>
      <c r="E307" s="6">
        <f>Progetto!D14*Progetto!E14*$C$44</f>
        <v/>
      </c>
    </row>
    <row r="308">
      <c r="A308" s="21">
        <f>Progetto!A15</f>
        <v/>
      </c>
      <c r="C308" s="21">
        <f>Progetto!B15+IF(Progetto!C15="sì",$C$6-16,0)</f>
        <v/>
      </c>
      <c r="D308" s="6">
        <f>Progetto!D15</f>
        <v/>
      </c>
      <c r="E308" s="6">
        <f>Progetto!D15*Progetto!E15*$C$44</f>
        <v/>
      </c>
    </row>
    <row r="309">
      <c r="A309" s="21">
        <f>Progetto!A16</f>
        <v/>
      </c>
      <c r="C309" s="21">
        <f>Progetto!B16+IF(Progetto!C16="sì",$C$6-16,0)</f>
        <v/>
      </c>
      <c r="D309" s="6">
        <f>Progetto!D16</f>
        <v/>
      </c>
      <c r="E309" s="6">
        <f>Progetto!D16*Progetto!E16*$C$44</f>
        <v/>
      </c>
    </row>
    <row r="310">
      <c r="A310" s="21">
        <f>Progetto!A17</f>
        <v/>
      </c>
      <c r="C310" s="21">
        <f>Progetto!B17+IF(Progetto!C17="sì",$C$6-16,0)</f>
        <v/>
      </c>
      <c r="D310" s="6">
        <f>Progetto!D17</f>
        <v/>
      </c>
      <c r="E310" s="6">
        <f>Progetto!D17*Progetto!E17*$C$44</f>
        <v/>
      </c>
    </row>
    <row r="311">
      <c r="A311" s="21">
        <f>Progetto!A18</f>
        <v/>
      </c>
      <c r="C311" s="21">
        <f>Progetto!B18+IF(Progetto!C18="sì",$C$6-16,0)</f>
        <v/>
      </c>
      <c r="D311" s="6">
        <f>Progetto!D18</f>
        <v/>
      </c>
      <c r="E311" s="6">
        <f>Progetto!D18*Progetto!E18*$C$44</f>
        <v/>
      </c>
    </row>
    <row r="312">
      <c r="A312" s="21">
        <f>Progetto!A19</f>
        <v/>
      </c>
      <c r="C312" s="21">
        <f>Progetto!B19+IF(Progetto!C19="sì",$C$6-16,0)</f>
        <v/>
      </c>
      <c r="D312" s="6">
        <f>Progetto!D19</f>
        <v/>
      </c>
      <c r="E312" s="6">
        <f>Progetto!D19*Progetto!E19*$C$44</f>
        <v/>
      </c>
    </row>
    <row r="313">
      <c r="A313" s="21">
        <f>Progetto!A20</f>
        <v/>
      </c>
      <c r="C313" s="21">
        <f>Progetto!B20+IF(Progetto!C20="sì",$C$6-16,0)</f>
        <v/>
      </c>
      <c r="D313" s="6">
        <f>Progetto!D20</f>
        <v/>
      </c>
      <c r="E313" s="6">
        <f>Progetto!D20*Progetto!E20*$C$44</f>
        <v/>
      </c>
    </row>
    <row r="314">
      <c r="A314" s="21">
        <f>Progetto!A21</f>
        <v/>
      </c>
      <c r="C314" s="21">
        <f>Progetto!B21+IF(Progetto!C21="sì",$C$6-16,0)</f>
        <v/>
      </c>
      <c r="D314" s="6">
        <f>Progetto!D21</f>
        <v/>
      </c>
      <c r="E314" s="6">
        <f>Progetto!D21*Progetto!E21*$C$44</f>
        <v/>
      </c>
    </row>
    <row r="315">
      <c r="A315" s="21">
        <f>Progetto!A22</f>
        <v/>
      </c>
      <c r="C315" s="21">
        <f>Progetto!B22+IF(Progetto!C22="sì",$C$6-16,0)</f>
        <v/>
      </c>
      <c r="D315" s="6">
        <f>Progetto!D22</f>
        <v/>
      </c>
      <c r="E315" s="6">
        <f>Progetto!D22*Progetto!E22*$C$44</f>
        <v/>
      </c>
    </row>
    <row r="316">
      <c r="A316" s="21">
        <f>Progetto!A23</f>
        <v/>
      </c>
      <c r="C316" s="21">
        <f>Progetto!B23+IF(Progetto!C23="sì",$C$6-16,0)</f>
        <v/>
      </c>
      <c r="D316" s="6">
        <f>Progetto!D23</f>
        <v/>
      </c>
      <c r="E316" s="6">
        <f>Progetto!D23*Progetto!E23*$C$44</f>
        <v/>
      </c>
    </row>
    <row r="317">
      <c r="A317" s="21">
        <f>Progetto!A24</f>
        <v/>
      </c>
      <c r="C317" s="21">
        <f>Progetto!B24+IF(Progetto!C24="sì",$C$6-16,0)</f>
        <v/>
      </c>
      <c r="D317" s="6">
        <f>Progetto!D24</f>
        <v/>
      </c>
      <c r="E317" s="6">
        <f>Progetto!D24*Progetto!E24*$C$44</f>
        <v/>
      </c>
    </row>
    <row r="318">
      <c r="A318" s="21">
        <f>Progetto!A25</f>
        <v/>
      </c>
      <c r="C318" s="21">
        <f>Progetto!B25+IF(Progetto!C25="sì",$C$6-16,0)</f>
        <v/>
      </c>
      <c r="D318" s="6">
        <f>Progetto!D25</f>
        <v/>
      </c>
      <c r="E318" s="6">
        <f>Progetto!D25*Progetto!E25*$C$44</f>
        <v/>
      </c>
    </row>
    <row r="319">
      <c r="A319" s="21">
        <f>Progetto!A26</f>
        <v/>
      </c>
      <c r="C319" s="21">
        <f>Progetto!B26+IF(Progetto!C26="sì",$C$6-16,0)</f>
        <v/>
      </c>
      <c r="D319" s="6">
        <f>Progetto!D26</f>
        <v/>
      </c>
      <c r="E319" s="6">
        <f>Progetto!D26*Progetto!E26*$C$44</f>
        <v/>
      </c>
    </row>
    <row r="320">
      <c r="A320" s="21">
        <f>Progetto!A27</f>
        <v/>
      </c>
      <c r="C320" s="21">
        <f>Progetto!B27+IF(Progetto!C27="sì",$C$6-16,0)</f>
        <v/>
      </c>
      <c r="D320" s="6">
        <f>Progetto!D27</f>
        <v/>
      </c>
      <c r="E320" s="6">
        <f>Progetto!D27*Progetto!E27*$C$44</f>
        <v/>
      </c>
    </row>
    <row r="321">
      <c r="A321" s="21">
        <f>Progetto!A28</f>
        <v/>
      </c>
      <c r="C321" s="21">
        <f>Progetto!B28+IF(Progetto!C28="sì",$C$6-16,0)</f>
        <v/>
      </c>
      <c r="D321" s="6">
        <f>Progetto!D28</f>
        <v/>
      </c>
      <c r="E321" s="6">
        <f>Progetto!D28*Progetto!E28*$C$44</f>
        <v/>
      </c>
    </row>
    <row r="322">
      <c r="A322" s="21">
        <f>Progetto!A29</f>
        <v/>
      </c>
      <c r="C322" s="21">
        <f>Progetto!B29+IF(Progetto!C29="sì",$C$6-16,0)</f>
        <v/>
      </c>
      <c r="D322" s="6">
        <f>Progetto!D29</f>
        <v/>
      </c>
      <c r="E322" s="6">
        <f>Progetto!D29*Progetto!E29*$C$44</f>
        <v/>
      </c>
    </row>
    <row r="323">
      <c r="A323" s="21">
        <f>Progetto!A30</f>
        <v/>
      </c>
      <c r="C323" s="21">
        <f>Progetto!B30+IF(Progetto!C30="sì",$C$6-16,0)</f>
        <v/>
      </c>
      <c r="D323" s="6">
        <f>Progetto!D30</f>
        <v/>
      </c>
      <c r="E323" s="6">
        <f>Progetto!D30*Progetto!E30*$C$44</f>
        <v/>
      </c>
    </row>
    <row r="324">
      <c r="A324" s="21">
        <f>Progetto!A31</f>
        <v/>
      </c>
      <c r="C324" s="21">
        <f>Progetto!B31+IF(Progetto!C31="sì",$C$6-16,0)</f>
        <v/>
      </c>
      <c r="D324" s="6">
        <f>Progetto!D31</f>
        <v/>
      </c>
      <c r="E324" s="6">
        <f>Progetto!D31*Progetto!E31*$C$44</f>
        <v/>
      </c>
    </row>
    <row r="325">
      <c r="A325" s="21">
        <f>Progetto!A32</f>
        <v/>
      </c>
      <c r="C325" s="21">
        <f>Progetto!B32+IF(Progetto!C32="sì",$C$6-16,0)</f>
        <v/>
      </c>
      <c r="D325" s="6">
        <f>Progetto!D32</f>
        <v/>
      </c>
      <c r="E325" s="6">
        <f>Progetto!D32*Progetto!E32*$C$44</f>
        <v/>
      </c>
    </row>
    <row r="326">
      <c r="A326" s="21">
        <f>Progetto!A33</f>
        <v/>
      </c>
      <c r="C326" s="21">
        <f>Progetto!B33+IF(Progetto!C33="sì",$C$6-16,0)</f>
        <v/>
      </c>
      <c r="D326" s="6">
        <f>Progetto!D33</f>
        <v/>
      </c>
      <c r="E326" s="6">
        <f>Progetto!D33*Progetto!E33*$C$44</f>
        <v/>
      </c>
    </row>
    <row r="327">
      <c r="A327" s="21">
        <f>Progetto!A34</f>
        <v/>
      </c>
      <c r="C327" s="21">
        <f>Progetto!B34+IF(Progetto!C34="sì",$C$6-16,0)</f>
        <v/>
      </c>
      <c r="D327" s="6">
        <f>Progetto!D34</f>
        <v/>
      </c>
      <c r="E327" s="6">
        <f>Progetto!D34*Progetto!E34*$C$44</f>
        <v/>
      </c>
    </row>
    <row r="328">
      <c r="A328" s="21">
        <f>Progetto!A35</f>
        <v/>
      </c>
      <c r="C328" s="21">
        <f>Progetto!B35+IF(Progetto!C35="sì",$C$6-16,0)</f>
        <v/>
      </c>
      <c r="D328" s="6">
        <f>Progetto!D35</f>
        <v/>
      </c>
      <c r="E328" s="6">
        <f>Progetto!D35*Progetto!E35*$C$44</f>
        <v/>
      </c>
    </row>
    <row r="329">
      <c r="A329" s="21">
        <f>Progetto!A36</f>
        <v/>
      </c>
      <c r="C329" s="21">
        <f>Progetto!B36+IF(Progetto!C36="sì",$C$6-16,0)</f>
        <v/>
      </c>
      <c r="D329" s="6">
        <f>Progetto!D36</f>
        <v/>
      </c>
      <c r="E329" s="6">
        <f>Progetto!D36*Progetto!E36*$C$44</f>
        <v/>
      </c>
    </row>
    <row r="330">
      <c r="A330" s="21">
        <f>Progetto!A37</f>
        <v/>
      </c>
      <c r="C330" s="21">
        <f>Progetto!B37+IF(Progetto!C37="sì",$C$6-16,0)</f>
        <v/>
      </c>
      <c r="D330" s="6">
        <f>Progetto!D37</f>
        <v/>
      </c>
      <c r="E330" s="6">
        <f>Progetto!D37*Progetto!E37*$C$44</f>
        <v/>
      </c>
    </row>
    <row r="331">
      <c r="A331" s="21">
        <f>Progetto!A38</f>
        <v/>
      </c>
      <c r="C331" s="21">
        <f>Progetto!B38+IF(Progetto!C38="sì",$C$6-16,0)</f>
        <v/>
      </c>
      <c r="D331" s="6">
        <f>Progetto!D38</f>
        <v/>
      </c>
      <c r="E331" s="6">
        <f>Progetto!D38*Progetto!E38*$C$44</f>
        <v/>
      </c>
    </row>
    <row r="332">
      <c r="A332" s="21">
        <f>Progetto!A39</f>
        <v/>
      </c>
      <c r="C332" s="21">
        <f>Progetto!B39+IF(Progetto!C39="sì",$C$6-16,0)</f>
        <v/>
      </c>
      <c r="D332" s="6">
        <f>Progetto!D39</f>
        <v/>
      </c>
      <c r="E332" s="6">
        <f>Progetto!D39*Progetto!E39*$C$44</f>
        <v/>
      </c>
    </row>
    <row r="333">
      <c r="A333" s="21">
        <f>Progetto!A40</f>
        <v/>
      </c>
      <c r="C333" s="21">
        <f>Progetto!B40+IF(Progetto!C40="sì",$C$6-16,0)</f>
        <v/>
      </c>
      <c r="D333" s="6">
        <f>Progetto!D40</f>
        <v/>
      </c>
      <c r="E333" s="6">
        <f>Progetto!D40*Progetto!E40*$C$44</f>
        <v/>
      </c>
    </row>
    <row r="334">
      <c r="A334" s="21">
        <f>Progetto!A41</f>
        <v/>
      </c>
      <c r="C334" s="21">
        <f>Progetto!B41+IF(Progetto!C41="sì",$C$6-16,0)</f>
        <v/>
      </c>
      <c r="D334" s="6">
        <f>Progetto!D41</f>
        <v/>
      </c>
      <c r="E334" s="6">
        <f>Progetto!D41*Progetto!E41*$C$44</f>
        <v/>
      </c>
    </row>
    <row r="335">
      <c r="A335" s="21">
        <f>Progetto!A42</f>
        <v/>
      </c>
      <c r="C335" s="21">
        <f>Progetto!B42+IF(Progetto!C42="sì",$C$6-16,0)</f>
        <v/>
      </c>
      <c r="D335" s="6">
        <f>Progetto!D42</f>
        <v/>
      </c>
      <c r="E335" s="6">
        <f>Progetto!D42*Progetto!E42*$C$44</f>
        <v/>
      </c>
    </row>
    <row r="336">
      <c r="A336" s="3" t="inlineStr">
        <is>
          <t>Ciclo di laboratorio aggiuntivo</t>
        </is>
      </c>
      <c r="C336" t="n">
        <v>10</v>
      </c>
      <c r="D336" s="20">
        <f>$C$39</f>
        <v/>
      </c>
      <c r="E336" s="20">
        <f>D336*$C$44</f>
        <v/>
      </c>
    </row>
    <row r="337">
      <c r="A337" s="3" t="inlineStr">
        <is>
          <t>Ciclo di laboratorio aggiuntivo</t>
        </is>
      </c>
      <c r="C337" t="n">
        <v>11</v>
      </c>
      <c r="D337" s="20">
        <f>$C$40</f>
        <v/>
      </c>
      <c r="E337" s="20">
        <f>D337*$C$44</f>
        <v/>
      </c>
    </row>
    <row r="339">
      <c r="A339" s="10" t="inlineStr">
        <is>
          <t>Scorte e lotti di produzione</t>
        </is>
      </c>
    </row>
    <row r="340">
      <c r="A340" s="3" t="inlineStr">
        <is>
          <t>Consumo di flaconi (ordini, campioni, sostituzioni)</t>
        </is>
      </c>
      <c r="C340" s="24">
        <f>C293+C294+C295</f>
        <v/>
      </c>
      <c r="D340" s="24">
        <f>D293+D294+D295</f>
        <v/>
      </c>
      <c r="E340" s="24">
        <f>E293+E294+E295</f>
        <v/>
      </c>
      <c r="F340" s="24">
        <f>F293+F294+F295</f>
        <v/>
      </c>
      <c r="G340" s="24">
        <f>G293+G294+G295</f>
        <v/>
      </c>
      <c r="H340" s="24">
        <f>H293+H294+H295</f>
        <v/>
      </c>
      <c r="I340" s="24">
        <f>I293+I294+I295</f>
        <v/>
      </c>
      <c r="J340" s="24">
        <f>J293+J294+J295</f>
        <v/>
      </c>
      <c r="K340" s="24">
        <f>K293+K294+K295</f>
        <v/>
      </c>
      <c r="L340" s="24">
        <f>L293+L294+L295</f>
        <v/>
      </c>
      <c r="M340" s="24">
        <f>M293+M294+M295</f>
        <v/>
      </c>
      <c r="N340" s="24">
        <f>N293+N294+N295</f>
        <v/>
      </c>
      <c r="O340" s="24">
        <f>O293+O294+O295</f>
        <v/>
      </c>
      <c r="P340" s="24">
        <f>P293+P294+P295</f>
        <v/>
      </c>
      <c r="Q340" s="24">
        <f>Q293+Q294+Q295</f>
        <v/>
      </c>
      <c r="R340" s="24">
        <f>R293+R294+R295</f>
        <v/>
      </c>
      <c r="S340" s="24">
        <f>S293+S294+S295</f>
        <v/>
      </c>
      <c r="T340" s="24">
        <f>T293+T294+T295</f>
        <v/>
      </c>
      <c r="U340" s="24">
        <f>U293+U294+U295</f>
        <v/>
      </c>
      <c r="V340" s="24">
        <f>V293+V294+V295</f>
        <v/>
      </c>
      <c r="W340" s="24">
        <f>W293+W294+W295</f>
        <v/>
      </c>
      <c r="X340" s="24">
        <f>X293+X294+X295</f>
        <v/>
      </c>
      <c r="Y340" s="24">
        <f>Y293+Y294+Y295</f>
        <v/>
      </c>
      <c r="Z340" s="24">
        <f>Z293+Z294+Z295</f>
        <v/>
      </c>
      <c r="AA340" s="24">
        <f>AA293+AA294+AA295</f>
        <v/>
      </c>
      <c r="AB340" s="24">
        <f>AB293+AB294+AB295</f>
        <v/>
      </c>
      <c r="AC340" s="24">
        <f>AC293+AC294+AC295</f>
        <v/>
      </c>
      <c r="AD340" s="24">
        <f>AD293+AD294+AD295</f>
        <v/>
      </c>
      <c r="AE340" s="24">
        <f>AE293+AE294+AE295</f>
        <v/>
      </c>
      <c r="AF340" s="24">
        <f>AF293+AF294+AF295</f>
        <v/>
      </c>
    </row>
    <row r="341">
      <c r="A341" s="3" t="inlineStr">
        <is>
          <t>Flaconi in arrivo dal lotto</t>
        </is>
      </c>
      <c r="C341" s="24" t="n">
        <v>0</v>
      </c>
      <c r="D341" s="24" t="n">
        <v>0</v>
      </c>
      <c r="E341" s="24">
        <f>C345</f>
        <v/>
      </c>
      <c r="F341" s="24">
        <f>D345</f>
        <v/>
      </c>
      <c r="G341" s="24">
        <f>E345</f>
        <v/>
      </c>
      <c r="H341" s="24">
        <f>F345</f>
        <v/>
      </c>
      <c r="I341" s="24">
        <f>G345</f>
        <v/>
      </c>
      <c r="J341" s="24">
        <f>H345</f>
        <v/>
      </c>
      <c r="K341" s="24">
        <f>I345</f>
        <v/>
      </c>
      <c r="L341" s="24">
        <f>J345</f>
        <v/>
      </c>
      <c r="M341" s="24">
        <f>K345</f>
        <v/>
      </c>
      <c r="N341" s="24">
        <f>L345</f>
        <v/>
      </c>
      <c r="O341" s="24">
        <f>M345</f>
        <v/>
      </c>
      <c r="P341" s="24">
        <f>N345</f>
        <v/>
      </c>
      <c r="Q341" s="24">
        <f>O345</f>
        <v/>
      </c>
      <c r="R341" s="24">
        <f>P345</f>
        <v/>
      </c>
      <c r="S341" s="24">
        <f>Q345</f>
        <v/>
      </c>
      <c r="T341" s="24">
        <f>R345</f>
        <v/>
      </c>
      <c r="U341" s="24">
        <f>S345</f>
        <v/>
      </c>
      <c r="V341" s="24">
        <f>T345</f>
        <v/>
      </c>
      <c r="W341" s="24">
        <f>U345</f>
        <v/>
      </c>
      <c r="X341" s="24">
        <f>V345</f>
        <v/>
      </c>
      <c r="Y341" s="24">
        <f>W345</f>
        <v/>
      </c>
      <c r="Z341" s="24">
        <f>X345</f>
        <v/>
      </c>
      <c r="AA341" s="24">
        <f>Y345</f>
        <v/>
      </c>
      <c r="AB341" s="24">
        <f>Z345</f>
        <v/>
      </c>
      <c r="AC341" s="24">
        <f>AA345</f>
        <v/>
      </c>
      <c r="AD341" s="24">
        <f>AB345</f>
        <v/>
      </c>
      <c r="AE341" s="24">
        <f>AC345</f>
        <v/>
      </c>
      <c r="AF341" s="24">
        <f>AD345</f>
        <v/>
      </c>
    </row>
    <row r="342">
      <c r="A342" s="3" t="inlineStr">
        <is>
          <t>Flaconi in magazzino a fine mese</t>
        </is>
      </c>
      <c r="C342" s="24">
        <f>0+C341*(1-$C$65)-IF(C341&gt;0,$C$66,0)-C340</f>
        <v/>
      </c>
      <c r="D342" s="24">
        <f>C342+D341*(1-$C$65)-IF(D341&gt;0,$C$66,0)-D340</f>
        <v/>
      </c>
      <c r="E342" s="24">
        <f>D342+E341*(1-$C$65)-IF(E341&gt;0,$C$66,0)-E340</f>
        <v/>
      </c>
      <c r="F342" s="24">
        <f>E342+F341*(1-$C$65)-IF(F341&gt;0,$C$66,0)-F340</f>
        <v/>
      </c>
      <c r="G342" s="24">
        <f>F342+G341*(1-$C$65)-IF(G341&gt;0,$C$66,0)-G340</f>
        <v/>
      </c>
      <c r="H342" s="24">
        <f>G342+H341*(1-$C$65)-IF(H341&gt;0,$C$66,0)-H340</f>
        <v/>
      </c>
      <c r="I342" s="24">
        <f>H342+I341*(1-$C$65)-IF(I341&gt;0,$C$66,0)-I340</f>
        <v/>
      </c>
      <c r="J342" s="24">
        <f>I342+J341*(1-$C$65)-IF(J341&gt;0,$C$66,0)-J340</f>
        <v/>
      </c>
      <c r="K342" s="24">
        <f>J342+K341*(1-$C$65)-IF(K341&gt;0,$C$66,0)-K340</f>
        <v/>
      </c>
      <c r="L342" s="24">
        <f>K342+L341*(1-$C$65)-IF(L341&gt;0,$C$66,0)-L340</f>
        <v/>
      </c>
      <c r="M342" s="24">
        <f>L342+M341*(1-$C$65)-IF(M341&gt;0,$C$66,0)-M340</f>
        <v/>
      </c>
      <c r="N342" s="24">
        <f>M342+N341*(1-$C$65)-IF(N341&gt;0,$C$66,0)-N340</f>
        <v/>
      </c>
      <c r="O342" s="24">
        <f>N342+O341*(1-$C$65)-IF(O341&gt;0,$C$66,0)-O340</f>
        <v/>
      </c>
      <c r="P342" s="24">
        <f>O342+P341*(1-$C$65)-IF(P341&gt;0,$C$66,0)-P340</f>
        <v/>
      </c>
      <c r="Q342" s="24">
        <f>P342+Q341*(1-$C$65)-IF(Q341&gt;0,$C$66,0)-Q340</f>
        <v/>
      </c>
      <c r="R342" s="24">
        <f>Q342+R341*(1-$C$65)-IF(R341&gt;0,$C$66,0)-R340</f>
        <v/>
      </c>
      <c r="S342" s="24">
        <f>R342+S341*(1-$C$65)-IF(S341&gt;0,$C$66,0)-S340</f>
        <v/>
      </c>
      <c r="T342" s="24">
        <f>S342+T341*(1-$C$65)-IF(T341&gt;0,$C$66,0)-T340</f>
        <v/>
      </c>
      <c r="U342" s="24">
        <f>T342+U341*(1-$C$65)-IF(U341&gt;0,$C$66,0)-U340</f>
        <v/>
      </c>
      <c r="V342" s="24">
        <f>U342+V341*(1-$C$65)-IF(V341&gt;0,$C$66,0)-V340</f>
        <v/>
      </c>
      <c r="W342" s="24">
        <f>V342+W341*(1-$C$65)-IF(W341&gt;0,$C$66,0)-W340</f>
        <v/>
      </c>
      <c r="X342" s="24">
        <f>W342+X341*(1-$C$65)-IF(X341&gt;0,$C$66,0)-X340</f>
        <v/>
      </c>
      <c r="Y342" s="24">
        <f>X342+Y341*(1-$C$65)-IF(Y341&gt;0,$C$66,0)-Y340</f>
        <v/>
      </c>
      <c r="Z342" s="24">
        <f>Y342+Z341*(1-$C$65)-IF(Z341&gt;0,$C$66,0)-Z340</f>
        <v/>
      </c>
      <c r="AA342" s="24">
        <f>Z342+AA341*(1-$C$65)-IF(AA341&gt;0,$C$66,0)-AA340</f>
        <v/>
      </c>
      <c r="AB342" s="24">
        <f>AA342+AB341*(1-$C$65)-IF(AB341&gt;0,$C$66,0)-AB340</f>
        <v/>
      </c>
      <c r="AC342" s="24">
        <f>AB342+AC341*(1-$C$65)-IF(AC341&gt;0,$C$66,0)-AC340</f>
        <v/>
      </c>
      <c r="AD342" s="24">
        <f>AC342+AD341*(1-$C$65)-IF(AD341&gt;0,$C$66,0)-AD340</f>
        <v/>
      </c>
      <c r="AE342" s="24">
        <f>AD342+AE341*(1-$C$65)-IF(AE341&gt;0,$C$66,0)-AE340</f>
        <v/>
      </c>
      <c r="AF342" s="24">
        <f>AE342+AF341*(1-$C$65)-IF(AF341&gt;0,$C$66,0)-AF340</f>
        <v/>
      </c>
    </row>
    <row r="343">
      <c r="A343" s="3" t="inlineStr">
        <is>
          <t>Consumo medio degli ultimi due mesi</t>
        </is>
      </c>
      <c r="C343" s="24">
        <f>C340</f>
        <v/>
      </c>
      <c r="D343" s="24">
        <f>AVERAGE(C340:D340)</f>
        <v/>
      </c>
      <c r="E343" s="24">
        <f>AVERAGE(D340:E340)</f>
        <v/>
      </c>
      <c r="F343" s="24">
        <f>AVERAGE(E340:F340)</f>
        <v/>
      </c>
      <c r="G343" s="24">
        <f>AVERAGE(F340:G340)</f>
        <v/>
      </c>
      <c r="H343" s="24">
        <f>AVERAGE(G340:H340)</f>
        <v/>
      </c>
      <c r="I343" s="24">
        <f>AVERAGE(H340:I340)</f>
        <v/>
      </c>
      <c r="J343" s="24">
        <f>AVERAGE(I340:J340)</f>
        <v/>
      </c>
      <c r="K343" s="24">
        <f>AVERAGE(J340:K340)</f>
        <v/>
      </c>
      <c r="L343" s="24">
        <f>AVERAGE(K340:L340)</f>
        <v/>
      </c>
      <c r="M343" s="24">
        <f>AVERAGE(L340:M340)</f>
        <v/>
      </c>
      <c r="N343" s="24">
        <f>AVERAGE(M340:N340)</f>
        <v/>
      </c>
      <c r="O343" s="24">
        <f>AVERAGE(N340:O340)</f>
        <v/>
      </c>
      <c r="P343" s="24">
        <f>AVERAGE(O340:P340)</f>
        <v/>
      </c>
      <c r="Q343" s="24">
        <f>AVERAGE(P340:Q340)</f>
        <v/>
      </c>
      <c r="R343" s="24">
        <f>AVERAGE(Q340:R340)</f>
        <v/>
      </c>
      <c r="S343" s="24">
        <f>AVERAGE(R340:S340)</f>
        <v/>
      </c>
      <c r="T343" s="24">
        <f>AVERAGE(S340:T340)</f>
        <v/>
      </c>
      <c r="U343" s="24">
        <f>AVERAGE(T340:U340)</f>
        <v/>
      </c>
      <c r="V343" s="24">
        <f>AVERAGE(U340:V340)</f>
        <v/>
      </c>
      <c r="W343" s="24">
        <f>AVERAGE(V340:W340)</f>
        <v/>
      </c>
      <c r="X343" s="24">
        <f>AVERAGE(W340:X340)</f>
        <v/>
      </c>
      <c r="Y343" s="24">
        <f>AVERAGE(X340:Y340)</f>
        <v/>
      </c>
      <c r="Z343" s="24">
        <f>AVERAGE(Y340:Z340)</f>
        <v/>
      </c>
      <c r="AA343" s="24">
        <f>AVERAGE(Z340:AA340)</f>
        <v/>
      </c>
      <c r="AB343" s="24">
        <f>AVERAGE(AA340:AB340)</f>
        <v/>
      </c>
      <c r="AC343" s="24">
        <f>AVERAGE(AB340:AC340)</f>
        <v/>
      </c>
      <c r="AD343" s="24">
        <f>AVERAGE(AC340:AD340)</f>
        <v/>
      </c>
      <c r="AE343" s="24">
        <f>AVERAGE(AD340:AE340)</f>
        <v/>
      </c>
      <c r="AF343" s="24">
        <f>AVERAGE(AE340:AF340)</f>
        <v/>
      </c>
    </row>
    <row r="344">
      <c r="A344" s="3" t="inlineStr">
        <is>
          <t>Punto di riordino</t>
        </is>
      </c>
      <c r="C344" s="24">
        <f>C343*($C$63+$C$64)</f>
        <v/>
      </c>
      <c r="D344" s="24">
        <f>D343*($C$63+$C$64)</f>
        <v/>
      </c>
      <c r="E344" s="24">
        <f>E343*($C$63+$C$64)</f>
        <v/>
      </c>
      <c r="F344" s="24">
        <f>F343*($C$63+$C$64)</f>
        <v/>
      </c>
      <c r="G344" s="24">
        <f>G343*($C$63+$C$64)</f>
        <v/>
      </c>
      <c r="H344" s="24">
        <f>H343*($C$63+$C$64)</f>
        <v/>
      </c>
      <c r="I344" s="24">
        <f>I343*($C$63+$C$64)</f>
        <v/>
      </c>
      <c r="J344" s="24">
        <f>J343*($C$63+$C$64)</f>
        <v/>
      </c>
      <c r="K344" s="24">
        <f>K343*($C$63+$C$64)</f>
        <v/>
      </c>
      <c r="L344" s="24">
        <f>L343*($C$63+$C$64)</f>
        <v/>
      </c>
      <c r="M344" s="24">
        <f>M343*($C$63+$C$64)</f>
        <v/>
      </c>
      <c r="N344" s="24">
        <f>N343*($C$63+$C$64)</f>
        <v/>
      </c>
      <c r="O344" s="24">
        <f>O343*($C$63+$C$64)</f>
        <v/>
      </c>
      <c r="P344" s="24">
        <f>P343*($C$63+$C$64)</f>
        <v/>
      </c>
      <c r="Q344" s="24">
        <f>Q343*($C$63+$C$64)</f>
        <v/>
      </c>
      <c r="R344" s="24">
        <f>R343*($C$63+$C$64)</f>
        <v/>
      </c>
      <c r="S344" s="24">
        <f>S343*($C$63+$C$64)</f>
        <v/>
      </c>
      <c r="T344" s="24">
        <f>T343*($C$63+$C$64)</f>
        <v/>
      </c>
      <c r="U344" s="24">
        <f>U343*($C$63+$C$64)</f>
        <v/>
      </c>
      <c r="V344" s="24">
        <f>V343*($C$63+$C$64)</f>
        <v/>
      </c>
      <c r="W344" s="24">
        <f>W343*($C$63+$C$64)</f>
        <v/>
      </c>
      <c r="X344" s="24">
        <f>X343*($C$63+$C$64)</f>
        <v/>
      </c>
      <c r="Y344" s="24">
        <f>Y343*($C$63+$C$64)</f>
        <v/>
      </c>
      <c r="Z344" s="24">
        <f>Z343*($C$63+$C$64)</f>
        <v/>
      </c>
      <c r="AA344" s="24">
        <f>AA343*($C$63+$C$64)</f>
        <v/>
      </c>
      <c r="AB344" s="24">
        <f>AB343*($C$63+$C$64)</f>
        <v/>
      </c>
      <c r="AC344" s="24">
        <f>AC343*($C$63+$C$64)</f>
        <v/>
      </c>
      <c r="AD344" s="24">
        <f>AD343*($C$63+$C$64)</f>
        <v/>
      </c>
      <c r="AE344" s="24">
        <f>AE343*($C$63+$C$64)</f>
        <v/>
      </c>
      <c r="AF344" s="24">
        <f>AF343*($C$63+$C$64)</f>
        <v/>
      </c>
    </row>
    <row r="345">
      <c r="A345" s="3" t="inlineStr">
        <is>
          <t>Lotto ordinato nel mese</t>
        </is>
      </c>
      <c r="C345" s="24">
        <f>IF(C106=-3,$C$61,IF(AND(C106&gt;=0,C342+0&lt;=C344),$C$61,0))</f>
        <v/>
      </c>
      <c r="D345" s="24">
        <f>IF(D106=-3,$C$61,IF(AND(D106&gt;=0,D342+C345&lt;=D344),$C$61,0))</f>
        <v/>
      </c>
      <c r="E345" s="24">
        <f>IF(E106=-3,$C$61,IF(AND(E106&gt;=0,E342+D345&lt;=E344),$C$61,0))</f>
        <v/>
      </c>
      <c r="F345" s="24">
        <f>IF(F106=-3,$C$61,IF(AND(F106&gt;=0,F342+E345&lt;=F344),$C$61,0))</f>
        <v/>
      </c>
      <c r="G345" s="24">
        <f>IF(G106=-3,$C$61,IF(AND(G106&gt;=0,G342+F345&lt;=G344),$C$61,0))</f>
        <v/>
      </c>
      <c r="H345" s="24">
        <f>IF(H106=-3,$C$61,IF(AND(H106&gt;=0,H342+G345&lt;=H344),$C$61,0))</f>
        <v/>
      </c>
      <c r="I345" s="24">
        <f>IF(I106=-3,$C$61,IF(AND(I106&gt;=0,I342+H345&lt;=I344),$C$61,0))</f>
        <v/>
      </c>
      <c r="J345" s="24">
        <f>IF(J106=-3,$C$61,IF(AND(J106&gt;=0,J342+I345&lt;=J344),$C$61,0))</f>
        <v/>
      </c>
      <c r="K345" s="24">
        <f>IF(K106=-3,$C$61,IF(AND(K106&gt;=0,K342+J345&lt;=K344),$C$61,0))</f>
        <v/>
      </c>
      <c r="L345" s="24">
        <f>IF(L106=-3,$C$61,IF(AND(L106&gt;=0,L342+K345&lt;=L344),$C$61,0))</f>
        <v/>
      </c>
      <c r="M345" s="24">
        <f>IF(M106=-3,$C$61,IF(AND(M106&gt;=0,M342+L345&lt;=M344),$C$61,0))</f>
        <v/>
      </c>
      <c r="N345" s="24">
        <f>IF(N106=-3,$C$61,IF(AND(N106&gt;=0,N342+M345&lt;=N344),$C$61,0))</f>
        <v/>
      </c>
      <c r="O345" s="24">
        <f>IF(O106=-3,$C$61,IF(AND(O106&gt;=0,O342+N345&lt;=O344),$C$61,0))</f>
        <v/>
      </c>
      <c r="P345" s="24">
        <f>IF(P106=-3,$C$61,IF(AND(P106&gt;=0,P342+O345&lt;=P344),$C$61,0))</f>
        <v/>
      </c>
      <c r="Q345" s="24">
        <f>IF(Q106=-3,$C$61,IF(AND(Q106&gt;=0,Q342+P345&lt;=Q344),$C$61,0))</f>
        <v/>
      </c>
      <c r="R345" s="24">
        <f>IF(R106=-3,$C$61,IF(AND(R106&gt;=0,R342+Q345&lt;=R344),$C$61,0))</f>
        <v/>
      </c>
      <c r="S345" s="24">
        <f>IF(S106=-3,$C$61,IF(AND(S106&gt;=0,S342+R345&lt;=S344),$C$61,0))</f>
        <v/>
      </c>
      <c r="T345" s="24">
        <f>IF(T106=-3,$C$61,IF(AND(T106&gt;=0,T342+S345&lt;=T344),$C$61,0))</f>
        <v/>
      </c>
      <c r="U345" s="24">
        <f>IF(U106=-3,$C$61,IF(AND(U106&gt;=0,U342+T345&lt;=U344),$C$61,0))</f>
        <v/>
      </c>
      <c r="V345" s="24">
        <f>IF(V106=-3,$C$61,IF(AND(V106&gt;=0,V342+U345&lt;=V344),$C$61,0))</f>
        <v/>
      </c>
      <c r="W345" s="24">
        <f>IF(W106=-3,$C$61,IF(AND(W106&gt;=0,W342+V345&lt;=W344),$C$61,0))</f>
        <v/>
      </c>
      <c r="X345" s="24">
        <f>IF(X106=-3,$C$61,IF(AND(X106&gt;=0,X342+W345&lt;=X344),$C$61,0))</f>
        <v/>
      </c>
      <c r="Y345" s="24">
        <f>IF(Y106=-3,$C$61,IF(AND(Y106&gt;=0,Y342+X345&lt;=Y344),$C$61,0))</f>
        <v/>
      </c>
      <c r="Z345" s="24">
        <f>IF(Z106=-3,$C$61,IF(AND(Z106&gt;=0,Z342+Y345&lt;=Z344),$C$61,0))</f>
        <v/>
      </c>
      <c r="AA345" s="24">
        <f>IF(AA106=-3,$C$61,IF(AND(AA106&gt;=0,AA342+Z345&lt;=AA344),$C$61,0))</f>
        <v/>
      </c>
      <c r="AB345" s="24">
        <f>IF(AB106=-3,$C$61,IF(AND(AB106&gt;=0,AB342+AA345&lt;=AB344),$C$61,0))</f>
        <v/>
      </c>
      <c r="AC345" s="24">
        <f>IF(AC106=-3,$C$61,IF(AND(AC106&gt;=0,AC342+AB345&lt;=AC344),$C$61,0))</f>
        <v/>
      </c>
      <c r="AD345" s="24">
        <f>IF(AD106=-3,$C$61,IF(AND(AD106&gt;=0,AD342+AC345&lt;=AD344),$C$61,0))</f>
        <v/>
      </c>
      <c r="AE345" s="24">
        <f>IF(AE106=-3,$C$61,IF(AND(AE106&gt;=0,AE342+AD345&lt;=AE344),$C$61,0))</f>
        <v/>
      </c>
      <c r="AF345" s="24">
        <f>IF(AF106=-3,$C$61,IF(AND(AF106&gt;=0,AF342+AE345&lt;=AF344),$C$61,0))</f>
        <v/>
      </c>
    </row>
    <row r="346">
      <c r="A346" s="3" t="inlineStr">
        <is>
          <t>Pagamenti ai produttori (netto IVA)</t>
        </is>
      </c>
      <c r="B346" s="4" t="inlineStr">
        <is>
          <t>€</t>
        </is>
      </c>
      <c r="C346" s="20">
        <f>C345*$C$7*$C$62+C341*$C$7*(1-$C$62)</f>
        <v/>
      </c>
      <c r="D346" s="20">
        <f>D345*$C$7*$C$62+D341*$C$7*(1-$C$62)</f>
        <v/>
      </c>
      <c r="E346" s="20">
        <f>E345*$C$7*$C$62+E341*$C$7*(1-$C$62)</f>
        <v/>
      </c>
      <c r="F346" s="20">
        <f>F345*$C$7*$C$62+F341*$C$7*(1-$C$62)</f>
        <v/>
      </c>
      <c r="G346" s="20">
        <f>G345*$C$7*$C$62+G341*$C$7*(1-$C$62)</f>
        <v/>
      </c>
      <c r="H346" s="20">
        <f>H345*$C$7*$C$62+H341*$C$7*(1-$C$62)</f>
        <v/>
      </c>
      <c r="I346" s="20">
        <f>I345*$C$7*$C$62+I341*$C$7*(1-$C$62)</f>
        <v/>
      </c>
      <c r="J346" s="20">
        <f>J345*$C$7*$C$62+J341*$C$7*(1-$C$62)</f>
        <v/>
      </c>
      <c r="K346" s="20">
        <f>K345*$C$7*$C$62+K341*$C$7*(1-$C$62)</f>
        <v/>
      </c>
      <c r="L346" s="20">
        <f>L345*$C$7*$C$62+L341*$C$7*(1-$C$62)</f>
        <v/>
      </c>
      <c r="M346" s="20">
        <f>M345*$C$7*$C$62+M341*$C$7*(1-$C$62)</f>
        <v/>
      </c>
      <c r="N346" s="20">
        <f>N345*$C$7*$C$62+N341*$C$7*(1-$C$62)</f>
        <v/>
      </c>
      <c r="O346" s="20">
        <f>O345*$C$7*$C$62+O341*$C$7*(1-$C$62)</f>
        <v/>
      </c>
      <c r="P346" s="20">
        <f>P345*$C$7*$C$62+P341*$C$7*(1-$C$62)</f>
        <v/>
      </c>
      <c r="Q346" s="20">
        <f>Q345*$C$7*$C$62+Q341*$C$7*(1-$C$62)</f>
        <v/>
      </c>
      <c r="R346" s="20">
        <f>R345*$C$7*$C$62+R341*$C$7*(1-$C$62)</f>
        <v/>
      </c>
      <c r="S346" s="20">
        <f>S345*$C$7*$C$62+S341*$C$7*(1-$C$62)</f>
        <v/>
      </c>
      <c r="T346" s="20">
        <f>T345*$C$7*$C$62+T341*$C$7*(1-$C$62)</f>
        <v/>
      </c>
      <c r="U346" s="20">
        <f>U345*$C$7*$C$62+U341*$C$7*(1-$C$62)</f>
        <v/>
      </c>
      <c r="V346" s="20">
        <f>V345*$C$7*$C$62+V341*$C$7*(1-$C$62)</f>
        <v/>
      </c>
      <c r="W346" s="20">
        <f>W345*$C$7*$C$62+W341*$C$7*(1-$C$62)</f>
        <v/>
      </c>
      <c r="X346" s="20">
        <f>X345*$C$7*$C$62+X341*$C$7*(1-$C$62)</f>
        <v/>
      </c>
      <c r="Y346" s="20">
        <f>Y345*$C$7*$C$62+Y341*$C$7*(1-$C$62)</f>
        <v/>
      </c>
      <c r="Z346" s="20">
        <f>Z345*$C$7*$C$62+Z341*$C$7*(1-$C$62)</f>
        <v/>
      </c>
      <c r="AA346" s="20">
        <f>AA345*$C$7*$C$62+AA341*$C$7*(1-$C$62)</f>
        <v/>
      </c>
      <c r="AB346" s="20">
        <f>AB345*$C$7*$C$62+AB341*$C$7*(1-$C$62)</f>
        <v/>
      </c>
      <c r="AC346" s="20">
        <f>AC345*$C$7*$C$62+AC341*$C$7*(1-$C$62)</f>
        <v/>
      </c>
      <c r="AD346" s="20">
        <f>AD345*$C$7*$C$62+AD341*$C$7*(1-$C$62)</f>
        <v/>
      </c>
      <c r="AE346" s="20">
        <f>AE345*$C$7*$C$62+AE341*$C$7*(1-$C$62)</f>
        <v/>
      </c>
      <c r="AF346" s="20">
        <f>AF345*$C$7*$C$62+AF341*$C$7*(1-$C$62)</f>
        <v/>
      </c>
    </row>
    <row r="348">
      <c r="A348" s="10" t="inlineStr">
        <is>
          <t>Costi fissi</t>
        </is>
      </c>
    </row>
    <row r="349">
      <c r="A349" s="3" t="inlineStr">
        <is>
          <t>Costi fissi (netto IVA)</t>
        </is>
      </c>
      <c r="B349" s="4" t="inlineStr">
        <is>
          <t>€</t>
        </is>
      </c>
      <c r="C349" s="20">
        <f>100+250+40+IF(C105&gt;=10,IF(C105&lt;$C$6,30,80),0)+IF(C105&gt;=$C$6-1,100,0)+IF(OR(C105=3,C105=15,C105=27),430,0)+IF(OR(C105=$C$6,C105=$C$6+12),1200,0)</f>
        <v/>
      </c>
      <c r="D349" s="20">
        <f>100+250+40+IF(D105&gt;=10,IF(D105&lt;$C$6,30,80),0)+IF(D105&gt;=$C$6-1,100,0)+IF(OR(D105=3,D105=15,D105=27),430,0)+IF(OR(D105=$C$6,D105=$C$6+12),1200,0)</f>
        <v/>
      </c>
      <c r="E349" s="20">
        <f>100+250+40+IF(E105&gt;=10,IF(E105&lt;$C$6,30,80),0)+IF(E105&gt;=$C$6-1,100,0)+IF(OR(E105=3,E105=15,E105=27),430,0)+IF(OR(E105=$C$6,E105=$C$6+12),1200,0)</f>
        <v/>
      </c>
      <c r="F349" s="20">
        <f>100+250+40+IF(F105&gt;=10,IF(F105&lt;$C$6,30,80),0)+IF(F105&gt;=$C$6-1,100,0)+IF(OR(F105=3,F105=15,F105=27),430,0)+IF(OR(F105=$C$6,F105=$C$6+12),1200,0)</f>
        <v/>
      </c>
      <c r="G349" s="20">
        <f>100+250+40+IF(G105&gt;=10,IF(G105&lt;$C$6,30,80),0)+IF(G105&gt;=$C$6-1,100,0)+IF(OR(G105=3,G105=15,G105=27),430,0)+IF(OR(G105=$C$6,G105=$C$6+12),1200,0)</f>
        <v/>
      </c>
      <c r="H349" s="20">
        <f>100+250+40+IF(H105&gt;=10,IF(H105&lt;$C$6,30,80),0)+IF(H105&gt;=$C$6-1,100,0)+IF(OR(H105=3,H105=15,H105=27),430,0)+IF(OR(H105=$C$6,H105=$C$6+12),1200,0)</f>
        <v/>
      </c>
      <c r="I349" s="20">
        <f>100+250+40+IF(I105&gt;=10,IF(I105&lt;$C$6,30,80),0)+IF(I105&gt;=$C$6-1,100,0)+IF(OR(I105=3,I105=15,I105=27),430,0)+IF(OR(I105=$C$6,I105=$C$6+12),1200,0)</f>
        <v/>
      </c>
      <c r="J349" s="20">
        <f>100+250+40+IF(J105&gt;=10,IF(J105&lt;$C$6,30,80),0)+IF(J105&gt;=$C$6-1,100,0)+IF(OR(J105=3,J105=15,J105=27),430,0)+IF(OR(J105=$C$6,J105=$C$6+12),1200,0)</f>
        <v/>
      </c>
      <c r="K349" s="20">
        <f>100+250+40+IF(K105&gt;=10,IF(K105&lt;$C$6,30,80),0)+IF(K105&gt;=$C$6-1,100,0)+IF(OR(K105=3,K105=15,K105=27),430,0)+IF(OR(K105=$C$6,K105=$C$6+12),1200,0)</f>
        <v/>
      </c>
      <c r="L349" s="20">
        <f>100+250+40+IF(L105&gt;=10,IF(L105&lt;$C$6,30,80),0)+IF(L105&gt;=$C$6-1,100,0)+IF(OR(L105=3,L105=15,L105=27),430,0)+IF(OR(L105=$C$6,L105=$C$6+12),1200,0)</f>
        <v/>
      </c>
      <c r="M349" s="20">
        <f>100+250+40+IF(M105&gt;=10,IF(M105&lt;$C$6,30,80),0)+IF(M105&gt;=$C$6-1,100,0)+IF(OR(M105=3,M105=15,M105=27),430,0)+IF(OR(M105=$C$6,M105=$C$6+12),1200,0)</f>
        <v/>
      </c>
      <c r="N349" s="20">
        <f>100+250+40+IF(N105&gt;=10,IF(N105&lt;$C$6,30,80),0)+IF(N105&gt;=$C$6-1,100,0)+IF(OR(N105=3,N105=15,N105=27),430,0)+IF(OR(N105=$C$6,N105=$C$6+12),1200,0)</f>
        <v/>
      </c>
      <c r="O349" s="20">
        <f>100+250+40+IF(O105&gt;=10,IF(O105&lt;$C$6,30,80),0)+IF(O105&gt;=$C$6-1,100,0)+IF(OR(O105=3,O105=15,O105=27),430,0)+IF(OR(O105=$C$6,O105=$C$6+12),1200,0)</f>
        <v/>
      </c>
      <c r="P349" s="20">
        <f>100+250+40+IF(P105&gt;=10,IF(P105&lt;$C$6,30,80),0)+IF(P105&gt;=$C$6-1,100,0)+IF(OR(P105=3,P105=15,P105=27),430,0)+IF(OR(P105=$C$6,P105=$C$6+12),1200,0)</f>
        <v/>
      </c>
      <c r="Q349" s="20">
        <f>100+250+40+IF(Q105&gt;=10,IF(Q105&lt;$C$6,30,80),0)+IF(Q105&gt;=$C$6-1,100,0)+IF(OR(Q105=3,Q105=15,Q105=27),430,0)+IF(OR(Q105=$C$6,Q105=$C$6+12),1200,0)</f>
        <v/>
      </c>
      <c r="R349" s="20">
        <f>100+250+40+IF(R105&gt;=10,IF(R105&lt;$C$6,30,80),0)+IF(R105&gt;=$C$6-1,100,0)+IF(OR(R105=3,R105=15,R105=27),430,0)+IF(OR(R105=$C$6,R105=$C$6+12),1200,0)</f>
        <v/>
      </c>
      <c r="S349" s="20">
        <f>100+250+40+IF(S105&gt;=10,IF(S105&lt;$C$6,30,80),0)+IF(S105&gt;=$C$6-1,100,0)+IF(OR(S105=3,S105=15,S105=27),430,0)+IF(OR(S105=$C$6,S105=$C$6+12),1200,0)</f>
        <v/>
      </c>
      <c r="T349" s="20">
        <f>100+250+40+IF(T105&gt;=10,IF(T105&lt;$C$6,30,80),0)+IF(T105&gt;=$C$6-1,100,0)+IF(OR(T105=3,T105=15,T105=27),430,0)+IF(OR(T105=$C$6,T105=$C$6+12),1200,0)</f>
        <v/>
      </c>
      <c r="U349" s="20">
        <f>100+250+40+IF(U105&gt;=10,IF(U105&lt;$C$6,30,80),0)+IF(U105&gt;=$C$6-1,100,0)+IF(OR(U105=3,U105=15,U105=27),430,0)+IF(OR(U105=$C$6,U105=$C$6+12),1200,0)</f>
        <v/>
      </c>
      <c r="V349" s="20">
        <f>100+250+40+IF(V105&gt;=10,IF(V105&lt;$C$6,30,80),0)+IF(V105&gt;=$C$6-1,100,0)+IF(OR(V105=3,V105=15,V105=27),430,0)+IF(OR(V105=$C$6,V105=$C$6+12),1200,0)</f>
        <v/>
      </c>
      <c r="W349" s="20">
        <f>100+250+40+IF(W105&gt;=10,IF(W105&lt;$C$6,30,80),0)+IF(W105&gt;=$C$6-1,100,0)+IF(OR(W105=3,W105=15,W105=27),430,0)+IF(OR(W105=$C$6,W105=$C$6+12),1200,0)</f>
        <v/>
      </c>
      <c r="X349" s="20">
        <f>100+250+40+IF(X105&gt;=10,IF(X105&lt;$C$6,30,80),0)+IF(X105&gt;=$C$6-1,100,0)+IF(OR(X105=3,X105=15,X105=27),430,0)+IF(OR(X105=$C$6,X105=$C$6+12),1200,0)</f>
        <v/>
      </c>
      <c r="Y349" s="20">
        <f>100+250+40+IF(Y105&gt;=10,IF(Y105&lt;$C$6,30,80),0)+IF(Y105&gt;=$C$6-1,100,0)+IF(OR(Y105=3,Y105=15,Y105=27),430,0)+IF(OR(Y105=$C$6,Y105=$C$6+12),1200,0)</f>
        <v/>
      </c>
      <c r="Z349" s="20">
        <f>100+250+40+IF(Z105&gt;=10,IF(Z105&lt;$C$6,30,80),0)+IF(Z105&gt;=$C$6-1,100,0)+IF(OR(Z105=3,Z105=15,Z105=27),430,0)+IF(OR(Z105=$C$6,Z105=$C$6+12),1200,0)</f>
        <v/>
      </c>
      <c r="AA349" s="20">
        <f>100+250+40+IF(AA105&gt;=10,IF(AA105&lt;$C$6,30,80),0)+IF(AA105&gt;=$C$6-1,100,0)+IF(OR(AA105=3,AA105=15,AA105=27),430,0)+IF(OR(AA105=$C$6,AA105=$C$6+12),1200,0)</f>
        <v/>
      </c>
      <c r="AB349" s="20">
        <f>100+250+40+IF(AB105&gt;=10,IF(AB105&lt;$C$6,30,80),0)+IF(AB105&gt;=$C$6-1,100,0)+IF(OR(AB105=3,AB105=15,AB105=27),430,0)+IF(OR(AB105=$C$6,AB105=$C$6+12),1200,0)</f>
        <v/>
      </c>
      <c r="AC349" s="20">
        <f>100+250+40+IF(AC105&gt;=10,IF(AC105&lt;$C$6,30,80),0)+IF(AC105&gt;=$C$6-1,100,0)+IF(OR(AC105=3,AC105=15,AC105=27),430,0)+IF(OR(AC105=$C$6,AC105=$C$6+12),1200,0)</f>
        <v/>
      </c>
      <c r="AD349" s="20">
        <f>100+250+40+IF(AD105&gt;=10,IF(AD105&lt;$C$6,30,80),0)+IF(AD105&gt;=$C$6-1,100,0)+IF(OR(AD105=3,AD105=15,AD105=27),430,0)+IF(OR(AD105=$C$6,AD105=$C$6+12),1200,0)</f>
        <v/>
      </c>
      <c r="AE349" s="20">
        <f>100+250+40+IF(AE105&gt;=10,IF(AE105&lt;$C$6,30,80),0)+IF(AE105&gt;=$C$6-1,100,0)+IF(OR(AE105=3,AE105=15,AE105=27),430,0)+IF(OR(AE105=$C$6,AE105=$C$6+12),1200,0)</f>
        <v/>
      </c>
      <c r="AF349" s="20">
        <f>100+250+40+IF(AF105&gt;=10,IF(AF105&lt;$C$6,30,80),0)+IF(AF105&gt;=$C$6-1,100,0)+IF(OR(AF105=3,AF105=15,AF105=27),430,0)+IF(OR(AF105=$C$6,AF105=$C$6+12),1200,0)</f>
        <v/>
      </c>
    </row>
    <row r="350">
      <c r="A350" s="3" t="inlineStr">
        <is>
          <t>IVA sui costi fissi</t>
        </is>
      </c>
      <c r="B350" s="4" t="inlineStr">
        <is>
          <t>€</t>
        </is>
      </c>
      <c r="C350" s="20">
        <f>(250+40*0.5+IF(C105&gt;=$C$6-1,100,0))*$C$44</f>
        <v/>
      </c>
      <c r="D350" s="20">
        <f>(250+40*0.5+IF(D105&gt;=$C$6-1,100,0))*$C$44</f>
        <v/>
      </c>
      <c r="E350" s="20">
        <f>(250+40*0.5+IF(E105&gt;=$C$6-1,100,0))*$C$44</f>
        <v/>
      </c>
      <c r="F350" s="20">
        <f>(250+40*0.5+IF(F105&gt;=$C$6-1,100,0))*$C$44</f>
        <v/>
      </c>
      <c r="G350" s="20">
        <f>(250+40*0.5+IF(G105&gt;=$C$6-1,100,0))*$C$44</f>
        <v/>
      </c>
      <c r="H350" s="20">
        <f>(250+40*0.5+IF(H105&gt;=$C$6-1,100,0))*$C$44</f>
        <v/>
      </c>
      <c r="I350" s="20">
        <f>(250+40*0.5+IF(I105&gt;=$C$6-1,100,0))*$C$44</f>
        <v/>
      </c>
      <c r="J350" s="20">
        <f>(250+40*0.5+IF(J105&gt;=$C$6-1,100,0))*$C$44</f>
        <v/>
      </c>
      <c r="K350" s="20">
        <f>(250+40*0.5+IF(K105&gt;=$C$6-1,100,0))*$C$44</f>
        <v/>
      </c>
      <c r="L350" s="20">
        <f>(250+40*0.5+IF(L105&gt;=$C$6-1,100,0))*$C$44</f>
        <v/>
      </c>
      <c r="M350" s="20">
        <f>(250+40*0.5+IF(M105&gt;=$C$6-1,100,0))*$C$44</f>
        <v/>
      </c>
      <c r="N350" s="20">
        <f>(250+40*0.5+IF(N105&gt;=$C$6-1,100,0))*$C$44</f>
        <v/>
      </c>
      <c r="O350" s="20">
        <f>(250+40*0.5+IF(O105&gt;=$C$6-1,100,0))*$C$44</f>
        <v/>
      </c>
      <c r="P350" s="20">
        <f>(250+40*0.5+IF(P105&gt;=$C$6-1,100,0))*$C$44</f>
        <v/>
      </c>
      <c r="Q350" s="20">
        <f>(250+40*0.5+IF(Q105&gt;=$C$6-1,100,0))*$C$44</f>
        <v/>
      </c>
      <c r="R350" s="20">
        <f>(250+40*0.5+IF(R105&gt;=$C$6-1,100,0))*$C$44</f>
        <v/>
      </c>
      <c r="S350" s="20">
        <f>(250+40*0.5+IF(S105&gt;=$C$6-1,100,0))*$C$44</f>
        <v/>
      </c>
      <c r="T350" s="20">
        <f>(250+40*0.5+IF(T105&gt;=$C$6-1,100,0))*$C$44</f>
        <v/>
      </c>
      <c r="U350" s="20">
        <f>(250+40*0.5+IF(U105&gt;=$C$6-1,100,0))*$C$44</f>
        <v/>
      </c>
      <c r="V350" s="20">
        <f>(250+40*0.5+IF(V105&gt;=$C$6-1,100,0))*$C$44</f>
        <v/>
      </c>
      <c r="W350" s="20">
        <f>(250+40*0.5+IF(W105&gt;=$C$6-1,100,0))*$C$44</f>
        <v/>
      </c>
      <c r="X350" s="20">
        <f>(250+40*0.5+IF(X105&gt;=$C$6-1,100,0))*$C$44</f>
        <v/>
      </c>
      <c r="Y350" s="20">
        <f>(250+40*0.5+IF(Y105&gt;=$C$6-1,100,0))*$C$44</f>
        <v/>
      </c>
      <c r="Z350" s="20">
        <f>(250+40*0.5+IF(Z105&gt;=$C$6-1,100,0))*$C$44</f>
        <v/>
      </c>
      <c r="AA350" s="20">
        <f>(250+40*0.5+IF(AA105&gt;=$C$6-1,100,0))*$C$44</f>
        <v/>
      </c>
      <c r="AB350" s="20">
        <f>(250+40*0.5+IF(AB105&gt;=$C$6-1,100,0))*$C$44</f>
        <v/>
      </c>
      <c r="AC350" s="20">
        <f>(250+40*0.5+IF(AC105&gt;=$C$6-1,100,0))*$C$44</f>
        <v/>
      </c>
      <c r="AD350" s="20">
        <f>(250+40*0.5+IF(AD105&gt;=$C$6-1,100,0))*$C$44</f>
        <v/>
      </c>
      <c r="AE350" s="20">
        <f>(250+40*0.5+IF(AE105&gt;=$C$6-1,100,0))*$C$44</f>
        <v/>
      </c>
      <c r="AF350" s="20">
        <f>(250+40*0.5+IF(AF105&gt;=$C$6-1,100,0))*$C$44</f>
        <v/>
      </c>
    </row>
    <row r="351">
      <c r="A351" s="4" t="inlineStr">
        <is>
          <t>Abbonamenti IA 100 (Fable 5.1 e ASTRA di OpenAI) · commercialista 250 · banca, PEC, dominio 40 · piattaforma e-commerce 30, poi 80 dal lancio · magazzino 100 dal mese prima del lancio · diritto camerale e libri sociali 430 nei mesi 3, 15, 27 · assicurazione RC prodotto 1.200 all'anno</t>
        </is>
      </c>
    </row>
    <row r="353">
      <c r="A353" s="10" t="inlineStr">
        <is>
          <t>IVA: posizione mensile, compensazione, versamenti</t>
        </is>
      </c>
    </row>
    <row r="354">
      <c r="A354" s="3" t="inlineStr">
        <is>
          <t>Costi di progetto (netto IVA)</t>
        </is>
      </c>
      <c r="B354" s="4" t="inlineStr">
        <is>
          <t>€</t>
        </is>
      </c>
      <c r="C354" s="20">
        <f>SUMIF($C$298:$C$337,C105,$D$298:$D$337)</f>
        <v/>
      </c>
      <c r="D354" s="20">
        <f>SUMIF($C$298:$C$337,D105,$D$298:$D$337)</f>
        <v/>
      </c>
      <c r="E354" s="20">
        <f>SUMIF($C$298:$C$337,E105,$D$298:$D$337)</f>
        <v/>
      </c>
      <c r="F354" s="20">
        <f>SUMIF($C$298:$C$337,F105,$D$298:$D$337)</f>
        <v/>
      </c>
      <c r="G354" s="20">
        <f>SUMIF($C$298:$C$337,G105,$D$298:$D$337)</f>
        <v/>
      </c>
      <c r="H354" s="20">
        <f>SUMIF($C$298:$C$337,H105,$D$298:$D$337)</f>
        <v/>
      </c>
      <c r="I354" s="20">
        <f>SUMIF($C$298:$C$337,I105,$D$298:$D$337)</f>
        <v/>
      </c>
      <c r="J354" s="20">
        <f>SUMIF($C$298:$C$337,J105,$D$298:$D$337)</f>
        <v/>
      </c>
      <c r="K354" s="20">
        <f>SUMIF($C$298:$C$337,K105,$D$298:$D$337)</f>
        <v/>
      </c>
      <c r="L354" s="20">
        <f>SUMIF($C$298:$C$337,L105,$D$298:$D$337)</f>
        <v/>
      </c>
      <c r="M354" s="20">
        <f>SUMIF($C$298:$C$337,M105,$D$298:$D$337)</f>
        <v/>
      </c>
      <c r="N354" s="20">
        <f>SUMIF($C$298:$C$337,N105,$D$298:$D$337)</f>
        <v/>
      </c>
      <c r="O354" s="20">
        <f>SUMIF($C$298:$C$337,O105,$D$298:$D$337)</f>
        <v/>
      </c>
      <c r="P354" s="20">
        <f>SUMIF($C$298:$C$337,P105,$D$298:$D$337)</f>
        <v/>
      </c>
      <c r="Q354" s="20">
        <f>SUMIF($C$298:$C$337,Q105,$D$298:$D$337)</f>
        <v/>
      </c>
      <c r="R354" s="20">
        <f>SUMIF($C$298:$C$337,R105,$D$298:$D$337)</f>
        <v/>
      </c>
      <c r="S354" s="20">
        <f>SUMIF($C$298:$C$337,S105,$D$298:$D$337)</f>
        <v/>
      </c>
      <c r="T354" s="20">
        <f>SUMIF($C$298:$C$337,T105,$D$298:$D$337)</f>
        <v/>
      </c>
      <c r="U354" s="20">
        <f>SUMIF($C$298:$C$337,U105,$D$298:$D$337)</f>
        <v/>
      </c>
      <c r="V354" s="20">
        <f>SUMIF($C$298:$C$337,V105,$D$298:$D$337)</f>
        <v/>
      </c>
      <c r="W354" s="20">
        <f>SUMIF($C$298:$C$337,W105,$D$298:$D$337)</f>
        <v/>
      </c>
      <c r="X354" s="20">
        <f>SUMIF($C$298:$C$337,X105,$D$298:$D$337)</f>
        <v/>
      </c>
      <c r="Y354" s="20">
        <f>SUMIF($C$298:$C$337,Y105,$D$298:$D$337)</f>
        <v/>
      </c>
      <c r="Z354" s="20">
        <f>SUMIF($C$298:$C$337,Z105,$D$298:$D$337)</f>
        <v/>
      </c>
      <c r="AA354" s="20">
        <f>SUMIF($C$298:$C$337,AA105,$D$298:$D$337)</f>
        <v/>
      </c>
      <c r="AB354" s="20">
        <f>SUMIF($C$298:$C$337,AB105,$D$298:$D$337)</f>
        <v/>
      </c>
      <c r="AC354" s="20">
        <f>SUMIF($C$298:$C$337,AC105,$D$298:$D$337)</f>
        <v/>
      </c>
      <c r="AD354" s="20">
        <f>SUMIF($C$298:$C$337,AD105,$D$298:$D$337)</f>
        <v/>
      </c>
      <c r="AE354" s="20">
        <f>SUMIF($C$298:$C$337,AE105,$D$298:$D$337)</f>
        <v/>
      </c>
      <c r="AF354" s="20">
        <f>SUMIF($C$298:$C$337,AF105,$D$298:$D$337)</f>
        <v/>
      </c>
    </row>
    <row r="355">
      <c r="A355" s="3" t="inlineStr">
        <is>
          <t>IVA sui costi di progetto</t>
        </is>
      </c>
      <c r="B355" s="4" t="inlineStr">
        <is>
          <t>€</t>
        </is>
      </c>
      <c r="C355" s="20">
        <f>SUMIF($C$298:$C$337,C105,$E$298:$E$337)</f>
        <v/>
      </c>
      <c r="D355" s="20">
        <f>SUMIF($C$298:$C$337,D105,$E$298:$E$337)</f>
        <v/>
      </c>
      <c r="E355" s="20">
        <f>SUMIF($C$298:$C$337,E105,$E$298:$E$337)</f>
        <v/>
      </c>
      <c r="F355" s="20">
        <f>SUMIF($C$298:$C$337,F105,$E$298:$E$337)</f>
        <v/>
      </c>
      <c r="G355" s="20">
        <f>SUMIF($C$298:$C$337,G105,$E$298:$E$337)</f>
        <v/>
      </c>
      <c r="H355" s="20">
        <f>SUMIF($C$298:$C$337,H105,$E$298:$E$337)</f>
        <v/>
      </c>
      <c r="I355" s="20">
        <f>SUMIF($C$298:$C$337,I105,$E$298:$E$337)</f>
        <v/>
      </c>
      <c r="J355" s="20">
        <f>SUMIF($C$298:$C$337,J105,$E$298:$E$337)</f>
        <v/>
      </c>
      <c r="K355" s="20">
        <f>SUMIF($C$298:$C$337,K105,$E$298:$E$337)</f>
        <v/>
      </c>
      <c r="L355" s="20">
        <f>SUMIF($C$298:$C$337,L105,$E$298:$E$337)</f>
        <v/>
      </c>
      <c r="M355" s="20">
        <f>SUMIF($C$298:$C$337,M105,$E$298:$E$337)</f>
        <v/>
      </c>
      <c r="N355" s="20">
        <f>SUMIF($C$298:$C$337,N105,$E$298:$E$337)</f>
        <v/>
      </c>
      <c r="O355" s="20">
        <f>SUMIF($C$298:$C$337,O105,$E$298:$E$337)</f>
        <v/>
      </c>
      <c r="P355" s="20">
        <f>SUMIF($C$298:$C$337,P105,$E$298:$E$337)</f>
        <v/>
      </c>
      <c r="Q355" s="20">
        <f>SUMIF($C$298:$C$337,Q105,$E$298:$E$337)</f>
        <v/>
      </c>
      <c r="R355" s="20">
        <f>SUMIF($C$298:$C$337,R105,$E$298:$E$337)</f>
        <v/>
      </c>
      <c r="S355" s="20">
        <f>SUMIF($C$298:$C$337,S105,$E$298:$E$337)</f>
        <v/>
      </c>
      <c r="T355" s="20">
        <f>SUMIF($C$298:$C$337,T105,$E$298:$E$337)</f>
        <v/>
      </c>
      <c r="U355" s="20">
        <f>SUMIF($C$298:$C$337,U105,$E$298:$E$337)</f>
        <v/>
      </c>
      <c r="V355" s="20">
        <f>SUMIF($C$298:$C$337,V105,$E$298:$E$337)</f>
        <v/>
      </c>
      <c r="W355" s="20">
        <f>SUMIF($C$298:$C$337,W105,$E$298:$E$337)</f>
        <v/>
      </c>
      <c r="X355" s="20">
        <f>SUMIF($C$298:$C$337,X105,$E$298:$E$337)</f>
        <v/>
      </c>
      <c r="Y355" s="20">
        <f>SUMIF($C$298:$C$337,Y105,$E$298:$E$337)</f>
        <v/>
      </c>
      <c r="Z355" s="20">
        <f>SUMIF($C$298:$C$337,Z105,$E$298:$E$337)</f>
        <v/>
      </c>
      <c r="AA355" s="20">
        <f>SUMIF($C$298:$C$337,AA105,$E$298:$E$337)</f>
        <v/>
      </c>
      <c r="AB355" s="20">
        <f>SUMIF($C$298:$C$337,AB105,$E$298:$E$337)</f>
        <v/>
      </c>
      <c r="AC355" s="20">
        <f>SUMIF($C$298:$C$337,AC105,$E$298:$E$337)</f>
        <v/>
      </c>
      <c r="AD355" s="20">
        <f>SUMIF($C$298:$C$337,AD105,$E$298:$E$337)</f>
        <v/>
      </c>
      <c r="AE355" s="20">
        <f>SUMIF($C$298:$C$337,AE105,$E$298:$E$337)</f>
        <v/>
      </c>
      <c r="AF355" s="20">
        <f>SUMIF($C$298:$C$337,AF105,$E$298:$E$337)</f>
        <v/>
      </c>
    </row>
    <row r="356">
      <c r="A356" s="3" t="inlineStr">
        <is>
          <t>IVA pagata ai fornitori nel mese</t>
        </is>
      </c>
      <c r="B356" s="4" t="inlineStr">
        <is>
          <t>€</t>
        </is>
      </c>
      <c r="C356" s="20">
        <f>C355+C350+C346*$C$44+C289*$C$44</f>
        <v/>
      </c>
      <c r="D356" s="20">
        <f>D355+D350+D346*$C$44+D289*$C$44</f>
        <v/>
      </c>
      <c r="E356" s="20">
        <f>E355+E350+E346*$C$44+E289*$C$44</f>
        <v/>
      </c>
      <c r="F356" s="20">
        <f>F355+F350+F346*$C$44+F289*$C$44</f>
        <v/>
      </c>
      <c r="G356" s="20">
        <f>G355+G350+G346*$C$44+G289*$C$44</f>
        <v/>
      </c>
      <c r="H356" s="20">
        <f>H355+H350+H346*$C$44+H289*$C$44</f>
        <v/>
      </c>
      <c r="I356" s="20">
        <f>I355+I350+I346*$C$44+I289*$C$44</f>
        <v/>
      </c>
      <c r="J356" s="20">
        <f>J355+J350+J346*$C$44+J289*$C$44</f>
        <v/>
      </c>
      <c r="K356" s="20">
        <f>K355+K350+K346*$C$44+K289*$C$44</f>
        <v/>
      </c>
      <c r="L356" s="20">
        <f>L355+L350+L346*$C$44+L289*$C$44</f>
        <v/>
      </c>
      <c r="M356" s="20">
        <f>M355+M350+M346*$C$44+M289*$C$44</f>
        <v/>
      </c>
      <c r="N356" s="20">
        <f>N355+N350+N346*$C$44+N289*$C$44</f>
        <v/>
      </c>
      <c r="O356" s="20">
        <f>O355+O350+O346*$C$44+O289*$C$44</f>
        <v/>
      </c>
      <c r="P356" s="20">
        <f>P355+P350+P346*$C$44+P289*$C$44</f>
        <v/>
      </c>
      <c r="Q356" s="20">
        <f>Q355+Q350+Q346*$C$44+Q289*$C$44</f>
        <v/>
      </c>
      <c r="R356" s="20">
        <f>R355+R350+R346*$C$44+R289*$C$44</f>
        <v/>
      </c>
      <c r="S356" s="20">
        <f>S355+S350+S346*$C$44+S289*$C$44</f>
        <v/>
      </c>
      <c r="T356" s="20">
        <f>T355+T350+T346*$C$44+T289*$C$44</f>
        <v/>
      </c>
      <c r="U356" s="20">
        <f>U355+U350+U346*$C$44+U289*$C$44</f>
        <v/>
      </c>
      <c r="V356" s="20">
        <f>V355+V350+V346*$C$44+V289*$C$44</f>
        <v/>
      </c>
      <c r="W356" s="20">
        <f>W355+W350+W346*$C$44+W289*$C$44</f>
        <v/>
      </c>
      <c r="X356" s="20">
        <f>X355+X350+X346*$C$44+X289*$C$44</f>
        <v/>
      </c>
      <c r="Y356" s="20">
        <f>Y355+Y350+Y346*$C$44+Y289*$C$44</f>
        <v/>
      </c>
      <c r="Z356" s="20">
        <f>Z355+Z350+Z346*$C$44+Z289*$C$44</f>
        <v/>
      </c>
      <c r="AA356" s="20">
        <f>AA355+AA350+AA346*$C$44+AA289*$C$44</f>
        <v/>
      </c>
      <c r="AB356" s="20">
        <f>AB355+AB350+AB346*$C$44+AB289*$C$44</f>
        <v/>
      </c>
      <c r="AC356" s="20">
        <f>AC355+AC350+AC346*$C$44+AC289*$C$44</f>
        <v/>
      </c>
      <c r="AD356" s="20">
        <f>AD355+AD350+AD346*$C$44+AD289*$C$44</f>
        <v/>
      </c>
      <c r="AE356" s="20">
        <f>AE355+AE350+AE346*$C$44+AE289*$C$44</f>
        <v/>
      </c>
      <c r="AF356" s="20">
        <f>AF355+AF350+AF346*$C$44+AF289*$C$44</f>
        <v/>
      </c>
    </row>
    <row r="357">
      <c r="A357" s="3" t="inlineStr">
        <is>
          <t>IVA del mese: vendite meno rimborsi meno acquisti</t>
        </is>
      </c>
      <c r="B357" s="4" t="inlineStr">
        <is>
          <t>€</t>
        </is>
      </c>
      <c r="C357" s="20">
        <f>C286-C288-C356</f>
        <v/>
      </c>
      <c r="D357" s="20">
        <f>D286-D288-D356</f>
        <v/>
      </c>
      <c r="E357" s="20">
        <f>E286-E288-E356</f>
        <v/>
      </c>
      <c r="F357" s="20">
        <f>F286-F288-F356</f>
        <v/>
      </c>
      <c r="G357" s="20">
        <f>G286-G288-G356</f>
        <v/>
      </c>
      <c r="H357" s="20">
        <f>H286-H288-H356</f>
        <v/>
      </c>
      <c r="I357" s="20">
        <f>I286-I288-I356</f>
        <v/>
      </c>
      <c r="J357" s="20">
        <f>J286-J288-J356</f>
        <v/>
      </c>
      <c r="K357" s="20">
        <f>K286-K288-K356</f>
        <v/>
      </c>
      <c r="L357" s="20">
        <f>L286-L288-L356</f>
        <v/>
      </c>
      <c r="M357" s="20">
        <f>M286-M288-M356</f>
        <v/>
      </c>
      <c r="N357" s="20">
        <f>N286-N288-N356</f>
        <v/>
      </c>
      <c r="O357" s="20">
        <f>O286-O288-O356</f>
        <v/>
      </c>
      <c r="P357" s="20">
        <f>P286-P288-P356</f>
        <v/>
      </c>
      <c r="Q357" s="20">
        <f>Q286-Q288-Q356</f>
        <v/>
      </c>
      <c r="R357" s="20">
        <f>R286-R288-R356</f>
        <v/>
      </c>
      <c r="S357" s="20">
        <f>S286-S288-S356</f>
        <v/>
      </c>
      <c r="T357" s="20">
        <f>T286-T288-T356</f>
        <v/>
      </c>
      <c r="U357" s="20">
        <f>U286-U288-U356</f>
        <v/>
      </c>
      <c r="V357" s="20">
        <f>V286-V288-V356</f>
        <v/>
      </c>
      <c r="W357" s="20">
        <f>W286-W288-W356</f>
        <v/>
      </c>
      <c r="X357" s="20">
        <f>X286-X288-X356</f>
        <v/>
      </c>
      <c r="Y357" s="20">
        <f>Y286-Y288-Y356</f>
        <v/>
      </c>
      <c r="Z357" s="20">
        <f>Z286-Z288-Z356</f>
        <v/>
      </c>
      <c r="AA357" s="20">
        <f>AA286-AA288-AA356</f>
        <v/>
      </c>
      <c r="AB357" s="20">
        <f>AB286-AB288-AB356</f>
        <v/>
      </c>
      <c r="AC357" s="20">
        <f>AC286-AC288-AC356</f>
        <v/>
      </c>
      <c r="AD357" s="20">
        <f>AD286-AD288-AD356</f>
        <v/>
      </c>
      <c r="AE357" s="20">
        <f>AE286-AE288-AE356</f>
        <v/>
      </c>
      <c r="AF357" s="20">
        <f>AF286-AF288-AF356</f>
        <v/>
      </c>
    </row>
    <row r="358">
      <c r="A358" s="3" t="inlineStr">
        <is>
          <t>Posizione prima del versamento</t>
        </is>
      </c>
      <c r="B358" s="4" t="inlineStr">
        <is>
          <t>€</t>
        </is>
      </c>
      <c r="C358" s="20">
        <f>C357</f>
        <v/>
      </c>
      <c r="D358" s="20">
        <f>C360+D357</f>
        <v/>
      </c>
      <c r="E358" s="20">
        <f>D360+E357</f>
        <v/>
      </c>
      <c r="F358" s="20">
        <f>E360+F357</f>
        <v/>
      </c>
      <c r="G358" s="20">
        <f>F360+G357</f>
        <v/>
      </c>
      <c r="H358" s="20">
        <f>G360+H357</f>
        <v/>
      </c>
      <c r="I358" s="20">
        <f>H360+I357</f>
        <v/>
      </c>
      <c r="J358" s="20">
        <f>I360+J357</f>
        <v/>
      </c>
      <c r="K358" s="20">
        <f>J360+K357</f>
        <v/>
      </c>
      <c r="L358" s="20">
        <f>K360+L357</f>
        <v/>
      </c>
      <c r="M358" s="20">
        <f>L360+M357</f>
        <v/>
      </c>
      <c r="N358" s="20">
        <f>M360+N357</f>
        <v/>
      </c>
      <c r="O358" s="20">
        <f>N360+O357</f>
        <v/>
      </c>
      <c r="P358" s="20">
        <f>O360+P357</f>
        <v/>
      </c>
      <c r="Q358" s="20">
        <f>P360+Q357</f>
        <v/>
      </c>
      <c r="R358" s="20">
        <f>Q360+R357</f>
        <v/>
      </c>
      <c r="S358" s="20">
        <f>R360+S357</f>
        <v/>
      </c>
      <c r="T358" s="20">
        <f>S360+T357</f>
        <v/>
      </c>
      <c r="U358" s="20">
        <f>T360+U357</f>
        <v/>
      </c>
      <c r="V358" s="20">
        <f>U360+V357</f>
        <v/>
      </c>
      <c r="W358" s="20">
        <f>V360+W357</f>
        <v/>
      </c>
      <c r="X358" s="20">
        <f>W360+X357</f>
        <v/>
      </c>
      <c r="Y358" s="20">
        <f>X360+Y357</f>
        <v/>
      </c>
      <c r="Z358" s="20">
        <f>Y360+Z357</f>
        <v/>
      </c>
      <c r="AA358" s="20">
        <f>Z360+AA357</f>
        <v/>
      </c>
      <c r="AB358" s="20">
        <f>AA360+AB357</f>
        <v/>
      </c>
      <c r="AC358" s="20">
        <f>AB360+AC357</f>
        <v/>
      </c>
      <c r="AD358" s="20">
        <f>AC360+AD357</f>
        <v/>
      </c>
      <c r="AE358" s="20">
        <f>AD360+AE357</f>
        <v/>
      </c>
      <c r="AF358" s="20">
        <f>AE360+AF357</f>
        <v/>
      </c>
    </row>
    <row r="359">
      <c r="A359" s="3" t="inlineStr">
        <is>
          <t>IVA da versare il mese successivo</t>
        </is>
      </c>
      <c r="B359" s="4" t="inlineStr">
        <is>
          <t>€</t>
        </is>
      </c>
      <c r="C359" s="20">
        <f>MAX(0,C358)</f>
        <v/>
      </c>
      <c r="D359" s="20">
        <f>MAX(0,D358)</f>
        <v/>
      </c>
      <c r="E359" s="20">
        <f>MAX(0,E358)</f>
        <v/>
      </c>
      <c r="F359" s="20">
        <f>MAX(0,F358)</f>
        <v/>
      </c>
      <c r="G359" s="20">
        <f>MAX(0,G358)</f>
        <v/>
      </c>
      <c r="H359" s="20">
        <f>MAX(0,H358)</f>
        <v/>
      </c>
      <c r="I359" s="20">
        <f>MAX(0,I358)</f>
        <v/>
      </c>
      <c r="J359" s="20">
        <f>MAX(0,J358)</f>
        <v/>
      </c>
      <c r="K359" s="20">
        <f>MAX(0,K358)</f>
        <v/>
      </c>
      <c r="L359" s="20">
        <f>MAX(0,L358)</f>
        <v/>
      </c>
      <c r="M359" s="20">
        <f>MAX(0,M358)</f>
        <v/>
      </c>
      <c r="N359" s="20">
        <f>MAX(0,N358)</f>
        <v/>
      </c>
      <c r="O359" s="20">
        <f>MAX(0,O358)</f>
        <v/>
      </c>
      <c r="P359" s="20">
        <f>MAX(0,P358)</f>
        <v/>
      </c>
      <c r="Q359" s="20">
        <f>MAX(0,Q358)</f>
        <v/>
      </c>
      <c r="R359" s="20">
        <f>MAX(0,R358)</f>
        <v/>
      </c>
      <c r="S359" s="20">
        <f>MAX(0,S358)</f>
        <v/>
      </c>
      <c r="T359" s="20">
        <f>MAX(0,T358)</f>
        <v/>
      </c>
      <c r="U359" s="20">
        <f>MAX(0,U358)</f>
        <v/>
      </c>
      <c r="V359" s="20">
        <f>MAX(0,V358)</f>
        <v/>
      </c>
      <c r="W359" s="20">
        <f>MAX(0,W358)</f>
        <v/>
      </c>
      <c r="X359" s="20">
        <f>MAX(0,X358)</f>
        <v/>
      </c>
      <c r="Y359" s="20">
        <f>MAX(0,Y358)</f>
        <v/>
      </c>
      <c r="Z359" s="20">
        <f>MAX(0,Z358)</f>
        <v/>
      </c>
      <c r="AA359" s="20">
        <f>MAX(0,AA358)</f>
        <v/>
      </c>
      <c r="AB359" s="20">
        <f>MAX(0,AB358)</f>
        <v/>
      </c>
      <c r="AC359" s="20">
        <f>MAX(0,AC358)</f>
        <v/>
      </c>
      <c r="AD359" s="20">
        <f>MAX(0,AD358)</f>
        <v/>
      </c>
      <c r="AE359" s="20">
        <f>MAX(0,AE358)</f>
        <v/>
      </c>
      <c r="AF359" s="20">
        <f>MAX(0,AF358)</f>
        <v/>
      </c>
    </row>
    <row r="360">
      <c r="A360" s="3" t="inlineStr">
        <is>
          <t>Posizione dopo il versamento (negativo = credito)</t>
        </is>
      </c>
      <c r="B360" s="4" t="inlineStr">
        <is>
          <t>€</t>
        </is>
      </c>
      <c r="C360" s="20">
        <f>MIN(0,C358)</f>
        <v/>
      </c>
      <c r="D360" s="20">
        <f>MIN(0,D358)</f>
        <v/>
      </c>
      <c r="E360" s="20">
        <f>MIN(0,E358)</f>
        <v/>
      </c>
      <c r="F360" s="20">
        <f>MIN(0,F358)</f>
        <v/>
      </c>
      <c r="G360" s="20">
        <f>MIN(0,G358)</f>
        <v/>
      </c>
      <c r="H360" s="20">
        <f>MIN(0,H358)</f>
        <v/>
      </c>
      <c r="I360" s="20">
        <f>MIN(0,I358)</f>
        <v/>
      </c>
      <c r="J360" s="20">
        <f>MIN(0,J358)</f>
        <v/>
      </c>
      <c r="K360" s="20">
        <f>MIN(0,K358)</f>
        <v/>
      </c>
      <c r="L360" s="20">
        <f>MIN(0,L358)</f>
        <v/>
      </c>
      <c r="M360" s="20">
        <f>MIN(0,M358)</f>
        <v/>
      </c>
      <c r="N360" s="20">
        <f>MIN(0,N358)</f>
        <v/>
      </c>
      <c r="O360" s="20">
        <f>MIN(0,O358)</f>
        <v/>
      </c>
      <c r="P360" s="20">
        <f>MIN(0,P358)</f>
        <v/>
      </c>
      <c r="Q360" s="20">
        <f>MIN(0,Q358)</f>
        <v/>
      </c>
      <c r="R360" s="20">
        <f>MIN(0,R358)</f>
        <v/>
      </c>
      <c r="S360" s="20">
        <f>MIN(0,S358)</f>
        <v/>
      </c>
      <c r="T360" s="20">
        <f>MIN(0,T358)</f>
        <v/>
      </c>
      <c r="U360" s="20">
        <f>MIN(0,U358)</f>
        <v/>
      </c>
      <c r="V360" s="20">
        <f>MIN(0,V358)</f>
        <v/>
      </c>
      <c r="W360" s="20">
        <f>MIN(0,W358)</f>
        <v/>
      </c>
      <c r="X360" s="20">
        <f>MIN(0,X358)</f>
        <v/>
      </c>
      <c r="Y360" s="20">
        <f>MIN(0,Y358)</f>
        <v/>
      </c>
      <c r="Z360" s="20">
        <f>MIN(0,Z358)</f>
        <v/>
      </c>
      <c r="AA360" s="20">
        <f>MIN(0,AA358)</f>
        <v/>
      </c>
      <c r="AB360" s="20">
        <f>MIN(0,AB358)</f>
        <v/>
      </c>
      <c r="AC360" s="20">
        <f>MIN(0,AC358)</f>
        <v/>
      </c>
      <c r="AD360" s="20">
        <f>MIN(0,AD358)</f>
        <v/>
      </c>
      <c r="AE360" s="20">
        <f>MIN(0,AE358)</f>
        <v/>
      </c>
      <c r="AF360" s="20">
        <f>MIN(0,AF358)</f>
        <v/>
      </c>
    </row>
    <row r="361">
      <c r="A361" s="3" t="inlineStr">
        <is>
          <t>IVA versata nel mese</t>
        </is>
      </c>
      <c r="B361" s="4" t="inlineStr">
        <is>
          <t>€</t>
        </is>
      </c>
      <c r="C361" s="20" t="n">
        <v>0</v>
      </c>
      <c r="D361" s="20">
        <f>C359</f>
        <v/>
      </c>
      <c r="E361" s="20">
        <f>D359</f>
        <v/>
      </c>
      <c r="F361" s="20">
        <f>E359</f>
        <v/>
      </c>
      <c r="G361" s="20">
        <f>F359</f>
        <v/>
      </c>
      <c r="H361" s="20">
        <f>G359</f>
        <v/>
      </c>
      <c r="I361" s="20">
        <f>H359</f>
        <v/>
      </c>
      <c r="J361" s="20">
        <f>I359</f>
        <v/>
      </c>
      <c r="K361" s="20">
        <f>J359</f>
        <v/>
      </c>
      <c r="L361" s="20">
        <f>K359</f>
        <v/>
      </c>
      <c r="M361" s="20">
        <f>L359</f>
        <v/>
      </c>
      <c r="N361" s="20">
        <f>M359</f>
        <v/>
      </c>
      <c r="O361" s="20">
        <f>N359</f>
        <v/>
      </c>
      <c r="P361" s="20">
        <f>O359</f>
        <v/>
      </c>
      <c r="Q361" s="20">
        <f>P359</f>
        <v/>
      </c>
      <c r="R361" s="20">
        <f>Q359</f>
        <v/>
      </c>
      <c r="S361" s="20">
        <f>R359</f>
        <v/>
      </c>
      <c r="T361" s="20">
        <f>S359</f>
        <v/>
      </c>
      <c r="U361" s="20">
        <f>T359</f>
        <v/>
      </c>
      <c r="V361" s="20">
        <f>U359</f>
        <v/>
      </c>
      <c r="W361" s="20">
        <f>V359</f>
        <v/>
      </c>
      <c r="X361" s="20">
        <f>W359</f>
        <v/>
      </c>
      <c r="Y361" s="20">
        <f>X359</f>
        <v/>
      </c>
      <c r="Z361" s="20">
        <f>Y359</f>
        <v/>
      </c>
      <c r="AA361" s="20">
        <f>Z359</f>
        <v/>
      </c>
      <c r="AB361" s="20">
        <f>AA359</f>
        <v/>
      </c>
      <c r="AC361" s="20">
        <f>AB359</f>
        <v/>
      </c>
      <c r="AD361" s="20">
        <f>AC359</f>
        <v/>
      </c>
      <c r="AE361" s="20">
        <f>AD359</f>
        <v/>
      </c>
      <c r="AF361" s="20">
        <f>AE359</f>
        <v/>
      </c>
    </row>
    <row r="362">
      <c r="A362" s="3" t="inlineStr">
        <is>
          <t>Credito IVA a fine mese</t>
        </is>
      </c>
      <c r="B362" s="4" t="inlineStr">
        <is>
          <t>€</t>
        </is>
      </c>
      <c r="C362" s="20">
        <f>-C360</f>
        <v/>
      </c>
      <c r="D362" s="20">
        <f>-D360</f>
        <v/>
      </c>
      <c r="E362" s="20">
        <f>-E360</f>
        <v/>
      </c>
      <c r="F362" s="20">
        <f>-F360</f>
        <v/>
      </c>
      <c r="G362" s="20">
        <f>-G360</f>
        <v/>
      </c>
      <c r="H362" s="20">
        <f>-H360</f>
        <v/>
      </c>
      <c r="I362" s="20">
        <f>-I360</f>
        <v/>
      </c>
      <c r="J362" s="20">
        <f>-J360</f>
        <v/>
      </c>
      <c r="K362" s="20">
        <f>-K360</f>
        <v/>
      </c>
      <c r="L362" s="20">
        <f>-L360</f>
        <v/>
      </c>
      <c r="M362" s="20">
        <f>-M360</f>
        <v/>
      </c>
      <c r="N362" s="20">
        <f>-N360</f>
        <v/>
      </c>
      <c r="O362" s="20">
        <f>-O360</f>
        <v/>
      </c>
      <c r="P362" s="20">
        <f>-P360</f>
        <v/>
      </c>
      <c r="Q362" s="20">
        <f>-Q360</f>
        <v/>
      </c>
      <c r="R362" s="20">
        <f>-R360</f>
        <v/>
      </c>
      <c r="S362" s="20">
        <f>-S360</f>
        <v/>
      </c>
      <c r="T362" s="20">
        <f>-T360</f>
        <v/>
      </c>
      <c r="U362" s="20">
        <f>-U360</f>
        <v/>
      </c>
      <c r="V362" s="20">
        <f>-V360</f>
        <v/>
      </c>
      <c r="W362" s="20">
        <f>-W360</f>
        <v/>
      </c>
      <c r="X362" s="20">
        <f>-X360</f>
        <v/>
      </c>
      <c r="Y362" s="20">
        <f>-Y360</f>
        <v/>
      </c>
      <c r="Z362" s="20">
        <f>-Z360</f>
        <v/>
      </c>
      <c r="AA362" s="20">
        <f>-AA360</f>
        <v/>
      </c>
      <c r="AB362" s="20">
        <f>-AB360</f>
        <v/>
      </c>
      <c r="AC362" s="20">
        <f>-AC360</f>
        <v/>
      </c>
      <c r="AD362" s="20">
        <f>-AD360</f>
        <v/>
      </c>
      <c r="AE362" s="20">
        <f>-AE360</f>
        <v/>
      </c>
      <c r="AF362" s="20">
        <f>-AF360</f>
        <v/>
      </c>
    </row>
    <row r="364">
      <c r="A364" s="10" t="inlineStr">
        <is>
          <t>Cassa</t>
        </is>
      </c>
    </row>
    <row r="365">
      <c r="A365" s="3" t="inlineStr">
        <is>
          <t>Capitale versato</t>
        </is>
      </c>
      <c r="B365" s="4" t="inlineStr">
        <is>
          <t>€</t>
        </is>
      </c>
      <c r="C365" s="20">
        <f>IF(C105=1,$C$41,0)+IF(C105=$C$42,$C$43,0)</f>
        <v/>
      </c>
      <c r="D365" s="20">
        <f>IF(D105=1,$C$41,0)+IF(D105=$C$42,$C$43,0)</f>
        <v/>
      </c>
      <c r="E365" s="20">
        <f>IF(E105=1,$C$41,0)+IF(E105=$C$42,$C$43,0)</f>
        <v/>
      </c>
      <c r="F365" s="20">
        <f>IF(F105=1,$C$41,0)+IF(F105=$C$42,$C$43,0)</f>
        <v/>
      </c>
      <c r="G365" s="20">
        <f>IF(G105=1,$C$41,0)+IF(G105=$C$42,$C$43,0)</f>
        <v/>
      </c>
      <c r="H365" s="20">
        <f>IF(H105=1,$C$41,0)+IF(H105=$C$42,$C$43,0)</f>
        <v/>
      </c>
      <c r="I365" s="20">
        <f>IF(I105=1,$C$41,0)+IF(I105=$C$42,$C$43,0)</f>
        <v/>
      </c>
      <c r="J365" s="20">
        <f>IF(J105=1,$C$41,0)+IF(J105=$C$42,$C$43,0)</f>
        <v/>
      </c>
      <c r="K365" s="20">
        <f>IF(K105=1,$C$41,0)+IF(K105=$C$42,$C$43,0)</f>
        <v/>
      </c>
      <c r="L365" s="20">
        <f>IF(L105=1,$C$41,0)+IF(L105=$C$42,$C$43,0)</f>
        <v/>
      </c>
      <c r="M365" s="20">
        <f>IF(M105=1,$C$41,0)+IF(M105=$C$42,$C$43,0)</f>
        <v/>
      </c>
      <c r="N365" s="20">
        <f>IF(N105=1,$C$41,0)+IF(N105=$C$42,$C$43,0)</f>
        <v/>
      </c>
      <c r="O365" s="20">
        <f>IF(O105=1,$C$41,0)+IF(O105=$C$42,$C$43,0)</f>
        <v/>
      </c>
      <c r="P365" s="20">
        <f>IF(P105=1,$C$41,0)+IF(P105=$C$42,$C$43,0)</f>
        <v/>
      </c>
      <c r="Q365" s="20">
        <f>IF(Q105=1,$C$41,0)+IF(Q105=$C$42,$C$43,0)</f>
        <v/>
      </c>
      <c r="R365" s="20">
        <f>IF(R105=1,$C$41,0)+IF(R105=$C$42,$C$43,0)</f>
        <v/>
      </c>
      <c r="S365" s="20">
        <f>IF(S105=1,$C$41,0)+IF(S105=$C$42,$C$43,0)</f>
        <v/>
      </c>
      <c r="T365" s="20">
        <f>IF(T105=1,$C$41,0)+IF(T105=$C$42,$C$43,0)</f>
        <v/>
      </c>
      <c r="U365" s="20">
        <f>IF(U105=1,$C$41,0)+IF(U105=$C$42,$C$43,0)</f>
        <v/>
      </c>
      <c r="V365" s="20">
        <f>IF(V105=1,$C$41,0)+IF(V105=$C$42,$C$43,0)</f>
        <v/>
      </c>
      <c r="W365" s="20">
        <f>IF(W105=1,$C$41,0)+IF(W105=$C$42,$C$43,0)</f>
        <v/>
      </c>
      <c r="X365" s="20">
        <f>IF(X105=1,$C$41,0)+IF(X105=$C$42,$C$43,0)</f>
        <v/>
      </c>
      <c r="Y365" s="20">
        <f>IF(Y105=1,$C$41,0)+IF(Y105=$C$42,$C$43,0)</f>
        <v/>
      </c>
      <c r="Z365" s="20">
        <f>IF(Z105=1,$C$41,0)+IF(Z105=$C$42,$C$43,0)</f>
        <v/>
      </c>
      <c r="AA365" s="20">
        <f>IF(AA105=1,$C$41,0)+IF(AA105=$C$42,$C$43,0)</f>
        <v/>
      </c>
      <c r="AB365" s="20">
        <f>IF(AB105=1,$C$41,0)+IF(AB105=$C$42,$C$43,0)</f>
        <v/>
      </c>
      <c r="AC365" s="20">
        <f>IF(AC105=1,$C$41,0)+IF(AC105=$C$42,$C$43,0)</f>
        <v/>
      </c>
      <c r="AD365" s="20">
        <f>IF(AD105=1,$C$41,0)+IF(AD105=$C$42,$C$43,0)</f>
        <v/>
      </c>
      <c r="AE365" s="20">
        <f>IF(AE105=1,$C$41,0)+IF(AE105=$C$42,$C$43,0)</f>
        <v/>
      </c>
      <c r="AF365" s="20">
        <f>IF(AF105=1,$C$41,0)+IF(AF105=$C$42,$C$43,0)</f>
        <v/>
      </c>
    </row>
    <row r="366">
      <c r="A366" s="3" t="inlineStr">
        <is>
          <t>Entrate: capitale e incassi</t>
        </is>
      </c>
      <c r="B366" s="4" t="inlineStr">
        <is>
          <t>€</t>
        </is>
      </c>
      <c r="C366" s="20">
        <f>C365+C284</f>
        <v/>
      </c>
      <c r="D366" s="20">
        <f>D365+D284</f>
        <v/>
      </c>
      <c r="E366" s="20">
        <f>E365+E284</f>
        <v/>
      </c>
      <c r="F366" s="20">
        <f>F365+F284</f>
        <v/>
      </c>
      <c r="G366" s="20">
        <f>G365+G284</f>
        <v/>
      </c>
      <c r="H366" s="20">
        <f>H365+H284</f>
        <v/>
      </c>
      <c r="I366" s="20">
        <f>I365+I284</f>
        <v/>
      </c>
      <c r="J366" s="20">
        <f>J365+J284</f>
        <v/>
      </c>
      <c r="K366" s="20">
        <f>K365+K284</f>
        <v/>
      </c>
      <c r="L366" s="20">
        <f>L365+L284</f>
        <v/>
      </c>
      <c r="M366" s="20">
        <f>M365+M284</f>
        <v/>
      </c>
      <c r="N366" s="20">
        <f>N365+N284</f>
        <v/>
      </c>
      <c r="O366" s="20">
        <f>O365+O284</f>
        <v/>
      </c>
      <c r="P366" s="20">
        <f>P365+P284</f>
        <v/>
      </c>
      <c r="Q366" s="20">
        <f>Q365+Q284</f>
        <v/>
      </c>
      <c r="R366" s="20">
        <f>R365+R284</f>
        <v/>
      </c>
      <c r="S366" s="20">
        <f>S365+S284</f>
        <v/>
      </c>
      <c r="T366" s="20">
        <f>T365+T284</f>
        <v/>
      </c>
      <c r="U366" s="20">
        <f>U365+U284</f>
        <v/>
      </c>
      <c r="V366" s="20">
        <f>V365+V284</f>
        <v/>
      </c>
      <c r="W366" s="20">
        <f>W365+W284</f>
        <v/>
      </c>
      <c r="X366" s="20">
        <f>X365+X284</f>
        <v/>
      </c>
      <c r="Y366" s="20">
        <f>Y365+Y284</f>
        <v/>
      </c>
      <c r="Z366" s="20">
        <f>Z365+Z284</f>
        <v/>
      </c>
      <c r="AA366" s="20">
        <f>AA365+AA284</f>
        <v/>
      </c>
      <c r="AB366" s="20">
        <f>AB365+AB284</f>
        <v/>
      </c>
      <c r="AC366" s="20">
        <f>AC365+AC284</f>
        <v/>
      </c>
      <c r="AD366" s="20">
        <f>AD365+AD284</f>
        <v/>
      </c>
      <c r="AE366" s="20">
        <f>AE365+AE284</f>
        <v/>
      </c>
      <c r="AF366" s="20">
        <f>AF365+AF284</f>
        <v/>
      </c>
    </row>
    <row r="367">
      <c r="A367" s="3" t="inlineStr">
        <is>
          <t>Uscite totali</t>
        </is>
      </c>
      <c r="B367" s="4" t="inlineStr">
        <is>
          <t>€</t>
        </is>
      </c>
      <c r="C367" s="20">
        <f>C287+C289*(1+$C$44)+C290+C291+C107+C116+C354+C355+C349+C350+C346*(1+$C$44)+C361</f>
        <v/>
      </c>
      <c r="D367" s="20">
        <f>D287+D289*(1+$C$44)+D290+D291+D107+D116+D354+D355+D349+D350+D346*(1+$C$44)+D361</f>
        <v/>
      </c>
      <c r="E367" s="20">
        <f>E287+E289*(1+$C$44)+E290+E291+E107+E116+E354+E355+E349+E350+E346*(1+$C$44)+E361</f>
        <v/>
      </c>
      <c r="F367" s="20">
        <f>F287+F289*(1+$C$44)+F290+F291+F107+F116+F354+F355+F349+F350+F346*(1+$C$44)+F361</f>
        <v/>
      </c>
      <c r="G367" s="20">
        <f>G287+G289*(1+$C$44)+G290+G291+G107+G116+G354+G355+G349+G350+G346*(1+$C$44)+G361</f>
        <v/>
      </c>
      <c r="H367" s="20">
        <f>H287+H289*(1+$C$44)+H290+H291+H107+H116+H354+H355+H349+H350+H346*(1+$C$44)+H361</f>
        <v/>
      </c>
      <c r="I367" s="20">
        <f>I287+I289*(1+$C$44)+I290+I291+I107+I116+I354+I355+I349+I350+I346*(1+$C$44)+I361</f>
        <v/>
      </c>
      <c r="J367" s="20">
        <f>J287+J289*(1+$C$44)+J290+J291+J107+J116+J354+J355+J349+J350+J346*(1+$C$44)+J361</f>
        <v/>
      </c>
      <c r="K367" s="20">
        <f>K287+K289*(1+$C$44)+K290+K291+K107+K116+K354+K355+K349+K350+K346*(1+$C$44)+K361</f>
        <v/>
      </c>
      <c r="L367" s="20">
        <f>L287+L289*(1+$C$44)+L290+L291+L107+L116+L354+L355+L349+L350+L346*(1+$C$44)+L361</f>
        <v/>
      </c>
      <c r="M367" s="20">
        <f>M287+M289*(1+$C$44)+M290+M291+M107+M116+M354+M355+M349+M350+M346*(1+$C$44)+M361</f>
        <v/>
      </c>
      <c r="N367" s="20">
        <f>N287+N289*(1+$C$44)+N290+N291+N107+N116+N354+N355+N349+N350+N346*(1+$C$44)+N361</f>
        <v/>
      </c>
      <c r="O367" s="20">
        <f>O287+O289*(1+$C$44)+O290+O291+O107+O116+O354+O355+O349+O350+O346*(1+$C$44)+O361</f>
        <v/>
      </c>
      <c r="P367" s="20">
        <f>P287+P289*(1+$C$44)+P290+P291+P107+P116+P354+P355+P349+P350+P346*(1+$C$44)+P361</f>
        <v/>
      </c>
      <c r="Q367" s="20">
        <f>Q287+Q289*(1+$C$44)+Q290+Q291+Q107+Q116+Q354+Q355+Q349+Q350+Q346*(1+$C$44)+Q361</f>
        <v/>
      </c>
      <c r="R367" s="20">
        <f>R287+R289*(1+$C$44)+R290+R291+R107+R116+R354+R355+R349+R350+R346*(1+$C$44)+R361</f>
        <v/>
      </c>
      <c r="S367" s="20">
        <f>S287+S289*(1+$C$44)+S290+S291+S107+S116+S354+S355+S349+S350+S346*(1+$C$44)+S361</f>
        <v/>
      </c>
      <c r="T367" s="20">
        <f>T287+T289*(1+$C$44)+T290+T291+T107+T116+T354+T355+T349+T350+T346*(1+$C$44)+T361</f>
        <v/>
      </c>
      <c r="U367" s="20">
        <f>U287+U289*(1+$C$44)+U290+U291+U107+U116+U354+U355+U349+U350+U346*(1+$C$44)+U361</f>
        <v/>
      </c>
      <c r="V367" s="20">
        <f>V287+V289*(1+$C$44)+V290+V291+V107+V116+V354+V355+V349+V350+V346*(1+$C$44)+V361</f>
        <v/>
      </c>
      <c r="W367" s="20">
        <f>W287+W289*(1+$C$44)+W290+W291+W107+W116+W354+W355+W349+W350+W346*(1+$C$44)+W361</f>
        <v/>
      </c>
      <c r="X367" s="20">
        <f>X287+X289*(1+$C$44)+X290+X291+X107+X116+X354+X355+X349+X350+X346*(1+$C$44)+X361</f>
        <v/>
      </c>
      <c r="Y367" s="20">
        <f>Y287+Y289*(1+$C$44)+Y290+Y291+Y107+Y116+Y354+Y355+Y349+Y350+Y346*(1+$C$44)+Y361</f>
        <v/>
      </c>
      <c r="Z367" s="20">
        <f>Z287+Z289*(1+$C$44)+Z290+Z291+Z107+Z116+Z354+Z355+Z349+Z350+Z346*(1+$C$44)+Z361</f>
        <v/>
      </c>
      <c r="AA367" s="20">
        <f>AA287+AA289*(1+$C$44)+AA290+AA291+AA107+AA116+AA354+AA355+AA349+AA350+AA346*(1+$C$44)+AA361</f>
        <v/>
      </c>
      <c r="AB367" s="20">
        <f>AB287+AB289*(1+$C$44)+AB290+AB291+AB107+AB116+AB354+AB355+AB349+AB350+AB346*(1+$C$44)+AB361</f>
        <v/>
      </c>
      <c r="AC367" s="20">
        <f>AC287+AC289*(1+$C$44)+AC290+AC291+AC107+AC116+AC354+AC355+AC349+AC350+AC346*(1+$C$44)+AC361</f>
        <v/>
      </c>
      <c r="AD367" s="20">
        <f>AD287+AD289*(1+$C$44)+AD290+AD291+AD107+AD116+AD354+AD355+AD349+AD350+AD346*(1+$C$44)+AD361</f>
        <v/>
      </c>
      <c r="AE367" s="20">
        <f>AE287+AE289*(1+$C$44)+AE290+AE291+AE107+AE116+AE354+AE355+AE349+AE350+AE346*(1+$C$44)+AE361</f>
        <v/>
      </c>
      <c r="AF367" s="20">
        <f>AF287+AF289*(1+$C$44)+AF290+AF291+AF107+AF116+AF354+AF355+AF349+AF350+AF346*(1+$C$44)+AF361</f>
        <v/>
      </c>
    </row>
    <row r="368">
      <c r="A368" s="3" t="inlineStr">
        <is>
          <t>Cassa a fine mese</t>
        </is>
      </c>
      <c r="B368" s="4" t="inlineStr">
        <is>
          <t>€</t>
        </is>
      </c>
      <c r="C368" s="26">
        <f>C366-C367</f>
        <v/>
      </c>
      <c r="D368" s="26">
        <f>C368+D366-D367</f>
        <v/>
      </c>
      <c r="E368" s="26">
        <f>D368+E366-E367</f>
        <v/>
      </c>
      <c r="F368" s="26">
        <f>E368+F366-F367</f>
        <v/>
      </c>
      <c r="G368" s="26">
        <f>F368+G366-G367</f>
        <v/>
      </c>
      <c r="H368" s="26">
        <f>G368+H366-H367</f>
        <v/>
      </c>
      <c r="I368" s="26">
        <f>H368+I366-I367</f>
        <v/>
      </c>
      <c r="J368" s="26">
        <f>I368+J366-J367</f>
        <v/>
      </c>
      <c r="K368" s="26">
        <f>J368+K366-K367</f>
        <v/>
      </c>
      <c r="L368" s="26">
        <f>K368+L366-L367</f>
        <v/>
      </c>
      <c r="M368" s="26">
        <f>L368+M366-M367</f>
        <v/>
      </c>
      <c r="N368" s="26">
        <f>M368+N366-N367</f>
        <v/>
      </c>
      <c r="O368" s="26">
        <f>N368+O366-O367</f>
        <v/>
      </c>
      <c r="P368" s="26">
        <f>O368+P366-P367</f>
        <v/>
      </c>
      <c r="Q368" s="26">
        <f>P368+Q366-Q367</f>
        <v/>
      </c>
      <c r="R368" s="26">
        <f>Q368+R366-R367</f>
        <v/>
      </c>
      <c r="S368" s="26">
        <f>R368+S366-S367</f>
        <v/>
      </c>
      <c r="T368" s="26">
        <f>S368+T366-T367</f>
        <v/>
      </c>
      <c r="U368" s="26">
        <f>T368+U366-U367</f>
        <v/>
      </c>
      <c r="V368" s="26">
        <f>U368+V366-V367</f>
        <v/>
      </c>
      <c r="W368" s="26">
        <f>V368+W366-W367</f>
        <v/>
      </c>
      <c r="X368" s="26">
        <f>W368+X366-X367</f>
        <v/>
      </c>
      <c r="Y368" s="26">
        <f>X368+Y366-Y367</f>
        <v/>
      </c>
      <c r="Z368" s="26">
        <f>Y368+Z366-Z367</f>
        <v/>
      </c>
      <c r="AA368" s="26">
        <f>Z368+AA366-AA367</f>
        <v/>
      </c>
      <c r="AB368" s="26">
        <f>AA368+AB366-AB367</f>
        <v/>
      </c>
      <c r="AC368" s="26">
        <f>AB368+AC366-AC367</f>
        <v/>
      </c>
      <c r="AD368" s="26">
        <f>AC368+AD366-AD367</f>
        <v/>
      </c>
      <c r="AE368" s="26">
        <f>AD368+AE366-AE367</f>
        <v/>
      </c>
      <c r="AF368" s="26">
        <f>AE368+AF366-AF367</f>
        <v/>
      </c>
    </row>
    <row r="369">
      <c r="A369" s="3" t="inlineStr">
        <is>
          <t>Garanzia: rimborsi attesi non ancora pagati (lordi)</t>
        </is>
      </c>
      <c r="B369" s="4" t="inlineStr">
        <is>
          <t>€</t>
        </is>
      </c>
      <c r="C369" s="20">
        <f>SUM($C$112:C112)*$C$12*$C$13*$H$76-SUM($C$287:C287)</f>
        <v/>
      </c>
      <c r="D369" s="20">
        <f>SUM($C$112:D112)*$C$12*$C$13*$H$76-SUM($C$287:D287)</f>
        <v/>
      </c>
      <c r="E369" s="20">
        <f>SUM($C$112:E112)*$C$12*$C$13*$H$76-SUM($C$287:E287)</f>
        <v/>
      </c>
      <c r="F369" s="20">
        <f>SUM($C$112:F112)*$C$12*$C$13*$H$76-SUM($C$287:F287)</f>
        <v/>
      </c>
      <c r="G369" s="20">
        <f>SUM($C$112:G112)*$C$12*$C$13*$H$76-SUM($C$287:G287)</f>
        <v/>
      </c>
      <c r="H369" s="20">
        <f>SUM($C$112:H112)*$C$12*$C$13*$H$76-SUM($C$287:H287)</f>
        <v/>
      </c>
      <c r="I369" s="20">
        <f>SUM($C$112:I112)*$C$12*$C$13*$H$76-SUM($C$287:I287)</f>
        <v/>
      </c>
      <c r="J369" s="20">
        <f>SUM($C$112:J112)*$C$12*$C$13*$H$76-SUM($C$287:J287)</f>
        <v/>
      </c>
      <c r="K369" s="20">
        <f>SUM($C$112:K112)*$C$12*$C$13*$H$76-SUM($C$287:K287)</f>
        <v/>
      </c>
      <c r="L369" s="20">
        <f>SUM($C$112:L112)*$C$12*$C$13*$H$76-SUM($C$287:L287)</f>
        <v/>
      </c>
      <c r="M369" s="20">
        <f>SUM($C$112:M112)*$C$12*$C$13*$H$76-SUM($C$287:M287)</f>
        <v/>
      </c>
      <c r="N369" s="20">
        <f>SUM($C$112:N112)*$C$12*$C$13*$H$76-SUM($C$287:N287)</f>
        <v/>
      </c>
      <c r="O369" s="20">
        <f>SUM($C$112:O112)*$C$12*$C$13*$H$76-SUM($C$287:O287)</f>
        <v/>
      </c>
      <c r="P369" s="20">
        <f>SUM($C$112:P112)*$C$12*$C$13*$H$76-SUM($C$287:P287)</f>
        <v/>
      </c>
      <c r="Q369" s="20">
        <f>SUM($C$112:Q112)*$C$12*$C$13*$H$76-SUM($C$287:Q287)</f>
        <v/>
      </c>
      <c r="R369" s="20">
        <f>SUM($C$112:R112)*$C$12*$C$13*$H$76-SUM($C$287:R287)</f>
        <v/>
      </c>
      <c r="S369" s="20">
        <f>SUM($C$112:S112)*$C$12*$C$13*$H$76-SUM($C$287:S287)</f>
        <v/>
      </c>
      <c r="T369" s="20">
        <f>SUM($C$112:T112)*$C$12*$C$13*$H$76-SUM($C$287:T287)</f>
        <v/>
      </c>
      <c r="U369" s="20">
        <f>SUM($C$112:U112)*$C$12*$C$13*$H$76-SUM($C$287:U287)</f>
        <v/>
      </c>
      <c r="V369" s="20">
        <f>SUM($C$112:V112)*$C$12*$C$13*$H$76-SUM($C$287:V287)</f>
        <v/>
      </c>
      <c r="W369" s="20">
        <f>SUM($C$112:W112)*$C$12*$C$13*$H$76-SUM($C$287:W287)</f>
        <v/>
      </c>
      <c r="X369" s="20">
        <f>SUM($C$112:X112)*$C$12*$C$13*$H$76-SUM($C$287:X287)</f>
        <v/>
      </c>
      <c r="Y369" s="20">
        <f>SUM($C$112:Y112)*$C$12*$C$13*$H$76-SUM($C$287:Y287)</f>
        <v/>
      </c>
      <c r="Z369" s="20">
        <f>SUM($C$112:Z112)*$C$12*$C$13*$H$76-SUM($C$287:Z287)</f>
        <v/>
      </c>
      <c r="AA369" s="20">
        <f>SUM($C$112:AA112)*$C$12*$C$13*$H$76-SUM($C$287:AA287)</f>
        <v/>
      </c>
      <c r="AB369" s="20">
        <f>SUM($C$112:AB112)*$C$12*$C$13*$H$76-SUM($C$287:AB287)</f>
        <v/>
      </c>
      <c r="AC369" s="20">
        <f>SUM($C$112:AC112)*$C$12*$C$13*$H$76-SUM($C$287:AC287)</f>
        <v/>
      </c>
      <c r="AD369" s="20">
        <f>SUM($C$112:AD112)*$C$12*$C$13*$H$76-SUM($C$287:AD287)</f>
        <v/>
      </c>
      <c r="AE369" s="20">
        <f>SUM($C$112:AE112)*$C$12*$C$13*$H$76-SUM($C$287:AE287)</f>
        <v/>
      </c>
      <c r="AF369" s="20">
        <f>SUM($C$112:AF112)*$C$12*$C$13*$H$76-SUM($C$287:AF287)</f>
        <v/>
      </c>
    </row>
    <row r="370">
      <c r="A370" s="3" t="inlineStr">
        <is>
          <t>Risultato operativo del mese (competenza semplificata)</t>
        </is>
      </c>
      <c r="B370" s="4" t="inlineStr">
        <is>
          <t>€</t>
        </is>
      </c>
      <c r="C370" s="20">
        <f>C285-C292-C289-C290-C291-(C287-C288)-C107-C116-C349</f>
        <v/>
      </c>
      <c r="D370" s="20">
        <f>D285-D292-D289-D290-D291-(D287-D288)-D107-D116-D349</f>
        <v/>
      </c>
      <c r="E370" s="20">
        <f>E285-E292-E289-E290-E291-(E287-E288)-E107-E116-E349</f>
        <v/>
      </c>
      <c r="F370" s="20">
        <f>F285-F292-F289-F290-F291-(F287-F288)-F107-F116-F349</f>
        <v/>
      </c>
      <c r="G370" s="20">
        <f>G285-G292-G289-G290-G291-(G287-G288)-G107-G116-G349</f>
        <v/>
      </c>
      <c r="H370" s="20">
        <f>H285-H292-H289-H290-H291-(H287-H288)-H107-H116-H349</f>
        <v/>
      </c>
      <c r="I370" s="20">
        <f>I285-I292-I289-I290-I291-(I287-I288)-I107-I116-I349</f>
        <v/>
      </c>
      <c r="J370" s="20">
        <f>J285-J292-J289-J290-J291-(J287-J288)-J107-J116-J349</f>
        <v/>
      </c>
      <c r="K370" s="20">
        <f>K285-K292-K289-K290-K291-(K287-K288)-K107-K116-K349</f>
        <v/>
      </c>
      <c r="L370" s="20">
        <f>L285-L292-L289-L290-L291-(L287-L288)-L107-L116-L349</f>
        <v/>
      </c>
      <c r="M370" s="20">
        <f>M285-M292-M289-M290-M291-(M287-M288)-M107-M116-M349</f>
        <v/>
      </c>
      <c r="N370" s="20">
        <f>N285-N292-N289-N290-N291-(N287-N288)-N107-N116-N349</f>
        <v/>
      </c>
      <c r="O370" s="20">
        <f>O285-O292-O289-O290-O291-(O287-O288)-O107-O116-O349</f>
        <v/>
      </c>
      <c r="P370" s="20">
        <f>P285-P292-P289-P290-P291-(P287-P288)-P107-P116-P349</f>
        <v/>
      </c>
      <c r="Q370" s="20">
        <f>Q285-Q292-Q289-Q290-Q291-(Q287-Q288)-Q107-Q116-Q349</f>
        <v/>
      </c>
      <c r="R370" s="20">
        <f>R285-R292-R289-R290-R291-(R287-R288)-R107-R116-R349</f>
        <v/>
      </c>
      <c r="S370" s="20">
        <f>S285-S292-S289-S290-S291-(S287-S288)-S107-S116-S349</f>
        <v/>
      </c>
      <c r="T370" s="20">
        <f>T285-T292-T289-T290-T291-(T287-T288)-T107-T116-T349</f>
        <v/>
      </c>
      <c r="U370" s="20">
        <f>U285-U292-U289-U290-U291-(U287-U288)-U107-U116-U349</f>
        <v/>
      </c>
      <c r="V370" s="20">
        <f>V285-V292-V289-V290-V291-(V287-V288)-V107-V116-V349</f>
        <v/>
      </c>
      <c r="W370" s="20">
        <f>W285-W292-W289-W290-W291-(W287-W288)-W107-W116-W349</f>
        <v/>
      </c>
      <c r="X370" s="20">
        <f>X285-X292-X289-X290-X291-(X287-X288)-X107-X116-X349</f>
        <v/>
      </c>
      <c r="Y370" s="20">
        <f>Y285-Y292-Y289-Y290-Y291-(Y287-Y288)-Y107-Y116-Y349</f>
        <v/>
      </c>
      <c r="Z370" s="20">
        <f>Z285-Z292-Z289-Z290-Z291-(Z287-Z288)-Z107-Z116-Z349</f>
        <v/>
      </c>
      <c r="AA370" s="20">
        <f>AA285-AA292-AA289-AA290-AA291-(AA287-AA288)-AA107-AA116-AA349</f>
        <v/>
      </c>
      <c r="AB370" s="20">
        <f>AB285-AB292-AB289-AB290-AB291-(AB287-AB288)-AB107-AB116-AB349</f>
        <v/>
      </c>
      <c r="AC370" s="20">
        <f>AC285-AC292-AC289-AC290-AC291-(AC287-AC288)-AC107-AC116-AC349</f>
        <v/>
      </c>
      <c r="AD370" s="20">
        <f>AD285-AD292-AD289-AD290-AD291-(AD287-AD288)-AD107-AD116-AD349</f>
        <v/>
      </c>
      <c r="AE370" s="20">
        <f>AE285-AE292-AE289-AE290-AE291-(AE287-AE288)-AE107-AE116-AE349</f>
        <v/>
      </c>
      <c r="AF370" s="20">
        <f>AF285-AF292-AF289-AF290-AF291-(AF287-AF288)-AF107-AF116-AF349</f>
        <v/>
      </c>
    </row>
    <row r="372">
      <c r="A372" s="10" t="inlineStr">
        <is>
          <t>Sintesi dello scenario</t>
        </is>
      </c>
    </row>
    <row r="373">
      <c r="A373" s="3" t="inlineStr">
        <is>
          <t>Cassa minima</t>
        </is>
      </c>
      <c r="C373" s="27">
        <f>MIN($C$368:$AF$368)</f>
        <v/>
      </c>
    </row>
    <row r="374">
      <c r="A374" s="3" t="inlineStr">
        <is>
          <t>Mese della cassa minima</t>
        </is>
      </c>
      <c r="C374" s="28">
        <f>INDEX($C$105:$AF$105,1,MATCH(MIN($C$368:$AF$368),$C$368:$AF$368,0))</f>
        <v/>
      </c>
    </row>
    <row r="375">
      <c r="A375" s="3" t="inlineStr">
        <is>
          <t>Capitale assorbito fino al minimo (versato meno cassa minima)</t>
        </is>
      </c>
      <c r="C375" s="27">
        <f>SUM($C$365:$AF$365)-MIN($C$368:$AF$368)</f>
        <v/>
      </c>
    </row>
    <row r="376">
      <c r="A376" s="3" t="inlineStr">
        <is>
          <t>Cassa al mese 24</t>
        </is>
      </c>
      <c r="C376" s="27">
        <f>$Z$368</f>
        <v/>
      </c>
    </row>
    <row r="377">
      <c r="A377" s="3" t="inlineStr">
        <is>
          <t>Cassa al mese 30</t>
        </is>
      </c>
      <c r="C377" s="27">
        <f>$AF$368</f>
        <v/>
      </c>
    </row>
    <row r="378">
      <c r="A378" s="3" t="inlineStr">
        <is>
          <t>Nuovi clienti fino al mese 30</t>
        </is>
      </c>
      <c r="C378" s="29">
        <f>SUM($C$111:$AF$111)</f>
        <v/>
      </c>
    </row>
    <row r="379">
      <c r="A379" s="3" t="inlineStr">
        <is>
          <t>di cui da pubblicità</t>
        </is>
      </c>
      <c r="C379" s="29">
        <f>SUM($C$109:$AF$109)</f>
        <v/>
      </c>
    </row>
    <row r="380">
      <c r="A380" s="3" t="inlineStr">
        <is>
          <t>Pubblicità fino al mese 30</t>
        </is>
      </c>
      <c r="C380" s="27">
        <f>SUM($C$107:$AF$107)</f>
        <v/>
      </c>
    </row>
    <row r="381">
      <c r="A381" s="3" t="inlineStr">
        <is>
          <t>Ricavi netti fino al mese 30</t>
        </is>
      </c>
      <c r="C381" s="27">
        <f>SUM($C$285:$AF$285)</f>
        <v/>
      </c>
    </row>
    <row r="382">
      <c r="A382" s="3" t="inlineStr">
        <is>
          <t>Rimborsi di garanzia pagati fino al mese 30</t>
        </is>
      </c>
      <c r="C382" s="27">
        <f>SUM($C$287:$AF$287)</f>
        <v/>
      </c>
    </row>
    <row r="383">
      <c r="A383" s="3" t="inlineStr">
        <is>
          <t>Lotti ordinati</t>
        </is>
      </c>
      <c r="C383" s="28">
        <f>SUM($C$345:$AF$345)/$C$61</f>
        <v/>
      </c>
    </row>
    <row r="384">
      <c r="A384" s="3" t="inlineStr">
        <is>
          <t>Credito IVA massimo</t>
        </is>
      </c>
      <c r="C384" s="27">
        <f>MAX($C$362:$AF$362)</f>
        <v/>
      </c>
    </row>
    <row r="385">
      <c r="A385" s="3" t="inlineStr">
        <is>
          <t>Esposizione di garanzia massima</t>
        </is>
      </c>
      <c r="C385" s="27">
        <f>MAX($C$369:$AF$369)</f>
        <v/>
      </c>
    </row>
    <row r="386">
      <c r="A386" s="3" t="inlineStr">
        <is>
          <t>Valore del cliente medio a 6 mesi</t>
        </is>
      </c>
      <c r="C386" s="30">
        <f>$H$102</f>
        <v/>
      </c>
    </row>
    <row r="387">
      <c r="A387" s="3" t="inlineStr">
        <is>
          <t>Valore del cliente medio a 12 mesi</t>
        </is>
      </c>
      <c r="C387" s="30">
        <f>$N$102</f>
        <v/>
      </c>
    </row>
    <row r="388">
      <c r="A388" s="3" t="inlineStr">
        <is>
          <t>Valore del cliente medio a 24 mesi</t>
        </is>
      </c>
      <c r="C388" s="30">
        <f>$Z$102</f>
        <v/>
      </c>
    </row>
    <row r="389">
      <c r="A389" s="3" t="inlineStr">
        <is>
          <t>CAC massimo con la regola 2:1 sul valore a 24 mesi</t>
        </is>
      </c>
      <c r="C389" s="30">
        <f>$Z$102/2</f>
        <v/>
      </c>
    </row>
    <row r="390">
      <c r="A390" s="3" t="inlineStr">
        <is>
          <t>Contribuzione media del primo ordine</t>
        </is>
      </c>
      <c r="C390" s="30">
        <f>$C$102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2026-09-22T22:45:20Z</dcterms:created>
  <dcterms:modified xsi:type="dcterms:W3CDTF">2026-09-22T22:45:21Z</dcterms:modified>
</cp:coreProperties>
</file>