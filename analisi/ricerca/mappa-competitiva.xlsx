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Mappa" sheetId="2" state="visible" r:id="rId2"/>
    <sheet name="Sinte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164" fontId="4" fillId="3" borderId="0" applyAlignment="1" pivotButton="0" quotePrefix="0" xfId="0">
      <alignment vertical="top"/>
    </xf>
    <xf numFmtId="164" fontId="0" fillId="3" borderId="0" applyAlignment="1" pivotButton="0" quotePrefix="0" xfId="0">
      <alignment vertical="top"/>
    </xf>
    <xf numFmtId="0" fontId="4" fillId="3" borderId="0" applyAlignment="1" pivotButton="0" quotePrefix="0" xfId="0">
      <alignment vertical="top" wrapText="1"/>
    </xf>
    <xf numFmtId="164" fontId="3" fillId="4" borderId="0" applyAlignment="1" pivotButton="0" quotePrefix="0" xfId="0">
      <alignment vertical="top"/>
    </xf>
    <xf numFmtId="165" fontId="3" fillId="4" borderId="0" applyAlignment="1" pivotButton="0" quotePrefix="0" xfId="0">
      <alignment vertical="top"/>
    </xf>
    <xf numFmtId="9" fontId="0" fillId="3" borderId="0" applyAlignment="1" pivotButton="0" quotePrefix="0" xfId="0">
      <alignment vertical="top"/>
    </xf>
    <xf numFmtId="0" fontId="0" fillId="3" borderId="0" applyAlignment="1" pivotButton="0" quotePrefix="0" xfId="0">
      <alignment vertical="top" wrapText="1"/>
    </xf>
    <xf numFmtId="9" fontId="4" fillId="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/>
    </xf>
    <xf numFmtId="0" fontId="5" fillId="0" borderId="0" pivotButton="0" quotePrefix="0" xfId="0"/>
    <xf numFmtId="1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Mappa competitiva · istruzioni</t>
        </is>
      </c>
    </row>
    <row r="2">
      <c r="A2" t="inlineStr"/>
    </row>
    <row r="3">
      <c r="A3" s="2" t="inlineStr">
        <is>
          <t>A che cosa serve</t>
        </is>
      </c>
    </row>
    <row r="4">
      <c r="A4" s="3" t="inlineStr">
        <is>
          <t>Confrontare quanto spende davvero il cliente con ciascuna alternativa: per provare, per arrivare al primo risultato promesso, e ogni 30 giorni.</t>
        </is>
      </c>
    </row>
    <row r="5">
      <c r="A5" s="3" t="inlineStr">
        <is>
          <t>Il prezzo del flacone da solo non basta, perché le dosi giornaliere vanno da meno di mezzo millilitro a diversi millilitri.</t>
        </is>
      </c>
    </row>
    <row r="6">
      <c r="A6" t="inlineStr"/>
    </row>
    <row r="7">
      <c r="A7" s="2" t="inlineStr">
        <is>
          <t>La regola</t>
        </is>
      </c>
    </row>
    <row r="8">
      <c r="A8" s="3" t="inlineStr">
        <is>
          <t>Una riga vale come fonte solo se una persona ha aperto le pagine e ha compilato URL e data sia del prezzo sia della dose, poi ha messo 'verificato'.</t>
        </is>
      </c>
    </row>
    <row r="9">
      <c r="A9" s="3" t="inlineStr">
        <is>
          <t>Senza questi campi il dato non va usato in nessun documento. Il foglio Sintesi calcola minimi, massimi e medie solo sulle righe verificate.</t>
        </is>
      </c>
    </row>
    <row r="10">
      <c r="A10" t="inlineStr"/>
    </row>
    <row r="11">
      <c r="A11" s="2" t="inlineStr">
        <is>
          <t>Ordine di lavoro</t>
        </is>
      </c>
    </row>
    <row r="12">
      <c r="A12" s="3" t="inlineStr">
        <is>
          <t>1. Le dieci righe del gruppo 'prioritario': sono le alternative che il nostro cliente considera davvero. Si completano per prime, per intero.</t>
        </is>
      </c>
    </row>
    <row r="13">
      <c r="A13" s="3" t="inlineStr">
        <is>
          <t>2. Per ciascuna: codice della confezione, prezzo ordinario e promozionale, spedizione, dose con la sua fonte, fase del trattamento.</t>
        </is>
      </c>
    </row>
    <row r="14">
      <c r="A14" s="3" t="inlineStr">
        <is>
          <t>3. Poi le colonne che servono alla decisione d'acquisto: esborso minimo, esborso fino al primo risultato promesso, impegno, garanzia.</t>
        </is>
      </c>
    </row>
    <row r="15">
      <c r="A15" s="3" t="inlineStr">
        <is>
          <t>4. Il gruppo 'riferimento' si compila solo dopo, e solo se serve.</t>
        </is>
      </c>
    </row>
    <row r="16">
      <c r="A16" t="inlineStr"/>
    </row>
    <row r="17">
      <c r="A17" s="2" t="inlineStr">
        <is>
          <t>Come si legge la dose</t>
        </is>
      </c>
    </row>
    <row r="18">
      <c r="A18" s="3" t="inlineStr">
        <is>
          <t>Si copia la frase esatta della confezione o della pagina nella colonna 'Dose dichiarata'. I millilitri al giorno si scrivono solo se la marca li dichiara</t>
        </is>
      </c>
    </row>
    <row r="19">
      <c r="A19" s="3" t="inlineStr">
        <is>
          <t>o se si possono misurare (una pipetta si pesa). 'Stato della dose': verificata = dichiarata o misurata; intervallo = la marca dà un intervallo;</t>
        </is>
      </c>
    </row>
    <row r="20">
      <c r="A20" s="3" t="inlineStr">
        <is>
          <t>dedotta = ricavata da una durata o da un ciclo di trattamento, e quindi NON utilizzabile per il costo; non disponibile = manca un dato.</t>
        </is>
      </c>
    </row>
    <row r="21">
      <c r="A21" s="3" t="inlineStr">
        <is>
          <t>Una durata commerciale ('un mese di trattamento') non è una dose: un ciclo di tre mesi può richiedere più confezioni.</t>
        </is>
      </c>
    </row>
    <row r="22">
      <c r="A22" t="inlineStr"/>
    </row>
    <row r="23">
      <c r="A23" s="2" t="inlineStr">
        <is>
          <t>Residuo nel contenitore</t>
        </is>
      </c>
    </row>
    <row r="24">
      <c r="A24" s="3" t="inlineStr">
        <is>
          <t>Si scrive solo se misurato. Se non è noto la cella resta vuota: non si inventa uno zero. Per KRINÉ il 5% è la nostra ipotesi, da misurare sul flacone scelto.</t>
        </is>
      </c>
    </row>
    <row r="25">
      <c r="A25" t="inlineStr"/>
    </row>
    <row r="26">
      <c r="A26" s="2" t="inlineStr">
        <is>
          <t>Colori</t>
        </is>
      </c>
    </row>
    <row r="27">
      <c r="A27" s="3" t="inlineStr">
        <is>
          <t>Giallo: da compilare · Grigio: calcolato, non scrivere · Testo blu: valore inserito a mano</t>
        </is>
      </c>
    </row>
    <row r="28">
      <c r="A28" s="3" t="inlineStr">
        <is>
          <t>Le righe KRINÉ sono escluse da tutti i conteggi e da tutte le statistiche della Sintesi.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22" customWidth="1" min="8" max="8"/>
    <col width="11" customWidth="1" min="9" max="9"/>
    <col width="22" customWidth="1" min="10" max="10"/>
    <col width="11" customWidth="1" min="11" max="11"/>
    <col width="11" customWidth="1" min="12" max="12"/>
    <col width="10" customWidth="1" min="13" max="13"/>
    <col width="10" customWidth="1" min="14" max="14"/>
    <col width="9" customWidth="1" min="15" max="15"/>
    <col width="30" customWidth="1" min="16" max="16"/>
    <col width="9" customWidth="1" min="17" max="17"/>
    <col width="14" customWidth="1" min="18" max="18"/>
    <col width="12" customWidth="1" min="19" max="19"/>
    <col width="8" customWidth="1" min="20" max="20"/>
    <col width="10" customWidth="1" min="21" max="21"/>
    <col width="10" customWidth="1" min="22" max="22"/>
    <col width="10" customWidth="1" min="23" max="23"/>
    <col width="11" customWidth="1" min="24" max="24"/>
    <col width="11" customWidth="1" min="25" max="25"/>
    <col width="11" customWidth="1" min="26" max="26"/>
    <col width="12" customWidth="1" min="27" max="27"/>
    <col width="10" customWidth="1" min="28" max="28"/>
    <col width="24" customWidth="1" min="29" max="29"/>
    <col width="14" customWidth="1" min="30" max="30"/>
    <col width="34" customWidth="1" min="31" max="31"/>
    <col width="12" customWidth="1" min="32" max="32"/>
    <col width="11" customWidth="1" min="33" max="33"/>
    <col width="28" customWidth="1" min="34" max="34"/>
    <col width="11" customWidth="1" min="35" max="35"/>
    <col width="22" customWidth="1" min="36" max="36"/>
    <col width="12" customWidth="1" min="37" max="37"/>
    <col width="44" customWidth="1" min="38" max="38"/>
  </cols>
  <sheetData>
    <row r="1" ht="45" customHeight="1">
      <c r="A1" s="4" t="inlineStr">
        <is>
          <t>Marca</t>
        </is>
      </c>
      <c r="B1" s="4" t="inlineStr">
        <is>
          <t>Prodotto</t>
        </is>
      </c>
      <c r="C1" s="4" t="inlineStr">
        <is>
          <t>Tipo</t>
        </is>
      </c>
      <c r="D1" s="4" t="inlineStr">
        <is>
          <t>Gruppo</t>
        </is>
      </c>
      <c r="E1" s="4" t="inlineStr">
        <is>
          <t>Canale</t>
        </is>
      </c>
      <c r="F1" s="4" t="inlineStr">
        <is>
          <t>Mercato</t>
        </is>
      </c>
      <c r="G1" s="4" t="inlineStr">
        <is>
          <t>Codice confezione (EAN/minsan)</t>
        </is>
      </c>
      <c r="H1" s="4" t="inlineStr">
        <is>
          <t>URL prezzo</t>
        </is>
      </c>
      <c r="I1" s="4" t="inlineStr">
        <is>
          <t>Data prezzo</t>
        </is>
      </c>
      <c r="J1" s="4" t="inlineStr">
        <is>
          <t>URL dose</t>
        </is>
      </c>
      <c r="K1" s="4" t="inlineStr">
        <is>
          <t>Data dose</t>
        </is>
      </c>
      <c r="L1" s="4" t="inlineStr">
        <is>
          <t>Prezzo ordinario €</t>
        </is>
      </c>
      <c r="M1" s="4" t="inlineStr">
        <is>
          <t>Prezzo promo €</t>
        </is>
      </c>
      <c r="N1" s="4" t="inlineStr">
        <is>
          <t>Spedizione €</t>
        </is>
      </c>
      <c r="O1" s="4" t="inlineStr">
        <is>
          <t>Formato mL</t>
        </is>
      </c>
      <c r="P1" s="4" t="inlineStr">
        <is>
          <t>Dose dichiarata (testo esatto)</t>
        </is>
      </c>
      <c r="Q1" s="4" t="inlineStr">
        <is>
          <t>mL al giorno</t>
        </is>
      </c>
      <c r="R1" s="4" t="inlineStr">
        <is>
          <t>Stato della dose</t>
        </is>
      </c>
      <c r="S1" s="4" t="inlineStr">
        <is>
          <t>Fase</t>
        </is>
      </c>
      <c r="T1" s="4" t="inlineStr">
        <is>
          <t>€/mL</t>
        </is>
      </c>
      <c r="U1" s="4" t="inlineStr">
        <is>
          <t>Durata nominale gg</t>
        </is>
      </c>
      <c r="V1" s="4" t="inlineStr">
        <is>
          <t>Residuo nel contenitore %</t>
        </is>
      </c>
      <c r="W1" s="4" t="inlineStr">
        <is>
          <t>Durata utilizzabile gg</t>
        </is>
      </c>
      <c r="X1" s="4" t="inlineStr">
        <is>
          <t>Costo 30 gg nominale €</t>
        </is>
      </c>
      <c r="Y1" s="4" t="inlineStr">
        <is>
          <t>Costo 30 gg utilizzabile €</t>
        </is>
      </c>
      <c r="Z1" s="4" t="inlineStr">
        <is>
          <t>Esborso minimo per provare €</t>
        </is>
      </c>
      <c r="AA1" s="4" t="inlineStr">
        <is>
          <t>Esborso fino al primo risultato promesso €</t>
        </is>
      </c>
      <c r="AB1" s="4" t="inlineStr">
        <is>
          <t>Giorni al primo risultato promesso</t>
        </is>
      </c>
      <c r="AC1" s="4" t="inlineStr">
        <is>
          <t>Impegno e possibilità di interrompere</t>
        </is>
      </c>
      <c r="AD1" s="4" t="inlineStr">
        <is>
          <t>Beneficio promesso</t>
        </is>
      </c>
      <c r="AE1" s="4" t="inlineStr">
        <is>
          <t>Claim principale (testo esatto)</t>
        </is>
      </c>
      <c r="AF1" s="4" t="inlineStr">
        <is>
          <t>Percentuali dichiarate</t>
        </is>
      </c>
      <c r="AG1" s="4" t="inlineStr">
        <is>
          <t>Garanzia di rimborso</t>
        </is>
      </c>
      <c r="AH1" s="4" t="inlineStr">
        <is>
          <t>Condizioni del rimborso</t>
        </is>
      </c>
      <c r="AI1" s="4" t="inlineStr">
        <is>
          <t>Abbonamento</t>
        </is>
      </c>
      <c r="AJ1" s="4" t="inlineStr">
        <is>
          <t>Frizioni d'uso</t>
        </is>
      </c>
      <c r="AK1" s="4" t="inlineStr">
        <is>
          <t>Stato della riga</t>
        </is>
      </c>
      <c r="AL1" s="4" t="inlineStr">
        <is>
          <t>Note e fonti</t>
        </is>
      </c>
    </row>
    <row r="2">
      <c r="A2" s="5" t="inlineStr">
        <is>
          <t>Minoxidil 5% (Biorga)</t>
        </is>
      </c>
      <c r="B2" s="5" t="inlineStr">
        <is>
          <t>Soluzione cutanea 60 mL</t>
        </is>
      </c>
      <c r="C2" s="5" t="inlineStr">
        <is>
          <t>farmaco</t>
        </is>
      </c>
      <c r="D2" s="5" t="inlineStr">
        <is>
          <t>prioritario</t>
        </is>
      </c>
      <c r="E2" s="5" t="inlineStr">
        <is>
          <t>farmacia</t>
        </is>
      </c>
      <c r="F2" s="5" t="inlineStr">
        <is>
          <t>IT</t>
        </is>
      </c>
      <c r="G2" s="6" t="n"/>
      <c r="H2" s="5" t="inlineStr">
        <is>
          <t>https://www.redcare.it/medicinali/IT042311011/minoxidil-biorga-5-soluzione-cutanea.htm</t>
        </is>
      </c>
      <c r="I2" s="6" t="n"/>
      <c r="J2" s="6" t="n"/>
      <c r="K2" s="6" t="n"/>
      <c r="L2" s="7" t="n">
        <v>31.89</v>
      </c>
      <c r="M2" s="8" t="n"/>
      <c r="N2" s="8" t="n"/>
      <c r="O2" s="5" t="n">
        <v>60</v>
      </c>
      <c r="P2" s="9" t="inlineStr">
        <is>
          <t>1 mL due volte al giorno; massimo 2 mL al giorno</t>
        </is>
      </c>
      <c r="Q2" s="5" t="n">
        <v>2</v>
      </c>
      <c r="R2" s="5" t="inlineStr">
        <is>
          <t>verificata</t>
        </is>
      </c>
      <c r="S2" s="5" t="inlineStr">
        <is>
          <t>unica</t>
        </is>
      </c>
      <c r="T2" s="10">
        <f>IF(AND(ISNUMBER(L2),L2&gt;0,ISNUMBER(O2),O2&gt;0),L2/O2,"")</f>
        <v/>
      </c>
      <c r="U2" s="11">
        <f>IF(AND(ISNUMBER(O2),O2&gt;0,ISNUMBER(Q2),Q2&gt;0,OR(R2="verificata",R2="intervallo")),O2/Q2,"")</f>
        <v/>
      </c>
      <c r="V2" s="12" t="n"/>
      <c r="W2" s="11">
        <f>IF(AND(ISNUMBER(U2),ISNUMBER(V2)),U2*(1-V2),"")</f>
        <v/>
      </c>
      <c r="X2" s="10">
        <f>IF(AND(ISNUMBER(L2),L2&gt;0,ISNUMBER(U2)),L2/U2*30,"")</f>
        <v/>
      </c>
      <c r="Y2" s="10">
        <f>IF(AND(ISNUMBER(L2),L2&gt;0,ISNUMBER(W2)),L2/W2*30,"")</f>
        <v/>
      </c>
      <c r="Z2" s="7" t="n">
        <v>31.89</v>
      </c>
      <c r="AA2" s="8" t="n"/>
      <c r="AB2" s="5" t="n">
        <v>120</v>
      </c>
      <c r="AC2" s="5" t="inlineStr">
        <is>
          <t>Uso continuativo; sospendendo l'effetto si perde</t>
        </is>
      </c>
      <c r="AD2" s="5" t="inlineStr">
        <is>
          <t>ricrescita (farmaco)</t>
        </is>
      </c>
      <c r="AE2" s="9" t="inlineStr">
        <is>
          <t>Trattamento dell'alopecia androgenetica</t>
        </is>
      </c>
      <c r="AF2" s="5" t="inlineStr">
        <is>
          <t>tutte</t>
        </is>
      </c>
      <c r="AG2" s="5" t="inlineStr">
        <is>
          <t>no</t>
        </is>
      </c>
      <c r="AH2" s="13" t="n"/>
      <c r="AI2" s="5" t="inlineStr">
        <is>
          <t>no</t>
        </is>
      </c>
      <c r="AJ2" s="5" t="inlineStr">
        <is>
          <t>Unge; può irritare; caduta iniziale possibile</t>
        </is>
      </c>
      <c r="AK2" s="5" t="inlineStr">
        <is>
          <t>da verificare</t>
        </is>
      </c>
      <c r="AL2" s="9" t="inlineStr">
        <is>
          <t>Farmaco senza obbligo di ricetta. Dose e tempi dal foglio illustrativo: almeno 4 mesi per vedere la ricrescita. Prezzi online visti fra 31,57 e 37,50 € (ricerca del 22/09/2026): da riaprire e datare</t>
        </is>
      </c>
    </row>
    <row r="3">
      <c r="A3" s="5" t="inlineStr">
        <is>
          <t>Bioscalin (Giuliani)</t>
        </is>
      </c>
      <c r="B3" s="5" t="inlineStr">
        <is>
          <t>TricoAge siero concentrato</t>
        </is>
      </c>
      <c r="C3" s="5" t="inlineStr">
        <is>
          <t>concorrente</t>
        </is>
      </c>
      <c r="D3" s="5" t="inlineStr">
        <is>
          <t>prioritario</t>
        </is>
      </c>
      <c r="E3" s="5" t="inlineStr">
        <is>
          <t>farmacia</t>
        </is>
      </c>
      <c r="F3" s="5" t="inlineStr">
        <is>
          <t>IT</t>
        </is>
      </c>
      <c r="G3" s="6" t="n"/>
      <c r="H3" s="6" t="n"/>
      <c r="I3" s="6" t="n"/>
      <c r="J3" s="6" t="n"/>
      <c r="K3" s="6" t="n"/>
      <c r="L3" s="7" t="n">
        <v>48.56</v>
      </c>
      <c r="M3" s="8" t="n"/>
      <c r="N3" s="8" t="n"/>
      <c r="O3" s="5" t="n">
        <v>40</v>
      </c>
      <c r="P3" s="9" t="inlineStr">
        <is>
          <t>6 pipette ogni 3 giorni, ciclo di 3 mesi (da ricontrollare)</t>
        </is>
      </c>
      <c r="Q3" s="6" t="n"/>
      <c r="R3" s="5" t="inlineStr">
        <is>
          <t>dedotta</t>
        </is>
      </c>
      <c r="S3" s="5" t="inlineStr">
        <is>
          <t>iniziale</t>
        </is>
      </c>
      <c r="T3" s="10">
        <f>IF(AND(ISNUMBER(L3),L3&gt;0,ISNUMBER(O3),O3&gt;0),L3/O3,"")</f>
        <v/>
      </c>
      <c r="U3" s="11">
        <f>IF(AND(ISNUMBER(O3),O3&gt;0,ISNUMBER(Q3),Q3&gt;0,OR(R3="verificata",R3="intervallo")),O3/Q3,"")</f>
        <v/>
      </c>
      <c r="V3" s="12" t="n"/>
      <c r="W3" s="11">
        <f>IF(AND(ISNUMBER(U3),ISNUMBER(V3)),U3*(1-V3),"")</f>
        <v/>
      </c>
      <c r="X3" s="10">
        <f>IF(AND(ISNUMBER(L3),L3&gt;0,ISNUMBER(U3)),L3/U3*30,"")</f>
        <v/>
      </c>
      <c r="Y3" s="10">
        <f>IF(AND(ISNUMBER(L3),L3&gt;0,ISNUMBER(W3)),L3/W3*30,"")</f>
        <v/>
      </c>
      <c r="Z3" s="8" t="n"/>
      <c r="AA3" s="8" t="n"/>
      <c r="AB3" s="6" t="n"/>
      <c r="AC3" s="6" t="n"/>
      <c r="AD3" s="5" t="inlineStr">
        <is>
          <t>caduta</t>
        </is>
      </c>
      <c r="AE3" s="13" t="n"/>
      <c r="AF3" s="5" t="inlineStr">
        <is>
          <t>nessuna</t>
        </is>
      </c>
      <c r="AG3" s="5" t="inlineStr">
        <is>
          <t>non verificato</t>
        </is>
      </c>
      <c r="AH3" s="13" t="n"/>
      <c r="AI3" s="5" t="inlineStr">
        <is>
          <t>non verificato</t>
        </is>
      </c>
      <c r="AJ3" s="6" t="n"/>
      <c r="AK3" s="5" t="inlineStr">
        <is>
          <t>da verificare</t>
        </is>
      </c>
      <c r="AL3" s="9" t="inlineStr">
        <is>
          <t>mL/giorno ricavati in passato dalla durata del ciclo: non valgono. Identificare versione e confezione, poi ricostruire la dose</t>
        </is>
      </c>
    </row>
    <row r="4">
      <c r="A4" s="5" t="inlineStr">
        <is>
          <t>Vichy</t>
        </is>
      </c>
      <c r="B4" s="5" t="inlineStr">
        <is>
          <t>Dercos Aminexil Clinical 5</t>
        </is>
      </c>
      <c r="C4" s="5" t="inlineStr">
        <is>
          <t>concorrente</t>
        </is>
      </c>
      <c r="D4" s="5" t="inlineStr">
        <is>
          <t>prioritario</t>
        </is>
      </c>
      <c r="E4" s="5" t="inlineStr">
        <is>
          <t>farmacia</t>
        </is>
      </c>
      <c r="F4" s="5" t="inlineStr">
        <is>
          <t>IT</t>
        </is>
      </c>
      <c r="G4" s="6" t="n"/>
      <c r="H4" s="5" t="inlineStr">
        <is>
          <t>https://www.idealo.it/confronta-prezzi/200464034/vichy-dercos-aminexil-clinical-5-trattamento-uomo-anticaduta.html</t>
        </is>
      </c>
      <c r="I4" s="6" t="n"/>
      <c r="J4" s="6" t="n"/>
      <c r="K4" s="6" t="n"/>
      <c r="L4" s="7" t="n">
        <v>51.2</v>
      </c>
      <c r="M4" s="8" t="n"/>
      <c r="N4" s="8" t="n"/>
      <c r="O4" s="5" t="n">
        <v>126</v>
      </c>
      <c r="P4" s="9" t="inlineStr">
        <is>
          <t>21 fiale da 6 mL. Due regimi riportati: 1 fiala al giorno oppure 3 a settimana</t>
        </is>
      </c>
      <c r="Q4" s="6" t="n"/>
      <c r="R4" s="5" t="inlineStr">
        <is>
          <t>non disponibile</t>
        </is>
      </c>
      <c r="S4" s="5" t="inlineStr">
        <is>
          <t>iniziale</t>
        </is>
      </c>
      <c r="T4" s="10">
        <f>IF(AND(ISNUMBER(L4),L4&gt;0,ISNUMBER(O4),O4&gt;0),L4/O4,"")</f>
        <v/>
      </c>
      <c r="U4" s="11">
        <f>IF(AND(ISNUMBER(O4),O4&gt;0,ISNUMBER(Q4),Q4&gt;0,OR(R4="verificata",R4="intervallo")),O4/Q4,"")</f>
        <v/>
      </c>
      <c r="V4" s="12" t="n"/>
      <c r="W4" s="11">
        <f>IF(AND(ISNUMBER(U4),ISNUMBER(V4)),U4*(1-V4),"")</f>
        <v/>
      </c>
      <c r="X4" s="10">
        <f>IF(AND(ISNUMBER(L4),L4&gt;0,ISNUMBER(U4)),L4/U4*30,"")</f>
        <v/>
      </c>
      <c r="Y4" s="10">
        <f>IF(AND(ISNUMBER(L4),L4&gt;0,ISNUMBER(W4)),L4/W4*30,"")</f>
        <v/>
      </c>
      <c r="Z4" s="7" t="n">
        <v>51.2</v>
      </c>
      <c r="AA4" s="8" t="n"/>
      <c r="AB4" s="5" t="n">
        <v>42</v>
      </c>
      <c r="AC4" s="5" t="inlineStr">
        <is>
          <t>Cicli di trattamento</t>
        </is>
      </c>
      <c r="AD4" s="5" t="inlineStr">
        <is>
          <t>caduta</t>
        </is>
      </c>
      <c r="AE4" s="9" t="inlineStr">
        <is>
          <t>Riduce la caduta dei capelli temporanea (formulazione da verificare sulla confezione)</t>
        </is>
      </c>
      <c r="AF4" s="5" t="inlineStr">
        <is>
          <t>nessuna</t>
        </is>
      </c>
      <c r="AG4" s="5" t="inlineStr">
        <is>
          <t>non verificato</t>
        </is>
      </c>
      <c r="AH4" s="13" t="n"/>
      <c r="AI4" s="5" t="inlineStr">
        <is>
          <t>non verificato</t>
        </is>
      </c>
      <c r="AJ4" s="5" t="inlineStr">
        <is>
          <t>Fiala monodose</t>
        </is>
      </c>
      <c r="AK4" s="5" t="inlineStr">
        <is>
          <t>da verificare</t>
        </is>
      </c>
      <c r="AL4" s="9" t="inlineStr">
        <is>
          <t>Con i prezzi provvisori: 1 fiala al giorno = 21 giorni e 73,14 €/30 gg; 3 a settimana = 49 giorni e 31,35 €/30 gg. Scegliere la fase da confrontare</t>
        </is>
      </c>
    </row>
    <row r="5">
      <c r="A5" s="5" t="inlineStr">
        <is>
          <t>Ducray</t>
        </is>
      </c>
      <c r="B5" s="5" t="inlineStr">
        <is>
          <t>Neoptide (linea anticaduta, denominazione da aggiornare)</t>
        </is>
      </c>
      <c r="C5" s="5" t="inlineStr">
        <is>
          <t>concorrente</t>
        </is>
      </c>
      <c r="D5" s="5" t="inlineStr">
        <is>
          <t>prioritario</t>
        </is>
      </c>
      <c r="E5" s="5" t="inlineStr">
        <is>
          <t>farmacia</t>
        </is>
      </c>
      <c r="F5" s="5" t="inlineStr">
        <is>
          <t>IT</t>
        </is>
      </c>
      <c r="G5" s="6" t="n"/>
      <c r="H5" s="6" t="n"/>
      <c r="I5" s="6" t="n"/>
      <c r="J5" s="6" t="n"/>
      <c r="K5" s="6" t="n"/>
      <c r="L5" s="7" t="n">
        <v>44.94</v>
      </c>
      <c r="M5" s="8" t="n"/>
      <c r="N5" s="8" t="n"/>
      <c r="O5" s="5" t="n">
        <v>90</v>
      </c>
      <c r="P5" s="9" t="inlineStr">
        <is>
          <t>Spruzzi giornalieri per un ciclo di 3 mesi (da ricontrollare)</t>
        </is>
      </c>
      <c r="Q5" s="6" t="n"/>
      <c r="R5" s="5" t="inlineStr">
        <is>
          <t>dedotta</t>
        </is>
      </c>
      <c r="S5" s="5" t="inlineStr">
        <is>
          <t>iniziale</t>
        </is>
      </c>
      <c r="T5" s="10">
        <f>IF(AND(ISNUMBER(L5),L5&gt;0,ISNUMBER(O5),O5&gt;0),L5/O5,"")</f>
        <v/>
      </c>
      <c r="U5" s="11">
        <f>IF(AND(ISNUMBER(O5),O5&gt;0,ISNUMBER(Q5),Q5&gt;0,OR(R5="verificata",R5="intervallo")),O5/Q5,"")</f>
        <v/>
      </c>
      <c r="V5" s="12" t="n"/>
      <c r="W5" s="11">
        <f>IF(AND(ISNUMBER(U5),ISNUMBER(V5)),U5*(1-V5),"")</f>
        <v/>
      </c>
      <c r="X5" s="10">
        <f>IF(AND(ISNUMBER(L5),L5&gt;0,ISNUMBER(U5)),L5/U5*30,"")</f>
        <v/>
      </c>
      <c r="Y5" s="10">
        <f>IF(AND(ISNUMBER(L5),L5&gt;0,ISNUMBER(W5)),L5/W5*30,"")</f>
        <v/>
      </c>
      <c r="Z5" s="8" t="n"/>
      <c r="AA5" s="8" t="n"/>
      <c r="AB5" s="6" t="n"/>
      <c r="AC5" s="6" t="n"/>
      <c r="AD5" s="5" t="inlineStr">
        <is>
          <t>caduta</t>
        </is>
      </c>
      <c r="AE5" s="13" t="n"/>
      <c r="AF5" s="5" t="inlineStr">
        <is>
          <t>nessuna</t>
        </is>
      </c>
      <c r="AG5" s="5" t="inlineStr">
        <is>
          <t>non verificato</t>
        </is>
      </c>
      <c r="AH5" s="13" t="n"/>
      <c r="AI5" s="5" t="inlineStr">
        <is>
          <t>non verificato</t>
        </is>
      </c>
      <c r="AJ5" s="6" t="n"/>
      <c r="AK5" s="5" t="inlineStr">
        <is>
          <t>da verificare</t>
        </is>
      </c>
      <c r="AL5" s="9" t="inlineStr">
        <is>
          <t>La gamma attuale ha denominazioni aggiornate: registrare il codice. mL/giorno ricavati dal ciclo: non valgono</t>
        </is>
      </c>
    </row>
    <row r="6">
      <c r="A6" s="5" t="inlineStr">
        <is>
          <t>Crescina (Labo)</t>
        </is>
      </c>
      <c r="B6" s="5" t="inlineStr">
        <is>
          <t>Linea anticaduta</t>
        </is>
      </c>
      <c r="C6" s="5" t="inlineStr">
        <is>
          <t>concorrente</t>
        </is>
      </c>
      <c r="D6" s="5" t="inlineStr">
        <is>
          <t>prioritario</t>
        </is>
      </c>
      <c r="E6" s="5" t="inlineStr">
        <is>
          <t>farmacia</t>
        </is>
      </c>
      <c r="F6" s="5" t="inlineStr">
        <is>
          <t>IT</t>
        </is>
      </c>
      <c r="G6" s="6" t="n"/>
      <c r="H6" s="6" t="n"/>
      <c r="I6" s="6" t="n"/>
      <c r="J6" s="6" t="n"/>
      <c r="K6" s="6" t="n"/>
      <c r="L6" s="8" t="n"/>
      <c r="M6" s="8" t="n"/>
      <c r="N6" s="8" t="n"/>
      <c r="O6" s="6" t="n"/>
      <c r="P6" s="13" t="n"/>
      <c r="Q6" s="6" t="n"/>
      <c r="R6" s="5" t="inlineStr">
        <is>
          <t>non disponibile</t>
        </is>
      </c>
      <c r="S6" s="6" t="n"/>
      <c r="T6" s="10">
        <f>IF(AND(ISNUMBER(L6),L6&gt;0,ISNUMBER(O6),O6&gt;0),L6/O6,"")</f>
        <v/>
      </c>
      <c r="U6" s="11">
        <f>IF(AND(ISNUMBER(O6),O6&gt;0,ISNUMBER(Q6),Q6&gt;0,OR(R6="verificata",R6="intervallo")),O6/Q6,"")</f>
        <v/>
      </c>
      <c r="V6" s="12" t="n"/>
      <c r="W6" s="11">
        <f>IF(AND(ISNUMBER(U6),ISNUMBER(V6)),U6*(1-V6),"")</f>
        <v/>
      </c>
      <c r="X6" s="10">
        <f>IF(AND(ISNUMBER(L6),L6&gt;0,ISNUMBER(U6)),L6/U6*30,"")</f>
        <v/>
      </c>
      <c r="Y6" s="10">
        <f>IF(AND(ISNUMBER(L6),L6&gt;0,ISNUMBER(W6)),L6/W6*30,"")</f>
        <v/>
      </c>
      <c r="Z6" s="8" t="n"/>
      <c r="AA6" s="8" t="n"/>
      <c r="AB6" s="6" t="n"/>
      <c r="AC6" s="6" t="n"/>
      <c r="AD6" s="5" t="inlineStr">
        <is>
          <t>caduta</t>
        </is>
      </c>
      <c r="AE6" s="13" t="n"/>
      <c r="AF6" s="6" t="n"/>
      <c r="AG6" s="5" t="inlineStr">
        <is>
          <t>non verificato</t>
        </is>
      </c>
      <c r="AH6" s="13" t="n"/>
      <c r="AI6" s="5" t="inlineStr">
        <is>
          <t>non verificato</t>
        </is>
      </c>
      <c r="AJ6" s="6" t="n"/>
      <c r="AK6" s="5" t="inlineStr">
        <is>
          <t>da verificare</t>
        </is>
      </c>
      <c r="AL6" s="9" t="inlineStr">
        <is>
          <t>da rilevare per intero</t>
        </is>
      </c>
    </row>
    <row r="7">
      <c r="A7" s="5" t="inlineStr">
        <is>
          <t>Kérastase</t>
        </is>
      </c>
      <c r="B7" s="5" t="inlineStr">
        <is>
          <t>Genesis Sérum Anti-Chute Fortifiant</t>
        </is>
      </c>
      <c r="C7" s="5" t="inlineStr">
        <is>
          <t>concorrente</t>
        </is>
      </c>
      <c r="D7" s="5" t="inlineStr">
        <is>
          <t>prioritario</t>
        </is>
      </c>
      <c r="E7" s="5" t="inlineStr">
        <is>
          <t>salone e profumeria</t>
        </is>
      </c>
      <c r="F7" s="5" t="inlineStr">
        <is>
          <t>IT</t>
        </is>
      </c>
      <c r="G7" s="5" t="inlineStr">
        <is>
          <t>3474636858002</t>
        </is>
      </c>
      <c r="H7" s="5" t="inlineStr">
        <is>
          <t>https://www.kerastase.it/genesis/trattamento-serum-anti-chute-fortifiant/3474636858002.html</t>
        </is>
      </c>
      <c r="I7" s="6" t="n"/>
      <c r="J7" s="5" t="inlineStr">
        <is>
          <t>https://www.kerastase.it/genesis/trattamento-serum-anti-chute-fortifiant/3474636858002.html</t>
        </is>
      </c>
      <c r="K7" s="6" t="n"/>
      <c r="L7" s="7" t="n">
        <v>56.9</v>
      </c>
      <c r="M7" s="8" t="n"/>
      <c r="N7" s="8" t="n"/>
      <c r="O7" s="5" t="n">
        <v>90</v>
      </c>
      <c r="P7" s="9" t="inlineStr">
        <is>
          <t>4 dosi al giorno, ogni dose = pipetta fino al segno; trattamento di 6 settimane</t>
        </is>
      </c>
      <c r="Q7" s="6" t="n"/>
      <c r="R7" s="5" t="inlineStr">
        <is>
          <t>non disponibile</t>
        </is>
      </c>
      <c r="S7" s="5" t="inlineStr">
        <is>
          <t>iniziale</t>
        </is>
      </c>
      <c r="T7" s="10">
        <f>IF(AND(ISNUMBER(L7),L7&gt;0,ISNUMBER(O7),O7&gt;0),L7/O7,"")</f>
        <v/>
      </c>
      <c r="U7" s="11">
        <f>IF(AND(ISNUMBER(O7),O7&gt;0,ISNUMBER(Q7),Q7&gt;0,OR(R7="verificata",R7="intervallo")),O7/Q7,"")</f>
        <v/>
      </c>
      <c r="V7" s="12" t="n"/>
      <c r="W7" s="11">
        <f>IF(AND(ISNUMBER(U7),ISNUMBER(V7)),U7*(1-V7),"")</f>
        <v/>
      </c>
      <c r="X7" s="10">
        <f>IF(AND(ISNUMBER(L7),L7&gt;0,ISNUMBER(U7)),L7/U7*30,"")</f>
        <v/>
      </c>
      <c r="Y7" s="10">
        <f>IF(AND(ISNUMBER(L7),L7&gt;0,ISNUMBER(W7)),L7/W7*30,"")</f>
        <v/>
      </c>
      <c r="Z7" s="7" t="n">
        <v>56.9</v>
      </c>
      <c r="AA7" s="8" t="n"/>
      <c r="AB7" s="6" t="n"/>
      <c r="AC7" s="6" t="n"/>
      <c r="AD7" s="5" t="inlineStr">
        <is>
          <t>rottura della fibra</t>
        </is>
      </c>
      <c r="AE7" s="9" t="inlineStr">
        <is>
          <t>Riduce fino al 97% la caduta dovuta alla rottura da spazzolamento (da verificare)</t>
        </is>
      </c>
      <c r="AF7" s="5" t="inlineStr">
        <is>
          <t>nessuna</t>
        </is>
      </c>
      <c r="AG7" s="5" t="inlineStr">
        <is>
          <t>non verificato</t>
        </is>
      </c>
      <c r="AH7" s="13" t="n"/>
      <c r="AI7" s="5" t="inlineStr">
        <is>
          <t>non verificato</t>
        </is>
      </c>
      <c r="AJ7" s="5" t="inlineStr">
        <is>
          <t>Pipetta</t>
        </is>
      </c>
      <c r="AK7" s="5" t="inlineStr">
        <is>
          <t>da verificare</t>
        </is>
      </c>
      <c r="AL7" s="9" t="inlineStr">
        <is>
          <t>Volume della pipetta non dichiarato: i 2,4 mL/giorno usati in passato venivano dalla durata, non valgono. Prezzi visti fra 34,90 e 56,90 €: forte sconto abituale</t>
        </is>
      </c>
    </row>
    <row r="8">
      <c r="A8" s="5" t="inlineStr">
        <is>
          <t>The Ordinary</t>
        </is>
      </c>
      <c r="B8" s="5" t="inlineStr">
        <is>
          <t>Multi-Peptide Serum for Hair Density</t>
        </is>
      </c>
      <c r="C8" s="5" t="inlineStr">
        <is>
          <t>concorrente</t>
        </is>
      </c>
      <c r="D8" s="5" t="inlineStr">
        <is>
          <t>prioritario</t>
        </is>
      </c>
      <c r="E8" s="5" t="inlineStr">
        <is>
          <t>DTC e profumeria</t>
        </is>
      </c>
      <c r="F8" s="5" t="inlineStr">
        <is>
          <t>EU</t>
        </is>
      </c>
      <c r="G8" s="6" t="n"/>
      <c r="H8" s="6" t="n"/>
      <c r="I8" s="6" t="n"/>
      <c r="J8" s="6" t="n"/>
      <c r="K8" s="6" t="n"/>
      <c r="L8" s="7" t="n">
        <v>26.5</v>
      </c>
      <c r="M8" s="8" t="n"/>
      <c r="N8" s="8" t="n"/>
      <c r="O8" s="5" t="n">
        <v>60</v>
      </c>
      <c r="P8" s="13" t="n"/>
      <c r="Q8" s="6" t="n"/>
      <c r="R8" s="5" t="inlineStr">
        <is>
          <t>non disponibile</t>
        </is>
      </c>
      <c r="S8" s="6" t="n"/>
      <c r="T8" s="10">
        <f>IF(AND(ISNUMBER(L8),L8&gt;0,ISNUMBER(O8),O8&gt;0),L8/O8,"")</f>
        <v/>
      </c>
      <c r="U8" s="11">
        <f>IF(AND(ISNUMBER(O8),O8&gt;0,ISNUMBER(Q8),Q8&gt;0,OR(R8="verificata",R8="intervallo")),O8/Q8,"")</f>
        <v/>
      </c>
      <c r="V8" s="12" t="n"/>
      <c r="W8" s="11">
        <f>IF(AND(ISNUMBER(U8),ISNUMBER(V8)),U8*(1-V8),"")</f>
        <v/>
      </c>
      <c r="X8" s="10">
        <f>IF(AND(ISNUMBER(L8),L8&gt;0,ISNUMBER(U8)),L8/U8*30,"")</f>
        <v/>
      </c>
      <c r="Y8" s="10">
        <f>IF(AND(ISNUMBER(L8),L8&gt;0,ISNUMBER(W8)),L8/W8*30,"")</f>
        <v/>
      </c>
      <c r="Z8" s="7" t="n">
        <v>26.5</v>
      </c>
      <c r="AA8" s="8" t="n"/>
      <c r="AB8" s="6" t="n"/>
      <c r="AC8" s="6" t="n"/>
      <c r="AD8" s="5" t="inlineStr">
        <is>
          <t>aspetto</t>
        </is>
      </c>
      <c r="AE8" s="13" t="n"/>
      <c r="AF8" s="5" t="inlineStr">
        <is>
          <t>alcune</t>
        </is>
      </c>
      <c r="AG8" s="5" t="inlineStr">
        <is>
          <t>non verificato</t>
        </is>
      </c>
      <c r="AH8" s="13" t="n"/>
      <c r="AI8" s="5" t="inlineStr">
        <is>
          <t>non verificato</t>
        </is>
      </c>
      <c r="AJ8" s="6" t="n"/>
      <c r="AK8" s="5" t="inlineStr">
        <is>
          <t>da verificare</t>
        </is>
      </c>
      <c r="AL8" s="9" t="inlineStr">
        <is>
          <t>Prezzo dalla ricerca preliminare, da riaprire</t>
        </is>
      </c>
    </row>
    <row r="9">
      <c r="A9" s="5" t="inlineStr">
        <is>
          <t>OUAI</t>
        </is>
      </c>
      <c r="B9" s="5" t="inlineStr">
        <is>
          <t>Scalp Serum</t>
        </is>
      </c>
      <c r="C9" s="5" t="inlineStr">
        <is>
          <t>concorrente</t>
        </is>
      </c>
      <c r="D9" s="5" t="inlineStr">
        <is>
          <t>prioritario</t>
        </is>
      </c>
      <c r="E9" s="5" t="inlineStr">
        <is>
          <t>profumeria</t>
        </is>
      </c>
      <c r="F9" s="5" t="inlineStr">
        <is>
          <t>IT</t>
        </is>
      </c>
      <c r="G9" s="6" t="n"/>
      <c r="H9" s="6" t="n"/>
      <c r="I9" s="6" t="n"/>
      <c r="J9" s="5" t="inlineStr">
        <is>
          <t>https://theouai.com/products/scalp-serum</t>
        </is>
      </c>
      <c r="K9" s="6" t="n"/>
      <c r="L9" s="7" t="n">
        <v>61</v>
      </c>
      <c r="M9" s="8" t="n"/>
      <c r="N9" s="8" t="n"/>
      <c r="O9" s="5" t="n">
        <v>60</v>
      </c>
      <c r="P9" s="9" t="inlineStr">
        <is>
          <t>Due contagocce pieni, circa 1,5 mL; fino a 40 giorni per 60 mL</t>
        </is>
      </c>
      <c r="Q9" s="5" t="n">
        <v>1.5</v>
      </c>
      <c r="R9" s="5" t="inlineStr">
        <is>
          <t>verificata</t>
        </is>
      </c>
      <c r="S9" s="5" t="inlineStr">
        <is>
          <t>unica</t>
        </is>
      </c>
      <c r="T9" s="10">
        <f>IF(AND(ISNUMBER(L9),L9&gt;0,ISNUMBER(O9),O9&gt;0),L9/O9,"")</f>
        <v/>
      </c>
      <c r="U9" s="11">
        <f>IF(AND(ISNUMBER(O9),O9&gt;0,ISNUMBER(Q9),Q9&gt;0,OR(R9="verificata",R9="intervallo")),O9/Q9,"")</f>
        <v/>
      </c>
      <c r="V9" s="12" t="n"/>
      <c r="W9" s="11">
        <f>IF(AND(ISNUMBER(U9),ISNUMBER(V9)),U9*(1-V9),"")</f>
        <v/>
      </c>
      <c r="X9" s="10">
        <f>IF(AND(ISNUMBER(L9),L9&gt;0,ISNUMBER(U9)),L9/U9*30,"")</f>
        <v/>
      </c>
      <c r="Y9" s="10">
        <f>IF(AND(ISNUMBER(L9),L9&gt;0,ISNUMBER(W9)),L9/W9*30,"")</f>
        <v/>
      </c>
      <c r="Z9" s="7" t="n">
        <v>61</v>
      </c>
      <c r="AA9" s="8" t="n"/>
      <c r="AB9" s="6" t="n"/>
      <c r="AC9" s="6" t="n"/>
      <c r="AD9" s="5" t="inlineStr">
        <is>
          <t>cute</t>
        </is>
      </c>
      <c r="AE9" s="13" t="n"/>
      <c r="AF9" s="6" t="n"/>
      <c r="AG9" s="5" t="inlineStr">
        <is>
          <t>non verificato</t>
        </is>
      </c>
      <c r="AH9" s="13" t="n"/>
      <c r="AI9" s="5" t="inlineStr">
        <is>
          <t>non verificato</t>
        </is>
      </c>
      <c r="AJ9" s="6" t="n"/>
      <c r="AK9" s="5" t="inlineStr">
        <is>
          <t>da verificare</t>
        </is>
      </c>
      <c r="AL9" s="9" t="inlineStr">
        <is>
          <t>Dose e durata confermate dalla pagina ufficiale (risposta del marchio). Prezzo italiano di 61 € non ancora confermato</t>
        </is>
      </c>
    </row>
    <row r="10">
      <c r="A10" s="5" t="inlineStr">
        <is>
          <t>Living Proof</t>
        </is>
      </c>
      <c r="B10" s="5" t="inlineStr">
        <is>
          <t>Scalp Care Density Serum</t>
        </is>
      </c>
      <c r="C10" s="5" t="inlineStr">
        <is>
          <t>concorrente</t>
        </is>
      </c>
      <c r="D10" s="5" t="inlineStr">
        <is>
          <t>prioritario</t>
        </is>
      </c>
      <c r="E10" s="5" t="inlineStr">
        <is>
          <t>profumeria</t>
        </is>
      </c>
      <c r="F10" s="5" t="inlineStr">
        <is>
          <t>IT</t>
        </is>
      </c>
      <c r="G10" s="6" t="n"/>
      <c r="H10" s="6" t="n"/>
      <c r="I10" s="6" t="n"/>
      <c r="J10" s="5" t="inlineStr">
        <is>
          <t>https://www.livingproof.co.uk/products/scalp-care-density-serum</t>
        </is>
      </c>
      <c r="K10" s="6" t="n"/>
      <c r="L10" s="7" t="n">
        <v>66</v>
      </c>
      <c r="M10" s="8" t="n"/>
      <c r="N10" s="8" t="n"/>
      <c r="O10" s="5" t="n">
        <v>50</v>
      </c>
      <c r="P10" s="9" t="inlineStr">
        <is>
          <t>2-3 contagocce al giorno</t>
        </is>
      </c>
      <c r="Q10" s="6" t="n"/>
      <c r="R10" s="5" t="inlineStr">
        <is>
          <t>intervallo</t>
        </is>
      </c>
      <c r="S10" s="5" t="inlineStr">
        <is>
          <t>unica</t>
        </is>
      </c>
      <c r="T10" s="10">
        <f>IF(AND(ISNUMBER(L10),L10&gt;0,ISNUMBER(O10),O10&gt;0),L10/O10,"")</f>
        <v/>
      </c>
      <c r="U10" s="11">
        <f>IF(AND(ISNUMBER(O10),O10&gt;0,ISNUMBER(Q10),Q10&gt;0,OR(R10="verificata",R10="intervallo")),O10/Q10,"")</f>
        <v/>
      </c>
      <c r="V10" s="12" t="n"/>
      <c r="W10" s="11">
        <f>IF(AND(ISNUMBER(U10),ISNUMBER(V10)),U10*(1-V10),"")</f>
        <v/>
      </c>
      <c r="X10" s="10">
        <f>IF(AND(ISNUMBER(L10),L10&gt;0,ISNUMBER(U10)),L10/U10*30,"")</f>
        <v/>
      </c>
      <c r="Y10" s="10">
        <f>IF(AND(ISNUMBER(L10),L10&gt;0,ISNUMBER(W10)),L10/W10*30,"")</f>
        <v/>
      </c>
      <c r="Z10" s="7" t="n">
        <v>66</v>
      </c>
      <c r="AA10" s="8" t="n"/>
      <c r="AB10" s="5" t="n">
        <v>90</v>
      </c>
      <c r="AC10" s="6" t="n"/>
      <c r="AD10" s="5" t="inlineStr">
        <is>
          <t>aspetto</t>
        </is>
      </c>
      <c r="AE10" s="9" t="inlineStr">
        <is>
          <t>Capelli dall'aspetto più spesso e pieno; studio di 90 giorni su 30 persone (claim da leggere sulla pagina UE)</t>
        </is>
      </c>
      <c r="AF10" s="6" t="n"/>
      <c r="AG10" s="5" t="inlineStr">
        <is>
          <t>non verificato</t>
        </is>
      </c>
      <c r="AH10" s="13" t="n"/>
      <c r="AI10" s="5" t="inlineStr">
        <is>
          <t>non verificato</t>
        </is>
      </c>
      <c r="AJ10" s="5" t="inlineStr">
        <is>
          <t>Contagocce</t>
        </is>
      </c>
      <c r="AK10" s="5" t="inlineStr">
        <is>
          <t>da verificare</t>
        </is>
      </c>
      <c r="AL10" s="9" t="inlineStr">
        <is>
          <t>Volume del contagocce non dichiarato. Sul sito USA: in 90 giorni il 35% ha registrato più densità e il 70% meno caduta visibile</t>
        </is>
      </c>
    </row>
    <row r="11">
      <c r="A11" s="5" t="inlineStr">
        <is>
          <t>Scandinavian Biolabs</t>
        </is>
      </c>
      <c r="B11" s="5" t="inlineStr">
        <is>
          <t>Bio-Pilixin Serum</t>
        </is>
      </c>
      <c r="C11" s="5" t="inlineStr">
        <is>
          <t>concorrente</t>
        </is>
      </c>
      <c r="D11" s="5" t="inlineStr">
        <is>
          <t>prioritario</t>
        </is>
      </c>
      <c r="E11" s="5" t="inlineStr">
        <is>
          <t>DTC</t>
        </is>
      </c>
      <c r="F11" s="5" t="inlineStr">
        <is>
          <t>EU</t>
        </is>
      </c>
      <c r="G11" s="6" t="n"/>
      <c r="H11" s="6" t="n"/>
      <c r="I11" s="6" t="n"/>
      <c r="J11" s="6" t="n"/>
      <c r="K11" s="6" t="n"/>
      <c r="L11" s="7" t="n">
        <v>55</v>
      </c>
      <c r="M11" s="7" t="n">
        <v>39</v>
      </c>
      <c r="N11" s="8" t="n"/>
      <c r="O11" s="5" t="n">
        <v>100</v>
      </c>
      <c r="P11" s="9" t="inlineStr">
        <is>
          <t>Istruzioni e offerta da riconciliare: il flacone è presentato anche come fornitura mensile</t>
        </is>
      </c>
      <c r="Q11" s="6" t="n"/>
      <c r="R11" s="5" t="inlineStr">
        <is>
          <t>non disponibile</t>
        </is>
      </c>
      <c r="S11" s="5" t="inlineStr">
        <is>
          <t>unica</t>
        </is>
      </c>
      <c r="T11" s="10">
        <f>IF(AND(ISNUMBER(L11),L11&gt;0,ISNUMBER(O11),O11&gt;0),L11/O11,"")</f>
        <v/>
      </c>
      <c r="U11" s="11">
        <f>IF(AND(ISNUMBER(O11),O11&gt;0,ISNUMBER(Q11),Q11&gt;0,OR(R11="verificata",R11="intervallo")),O11/Q11,"")</f>
        <v/>
      </c>
      <c r="V11" s="12" t="n"/>
      <c r="W11" s="11">
        <f>IF(AND(ISNUMBER(U11),ISNUMBER(V11)),U11*(1-V11),"")</f>
        <v/>
      </c>
      <c r="X11" s="10">
        <f>IF(AND(ISNUMBER(L11),L11&gt;0,ISNUMBER(U11)),L11/U11*30,"")</f>
        <v/>
      </c>
      <c r="Y11" s="10">
        <f>IF(AND(ISNUMBER(L11),L11&gt;0,ISNUMBER(W11)),L11/W11*30,"")</f>
        <v/>
      </c>
      <c r="Z11" s="7" t="n">
        <v>55</v>
      </c>
      <c r="AA11" s="7" t="n">
        <v>195</v>
      </c>
      <c r="AB11" s="5" t="n">
        <v>150</v>
      </c>
      <c r="AC11" s="5" t="inlineStr">
        <is>
          <t>Garanzia legata a 150 giorni d'uso consecutivo</t>
        </is>
      </c>
      <c r="AD11" s="5" t="inlineStr">
        <is>
          <t>aspetto</t>
        </is>
      </c>
      <c r="AE11" s="13" t="n"/>
      <c r="AF11" s="6" t="n"/>
      <c r="AG11" s="5" t="inlineStr">
        <is>
          <t>sì</t>
        </is>
      </c>
      <c r="AH11" s="9" t="inlineStr">
        <is>
          <t>150 giorni d'uso, foto mensili, 5 flaconi; richieste fuori dal periodo non ammesse. Leggere le condizioni integrali</t>
        </is>
      </c>
      <c r="AI11" s="5" t="inlineStr">
        <is>
          <t>sì</t>
        </is>
      </c>
      <c r="AJ11" s="6" t="n"/>
      <c r="AK11" s="5" t="inlineStr">
        <is>
          <t>da verificare</t>
        </is>
      </c>
      <c r="AL11" s="9" t="inlineStr">
        <is>
          <t>https://scandinavianbiolabs.com/pages/money-back-guarantee · i 50 giorni ricavati da 2 mL/giorno sono in conflitto con la 'fornitura mensile'</t>
        </is>
      </c>
    </row>
    <row r="12">
      <c r="A12" s="5" t="inlineStr">
        <is>
          <t>The INKEY List</t>
        </is>
      </c>
      <c r="B12" s="5" t="inlineStr">
        <is>
          <t>Caffeine Stimulating Scalp Treatment</t>
        </is>
      </c>
      <c r="C12" s="5" t="inlineStr">
        <is>
          <t>concorrente</t>
        </is>
      </c>
      <c r="D12" s="5" t="inlineStr">
        <is>
          <t>riferimento</t>
        </is>
      </c>
      <c r="E12" s="5" t="inlineStr">
        <is>
          <t>DTC e profumeria</t>
        </is>
      </c>
      <c r="F12" s="5" t="inlineStr">
        <is>
          <t>EU</t>
        </is>
      </c>
      <c r="G12" s="6" t="n"/>
      <c r="H12" s="6" t="n"/>
      <c r="I12" s="6" t="n"/>
      <c r="J12" s="6" t="n"/>
      <c r="K12" s="6" t="n"/>
      <c r="L12" s="7" t="n">
        <v>15.5</v>
      </c>
      <c r="M12" s="8" t="n"/>
      <c r="N12" s="8" t="n"/>
      <c r="O12" s="5" t="n">
        <v>150</v>
      </c>
      <c r="P12" s="13" t="n"/>
      <c r="Q12" s="6" t="n"/>
      <c r="R12" s="5" t="inlineStr">
        <is>
          <t>non disponibile</t>
        </is>
      </c>
      <c r="S12" s="6" t="n"/>
      <c r="T12" s="10">
        <f>IF(AND(ISNUMBER(L12),L12&gt;0,ISNUMBER(O12),O12&gt;0),L12/O12,"")</f>
        <v/>
      </c>
      <c r="U12" s="11">
        <f>IF(AND(ISNUMBER(O12),O12&gt;0,ISNUMBER(Q12),Q12&gt;0,OR(R12="verificata",R12="intervallo")),O12/Q12,"")</f>
        <v/>
      </c>
      <c r="V12" s="12" t="n"/>
      <c r="W12" s="11">
        <f>IF(AND(ISNUMBER(U12),ISNUMBER(V12)),U12*(1-V12),"")</f>
        <v/>
      </c>
      <c r="X12" s="10">
        <f>IF(AND(ISNUMBER(L12),L12&gt;0,ISNUMBER(U12)),L12/U12*30,"")</f>
        <v/>
      </c>
      <c r="Y12" s="10">
        <f>IF(AND(ISNUMBER(L12),L12&gt;0,ISNUMBER(W12)),L12/W12*30,"")</f>
        <v/>
      </c>
      <c r="Z12" s="8" t="n"/>
      <c r="AA12" s="8" t="n"/>
      <c r="AB12" s="6" t="n"/>
      <c r="AC12" s="6" t="n"/>
      <c r="AD12" s="5" t="inlineStr">
        <is>
          <t>cute</t>
        </is>
      </c>
      <c r="AE12" s="13" t="n"/>
      <c r="AF12" s="5" t="inlineStr">
        <is>
          <t>alcune</t>
        </is>
      </c>
      <c r="AG12" s="5" t="inlineStr">
        <is>
          <t>non verificato</t>
        </is>
      </c>
      <c r="AH12" s="13" t="n"/>
      <c r="AI12" s="5" t="inlineStr">
        <is>
          <t>non verificato</t>
        </is>
      </c>
      <c r="AJ12" s="6" t="n"/>
      <c r="AK12" s="5" t="inlineStr">
        <is>
          <t>da verificare</t>
        </is>
      </c>
      <c r="AL12" s="9" t="inlineStr">
        <is>
          <t>Dichiara 1% caffeina, 1% Redensyl, 1% betaina: la trasparenza parziale sulle percentuali esiste già</t>
        </is>
      </c>
    </row>
    <row r="13">
      <c r="A13" s="5" t="inlineStr">
        <is>
          <t>Nioxin</t>
        </is>
      </c>
      <c r="B13" s="5" t="inlineStr">
        <is>
          <t>Night Density Rescue</t>
        </is>
      </c>
      <c r="C13" s="5" t="inlineStr">
        <is>
          <t>concorrente</t>
        </is>
      </c>
      <c r="D13" s="5" t="inlineStr">
        <is>
          <t>riferimento</t>
        </is>
      </c>
      <c r="E13" s="5" t="inlineStr">
        <is>
          <t>salone</t>
        </is>
      </c>
      <c r="F13" s="5" t="inlineStr">
        <is>
          <t>IT</t>
        </is>
      </c>
      <c r="G13" s="6" t="n"/>
      <c r="H13" s="6" t="n"/>
      <c r="I13" s="6" t="n"/>
      <c r="J13" s="6" t="n"/>
      <c r="K13" s="6" t="n"/>
      <c r="L13" s="7" t="n">
        <v>60.69</v>
      </c>
      <c r="M13" s="8" t="n"/>
      <c r="N13" s="8" t="n"/>
      <c r="O13" s="5" t="n">
        <v>70</v>
      </c>
      <c r="P13" s="9" t="inlineStr">
        <is>
          <t>2-4 pipette ogni sera</t>
        </is>
      </c>
      <c r="Q13" s="6" t="n"/>
      <c r="R13" s="5" t="inlineStr">
        <is>
          <t>intervallo</t>
        </is>
      </c>
      <c r="S13" s="6" t="n"/>
      <c r="T13" s="10">
        <f>IF(AND(ISNUMBER(L13),L13&gt;0,ISNUMBER(O13),O13&gt;0),L13/O13,"")</f>
        <v/>
      </c>
      <c r="U13" s="11">
        <f>IF(AND(ISNUMBER(O13),O13&gt;0,ISNUMBER(Q13),Q13&gt;0,OR(R13="verificata",R13="intervallo")),O13/Q13,"")</f>
        <v/>
      </c>
      <c r="V13" s="12" t="n"/>
      <c r="W13" s="11">
        <f>IF(AND(ISNUMBER(U13),ISNUMBER(V13)),U13*(1-V13),"")</f>
        <v/>
      </c>
      <c r="X13" s="10">
        <f>IF(AND(ISNUMBER(L13),L13&gt;0,ISNUMBER(U13)),L13/U13*30,"")</f>
        <v/>
      </c>
      <c r="Y13" s="10">
        <f>IF(AND(ISNUMBER(L13),L13&gt;0,ISNUMBER(W13)),L13/W13*30,"")</f>
        <v/>
      </c>
      <c r="Z13" s="8" t="n"/>
      <c r="AA13" s="8" t="n"/>
      <c r="AB13" s="6" t="n"/>
      <c r="AC13" s="6" t="n"/>
      <c r="AD13" s="5" t="inlineStr">
        <is>
          <t>aspetto</t>
        </is>
      </c>
      <c r="AE13" s="13" t="n"/>
      <c r="AF13" s="6" t="n"/>
      <c r="AG13" s="5" t="inlineStr">
        <is>
          <t>non verificato</t>
        </is>
      </c>
      <c r="AH13" s="13" t="n"/>
      <c r="AI13" s="5" t="inlineStr">
        <is>
          <t>non verificato</t>
        </is>
      </c>
      <c r="AJ13" s="6" t="n"/>
      <c r="AK13" s="5" t="inlineStr">
        <is>
          <t>da verificare</t>
        </is>
      </c>
      <c r="AL13" s="9" t="inlineStr">
        <is>
          <t>Volume della pipetta da misurare</t>
        </is>
      </c>
    </row>
    <row r="14">
      <c r="A14" s="5" t="inlineStr">
        <is>
          <t>Act+Acre</t>
        </is>
      </c>
      <c r="B14" s="5" t="inlineStr">
        <is>
          <t>Stem Cell Scalp Serum</t>
        </is>
      </c>
      <c r="C14" s="5" t="inlineStr">
        <is>
          <t>concorrente</t>
        </is>
      </c>
      <c r="D14" s="5" t="inlineStr">
        <is>
          <t>riferimento</t>
        </is>
      </c>
      <c r="E14" s="5" t="inlineStr">
        <is>
          <t>DTC</t>
        </is>
      </c>
      <c r="F14" s="5" t="inlineStr">
        <is>
          <t>EU</t>
        </is>
      </c>
      <c r="G14" s="6" t="n"/>
      <c r="H14" s="6" t="n"/>
      <c r="I14" s="6" t="n"/>
      <c r="J14" s="6" t="n"/>
      <c r="K14" s="6" t="n"/>
      <c r="L14" s="7" t="n">
        <v>89</v>
      </c>
      <c r="M14" s="8" t="n"/>
      <c r="N14" s="8" t="n"/>
      <c r="O14" s="5" t="n">
        <v>65</v>
      </c>
      <c r="P14" s="13" t="n"/>
      <c r="Q14" s="6" t="n"/>
      <c r="R14" s="5" t="inlineStr">
        <is>
          <t>non disponibile</t>
        </is>
      </c>
      <c r="S14" s="6" t="n"/>
      <c r="T14" s="10">
        <f>IF(AND(ISNUMBER(L14),L14&gt;0,ISNUMBER(O14),O14&gt;0),L14/O14,"")</f>
        <v/>
      </c>
      <c r="U14" s="11">
        <f>IF(AND(ISNUMBER(O14),O14&gt;0,ISNUMBER(Q14),Q14&gt;0,OR(R14="verificata",R14="intervallo")),O14/Q14,"")</f>
        <v/>
      </c>
      <c r="V14" s="12" t="n"/>
      <c r="W14" s="11">
        <f>IF(AND(ISNUMBER(U14),ISNUMBER(V14)),U14*(1-V14),"")</f>
        <v/>
      </c>
      <c r="X14" s="10">
        <f>IF(AND(ISNUMBER(L14),L14&gt;0,ISNUMBER(U14)),L14/U14*30,"")</f>
        <v/>
      </c>
      <c r="Y14" s="10">
        <f>IF(AND(ISNUMBER(L14),L14&gt;0,ISNUMBER(W14)),L14/W14*30,"")</f>
        <v/>
      </c>
      <c r="Z14" s="8" t="n"/>
      <c r="AA14" s="8" t="n"/>
      <c r="AB14" s="6" t="n"/>
      <c r="AC14" s="6" t="n"/>
      <c r="AD14" s="5" t="inlineStr">
        <is>
          <t>cute</t>
        </is>
      </c>
      <c r="AE14" s="13" t="n"/>
      <c r="AF14" s="6" t="n"/>
      <c r="AG14" s="5" t="inlineStr">
        <is>
          <t>non verificato</t>
        </is>
      </c>
      <c r="AH14" s="13" t="n"/>
      <c r="AI14" s="5" t="inlineStr">
        <is>
          <t>non verificato</t>
        </is>
      </c>
      <c r="AJ14" s="6" t="n"/>
      <c r="AK14" s="5" t="inlineStr">
        <is>
          <t>da verificare</t>
        </is>
      </c>
      <c r="AL14" s="13" t="n"/>
    </row>
    <row r="15">
      <c r="A15" s="5" t="inlineStr">
        <is>
          <t>Augustinus Bader</t>
        </is>
      </c>
      <c r="B15" s="5" t="inlineStr">
        <is>
          <t>The Scalp Treatment</t>
        </is>
      </c>
      <c r="C15" s="5" t="inlineStr">
        <is>
          <t>concorrente</t>
        </is>
      </c>
      <c r="D15" s="5" t="inlineStr">
        <is>
          <t>riferimento</t>
        </is>
      </c>
      <c r="E15" s="5" t="inlineStr">
        <is>
          <t>profumeria</t>
        </is>
      </c>
      <c r="F15" s="5" t="inlineStr">
        <is>
          <t>IT</t>
        </is>
      </c>
      <c r="G15" s="6" t="n"/>
      <c r="H15" s="6" t="n"/>
      <c r="I15" s="6" t="n"/>
      <c r="J15" s="6" t="n"/>
      <c r="K15" s="6" t="n"/>
      <c r="L15" s="7" t="n">
        <v>89</v>
      </c>
      <c r="M15" s="8" t="n"/>
      <c r="N15" s="8" t="n"/>
      <c r="O15" s="5" t="n">
        <v>30</v>
      </c>
      <c r="P15" s="13" t="n"/>
      <c r="Q15" s="6" t="n"/>
      <c r="R15" s="5" t="inlineStr">
        <is>
          <t>non disponibile</t>
        </is>
      </c>
      <c r="S15" s="6" t="n"/>
      <c r="T15" s="10">
        <f>IF(AND(ISNUMBER(L15),L15&gt;0,ISNUMBER(O15),O15&gt;0),L15/O15,"")</f>
        <v/>
      </c>
      <c r="U15" s="11">
        <f>IF(AND(ISNUMBER(O15),O15&gt;0,ISNUMBER(Q15),Q15&gt;0,OR(R15="verificata",R15="intervallo")),O15/Q15,"")</f>
        <v/>
      </c>
      <c r="V15" s="12" t="n"/>
      <c r="W15" s="11">
        <f>IF(AND(ISNUMBER(U15),ISNUMBER(V15)),U15*(1-V15),"")</f>
        <v/>
      </c>
      <c r="X15" s="10">
        <f>IF(AND(ISNUMBER(L15),L15&gt;0,ISNUMBER(U15)),L15/U15*30,"")</f>
        <v/>
      </c>
      <c r="Y15" s="10">
        <f>IF(AND(ISNUMBER(L15),L15&gt;0,ISNUMBER(W15)),L15/W15*30,"")</f>
        <v/>
      </c>
      <c r="Z15" s="8" t="n"/>
      <c r="AA15" s="8" t="n"/>
      <c r="AB15" s="6" t="n"/>
      <c r="AC15" s="6" t="n"/>
      <c r="AD15" s="5" t="inlineStr">
        <is>
          <t>cute</t>
        </is>
      </c>
      <c r="AE15" s="13" t="n"/>
      <c r="AF15" s="6" t="n"/>
      <c r="AG15" s="5" t="inlineStr">
        <is>
          <t>non verificato</t>
        </is>
      </c>
      <c r="AH15" s="13" t="n"/>
      <c r="AI15" s="5" t="inlineStr">
        <is>
          <t>non verificato</t>
        </is>
      </c>
      <c r="AJ15" s="6" t="n"/>
      <c r="AK15" s="5" t="inlineStr">
        <is>
          <t>da verificare</t>
        </is>
      </c>
      <c r="AL15" s="13" t="n"/>
    </row>
    <row r="16">
      <c r="A16" s="5" t="inlineStr">
        <is>
          <t>Aveda</t>
        </is>
      </c>
      <c r="B16" s="5" t="inlineStr">
        <is>
          <t>Scalp Solutions</t>
        </is>
      </c>
      <c r="C16" s="5" t="inlineStr">
        <is>
          <t>concorrente</t>
        </is>
      </c>
      <c r="D16" s="5" t="inlineStr">
        <is>
          <t>riferimento</t>
        </is>
      </c>
      <c r="E16" s="5" t="inlineStr">
        <is>
          <t>salone</t>
        </is>
      </c>
      <c r="F16" s="5" t="inlineStr">
        <is>
          <t>IT</t>
        </is>
      </c>
      <c r="G16" s="6" t="n"/>
      <c r="H16" s="6" t="n"/>
      <c r="I16" s="6" t="n"/>
      <c r="J16" s="6" t="n"/>
      <c r="K16" s="6" t="n"/>
      <c r="L16" s="7" t="n">
        <v>59</v>
      </c>
      <c r="M16" s="8" t="n"/>
      <c r="N16" s="8" t="n"/>
      <c r="O16" s="5" t="n">
        <v>50</v>
      </c>
      <c r="P16" s="13" t="n"/>
      <c r="Q16" s="6" t="n"/>
      <c r="R16" s="5" t="inlineStr">
        <is>
          <t>non disponibile</t>
        </is>
      </c>
      <c r="S16" s="6" t="n"/>
      <c r="T16" s="10">
        <f>IF(AND(ISNUMBER(L16),L16&gt;0,ISNUMBER(O16),O16&gt;0),L16/O16,"")</f>
        <v/>
      </c>
      <c r="U16" s="11">
        <f>IF(AND(ISNUMBER(O16),O16&gt;0,ISNUMBER(Q16),Q16&gt;0,OR(R16="verificata",R16="intervallo")),O16/Q16,"")</f>
        <v/>
      </c>
      <c r="V16" s="12" t="n"/>
      <c r="W16" s="11">
        <f>IF(AND(ISNUMBER(U16),ISNUMBER(V16)),U16*(1-V16),"")</f>
        <v/>
      </c>
      <c r="X16" s="10">
        <f>IF(AND(ISNUMBER(L16),L16&gt;0,ISNUMBER(U16)),L16/U16*30,"")</f>
        <v/>
      </c>
      <c r="Y16" s="10">
        <f>IF(AND(ISNUMBER(L16),L16&gt;0,ISNUMBER(W16)),L16/W16*30,"")</f>
        <v/>
      </c>
      <c r="Z16" s="8" t="n"/>
      <c r="AA16" s="8" t="n"/>
      <c r="AB16" s="6" t="n"/>
      <c r="AC16" s="6" t="n"/>
      <c r="AD16" s="5" t="inlineStr">
        <is>
          <t>cute</t>
        </is>
      </c>
      <c r="AE16" s="13" t="n"/>
      <c r="AF16" s="6" t="n"/>
      <c r="AG16" s="5" t="inlineStr">
        <is>
          <t>non verificato</t>
        </is>
      </c>
      <c r="AH16" s="13" t="n"/>
      <c r="AI16" s="5" t="inlineStr">
        <is>
          <t>non verificato</t>
        </is>
      </c>
      <c r="AJ16" s="6" t="n"/>
      <c r="AK16" s="5" t="inlineStr">
        <is>
          <t>da verificare</t>
        </is>
      </c>
      <c r="AL16" s="13" t="n"/>
    </row>
    <row r="17">
      <c r="A17" s="5" t="inlineStr">
        <is>
          <t>Plantur</t>
        </is>
      </c>
      <c r="B17" s="5" t="inlineStr">
        <is>
          <t>DMG Clinical Serum</t>
        </is>
      </c>
      <c r="C17" s="5" t="inlineStr">
        <is>
          <t>concorrente</t>
        </is>
      </c>
      <c r="D17" s="5" t="inlineStr">
        <is>
          <t>riferimento</t>
        </is>
      </c>
      <c r="E17" s="5" t="inlineStr">
        <is>
          <t>farmacia e GDO</t>
        </is>
      </c>
      <c r="F17" s="5" t="inlineStr">
        <is>
          <t>DE</t>
        </is>
      </c>
      <c r="G17" s="6" t="n"/>
      <c r="H17" s="6" t="n"/>
      <c r="I17" s="6" t="n"/>
      <c r="J17" s="6" t="n"/>
      <c r="K17" s="6" t="n"/>
      <c r="L17" s="7" t="n">
        <v>19.99</v>
      </c>
      <c r="M17" s="8" t="n"/>
      <c r="N17" s="8" t="n"/>
      <c r="O17" s="5" t="n">
        <v>125</v>
      </c>
      <c r="P17" s="13" t="n"/>
      <c r="Q17" s="6" t="n"/>
      <c r="R17" s="5" t="inlineStr">
        <is>
          <t>non disponibile</t>
        </is>
      </c>
      <c r="S17" s="6" t="n"/>
      <c r="T17" s="10">
        <f>IF(AND(ISNUMBER(L17),L17&gt;0,ISNUMBER(O17),O17&gt;0),L17/O17,"")</f>
        <v/>
      </c>
      <c r="U17" s="11">
        <f>IF(AND(ISNUMBER(O17),O17&gt;0,ISNUMBER(Q17),Q17&gt;0,OR(R17="verificata",R17="intervallo")),O17/Q17,"")</f>
        <v/>
      </c>
      <c r="V17" s="12" t="n"/>
      <c r="W17" s="11">
        <f>IF(AND(ISNUMBER(U17),ISNUMBER(V17)),U17*(1-V17),"")</f>
        <v/>
      </c>
      <c r="X17" s="10">
        <f>IF(AND(ISNUMBER(L17),L17&gt;0,ISNUMBER(U17)),L17/U17*30,"")</f>
        <v/>
      </c>
      <c r="Y17" s="10">
        <f>IF(AND(ISNUMBER(L17),L17&gt;0,ISNUMBER(W17)),L17/W17*30,"")</f>
        <v/>
      </c>
      <c r="Z17" s="8" t="n"/>
      <c r="AA17" s="8" t="n"/>
      <c r="AB17" s="6" t="n"/>
      <c r="AC17" s="6" t="n"/>
      <c r="AD17" s="5" t="inlineStr">
        <is>
          <t>caduta</t>
        </is>
      </c>
      <c r="AE17" s="13" t="n"/>
      <c r="AF17" s="6" t="n"/>
      <c r="AG17" s="5" t="inlineStr">
        <is>
          <t>non verificato</t>
        </is>
      </c>
      <c r="AH17" s="13" t="n"/>
      <c r="AI17" s="5" t="inlineStr">
        <is>
          <t>non verificato</t>
        </is>
      </c>
      <c r="AJ17" s="6" t="n"/>
      <c r="AK17" s="5" t="inlineStr">
        <is>
          <t>da verificare</t>
        </is>
      </c>
      <c r="AL17" s="9" t="inlineStr">
        <is>
          <t>Mercato tedesco</t>
        </is>
      </c>
    </row>
    <row r="18">
      <c r="A18" s="5" t="inlineStr">
        <is>
          <t>Grow Gorgeous</t>
        </is>
      </c>
      <c r="B18" s="5" t="inlineStr">
        <is>
          <t>Density Serum Intense</t>
        </is>
      </c>
      <c r="C18" s="5" t="inlineStr">
        <is>
          <t>concorrente</t>
        </is>
      </c>
      <c r="D18" s="5" t="inlineStr">
        <is>
          <t>riferimento</t>
        </is>
      </c>
      <c r="E18" s="5" t="inlineStr">
        <is>
          <t>DTC</t>
        </is>
      </c>
      <c r="F18" s="5" t="inlineStr">
        <is>
          <t>EU</t>
        </is>
      </c>
      <c r="G18" s="6" t="n"/>
      <c r="H18" s="6" t="n"/>
      <c r="I18" s="6" t="n"/>
      <c r="J18" s="6" t="n"/>
      <c r="K18" s="6" t="n"/>
      <c r="L18" s="7" t="n">
        <v>50</v>
      </c>
      <c r="M18" s="8" t="n"/>
      <c r="N18" s="8" t="n"/>
      <c r="O18" s="5" t="n">
        <v>60</v>
      </c>
      <c r="P18" s="13" t="n"/>
      <c r="Q18" s="6" t="n"/>
      <c r="R18" s="5" t="inlineStr">
        <is>
          <t>non disponibile</t>
        </is>
      </c>
      <c r="S18" s="6" t="n"/>
      <c r="T18" s="10">
        <f>IF(AND(ISNUMBER(L18),L18&gt;0,ISNUMBER(O18),O18&gt;0),L18/O18,"")</f>
        <v/>
      </c>
      <c r="U18" s="11">
        <f>IF(AND(ISNUMBER(O18),O18&gt;0,ISNUMBER(Q18),Q18&gt;0,OR(R18="verificata",R18="intervallo")),O18/Q18,"")</f>
        <v/>
      </c>
      <c r="V18" s="12" t="n"/>
      <c r="W18" s="11">
        <f>IF(AND(ISNUMBER(U18),ISNUMBER(V18)),U18*(1-V18),"")</f>
        <v/>
      </c>
      <c r="X18" s="10">
        <f>IF(AND(ISNUMBER(L18),L18&gt;0,ISNUMBER(U18)),L18/U18*30,"")</f>
        <v/>
      </c>
      <c r="Y18" s="10">
        <f>IF(AND(ISNUMBER(L18),L18&gt;0,ISNUMBER(W18)),L18/W18*30,"")</f>
        <v/>
      </c>
      <c r="Z18" s="8" t="n"/>
      <c r="AA18" s="8" t="n"/>
      <c r="AB18" s="6" t="n"/>
      <c r="AC18" s="6" t="n"/>
      <c r="AD18" s="5" t="inlineStr">
        <is>
          <t>aspetto</t>
        </is>
      </c>
      <c r="AE18" s="13" t="n"/>
      <c r="AF18" s="6" t="n"/>
      <c r="AG18" s="5" t="inlineStr">
        <is>
          <t>non verificato</t>
        </is>
      </c>
      <c r="AH18" s="13" t="n"/>
      <c r="AI18" s="5" t="inlineStr">
        <is>
          <t>non verificato</t>
        </is>
      </c>
      <c r="AJ18" s="6" t="n"/>
      <c r="AK18" s="5" t="inlineStr">
        <is>
          <t>da verificare</t>
        </is>
      </c>
      <c r="AL18" s="13" t="n"/>
    </row>
    <row r="19">
      <c r="A19" s="5" t="inlineStr">
        <is>
          <t>Foreo</t>
        </is>
      </c>
      <c r="B19" s="5" t="inlineStr">
        <is>
          <t>Dual-Peptide Scalp Serum</t>
        </is>
      </c>
      <c r="C19" s="5" t="inlineStr">
        <is>
          <t>concorrente</t>
        </is>
      </c>
      <c r="D19" s="5" t="inlineStr">
        <is>
          <t>riferimento</t>
        </is>
      </c>
      <c r="E19" s="5" t="inlineStr">
        <is>
          <t>profumeria</t>
        </is>
      </c>
      <c r="F19" s="5" t="inlineStr">
        <is>
          <t>IT</t>
        </is>
      </c>
      <c r="G19" s="6" t="n"/>
      <c r="H19" s="6" t="n"/>
      <c r="I19" s="6" t="n"/>
      <c r="J19" s="6" t="n"/>
      <c r="K19" s="6" t="n"/>
      <c r="L19" s="7" t="n">
        <v>52.9</v>
      </c>
      <c r="M19" s="8" t="n"/>
      <c r="N19" s="8" t="n"/>
      <c r="O19" s="5" t="n">
        <v>60</v>
      </c>
      <c r="P19" s="13" t="n"/>
      <c r="Q19" s="6" t="n"/>
      <c r="R19" s="5" t="inlineStr">
        <is>
          <t>non disponibile</t>
        </is>
      </c>
      <c r="S19" s="6" t="n"/>
      <c r="T19" s="10">
        <f>IF(AND(ISNUMBER(L19),L19&gt;0,ISNUMBER(O19),O19&gt;0),L19/O19,"")</f>
        <v/>
      </c>
      <c r="U19" s="11">
        <f>IF(AND(ISNUMBER(O19),O19&gt;0,ISNUMBER(Q19),Q19&gt;0,OR(R19="verificata",R19="intervallo")),O19/Q19,"")</f>
        <v/>
      </c>
      <c r="V19" s="12" t="n"/>
      <c r="W19" s="11">
        <f>IF(AND(ISNUMBER(U19),ISNUMBER(V19)),U19*(1-V19),"")</f>
        <v/>
      </c>
      <c r="X19" s="10">
        <f>IF(AND(ISNUMBER(L19),L19&gt;0,ISNUMBER(U19)),L19/U19*30,"")</f>
        <v/>
      </c>
      <c r="Y19" s="10">
        <f>IF(AND(ISNUMBER(L19),L19&gt;0,ISNUMBER(W19)),L19/W19*30,"")</f>
        <v/>
      </c>
      <c r="Z19" s="8" t="n"/>
      <c r="AA19" s="8" t="n"/>
      <c r="AB19" s="6" t="n"/>
      <c r="AC19" s="6" t="n"/>
      <c r="AD19" s="5" t="inlineStr">
        <is>
          <t>aspetto</t>
        </is>
      </c>
      <c r="AE19" s="13" t="n"/>
      <c r="AF19" s="6" t="n"/>
      <c r="AG19" s="5" t="inlineStr">
        <is>
          <t>non verificato</t>
        </is>
      </c>
      <c r="AH19" s="13" t="n"/>
      <c r="AI19" s="5" t="inlineStr">
        <is>
          <t>non verificato</t>
        </is>
      </c>
      <c r="AJ19" s="6" t="n"/>
      <c r="AK19" s="5" t="inlineStr">
        <is>
          <t>da verificare</t>
        </is>
      </c>
      <c r="AL19" s="13" t="n"/>
    </row>
    <row r="20">
      <c r="A20" s="5" t="inlineStr">
        <is>
          <t>René Furterer</t>
        </is>
      </c>
      <c r="B20" s="5" t="inlineStr">
        <is>
          <t>Triphasic</t>
        </is>
      </c>
      <c r="C20" s="5" t="inlineStr">
        <is>
          <t>concorrente</t>
        </is>
      </c>
      <c r="D20" s="5" t="inlineStr">
        <is>
          <t>riferimento</t>
        </is>
      </c>
      <c r="E20" s="5" t="inlineStr">
        <is>
          <t>farmacia</t>
        </is>
      </c>
      <c r="F20" s="5" t="inlineStr">
        <is>
          <t>IT</t>
        </is>
      </c>
      <c r="G20" s="6" t="n"/>
      <c r="H20" s="6" t="n"/>
      <c r="I20" s="6" t="n"/>
      <c r="J20" s="6" t="n"/>
      <c r="K20" s="6" t="n"/>
      <c r="L20" s="8" t="n"/>
      <c r="M20" s="8" t="n"/>
      <c r="N20" s="8" t="n"/>
      <c r="O20" s="6" t="n"/>
      <c r="P20" s="13" t="n"/>
      <c r="Q20" s="6" t="n"/>
      <c r="R20" s="5" t="inlineStr">
        <is>
          <t>non disponibile</t>
        </is>
      </c>
      <c r="S20" s="6" t="n"/>
      <c r="T20" s="10">
        <f>IF(AND(ISNUMBER(L20),L20&gt;0,ISNUMBER(O20),O20&gt;0),L20/O20,"")</f>
        <v/>
      </c>
      <c r="U20" s="11">
        <f>IF(AND(ISNUMBER(O20),O20&gt;0,ISNUMBER(Q20),Q20&gt;0,OR(R20="verificata",R20="intervallo")),O20/Q20,"")</f>
        <v/>
      </c>
      <c r="V20" s="12" t="n"/>
      <c r="W20" s="11">
        <f>IF(AND(ISNUMBER(U20),ISNUMBER(V20)),U20*(1-V20),"")</f>
        <v/>
      </c>
      <c r="X20" s="10">
        <f>IF(AND(ISNUMBER(L20),L20&gt;0,ISNUMBER(U20)),L20/U20*30,"")</f>
        <v/>
      </c>
      <c r="Y20" s="10">
        <f>IF(AND(ISNUMBER(L20),L20&gt;0,ISNUMBER(W20)),L20/W20*30,"")</f>
        <v/>
      </c>
      <c r="Z20" s="8" t="n"/>
      <c r="AA20" s="8" t="n"/>
      <c r="AB20" s="6" t="n"/>
      <c r="AC20" s="6" t="n"/>
      <c r="AD20" s="5" t="inlineStr">
        <is>
          <t>caduta</t>
        </is>
      </c>
      <c r="AE20" s="13" t="n"/>
      <c r="AF20" s="6" t="n"/>
      <c r="AG20" s="5" t="inlineStr">
        <is>
          <t>non verificato</t>
        </is>
      </c>
      <c r="AH20" s="13" t="n"/>
      <c r="AI20" s="5" t="inlineStr">
        <is>
          <t>non verificato</t>
        </is>
      </c>
      <c r="AJ20" s="6" t="n"/>
      <c r="AK20" s="5" t="inlineStr">
        <is>
          <t>da verificare</t>
        </is>
      </c>
      <c r="AL20" s="9" t="inlineStr">
        <is>
          <t>da rilevare</t>
        </is>
      </c>
    </row>
    <row r="21">
      <c r="A21" s="5" t="inlineStr">
        <is>
          <t>Eucerin</t>
        </is>
      </c>
      <c r="B21" s="5" t="inlineStr">
        <is>
          <t>DermoCapillaire</t>
        </is>
      </c>
      <c r="C21" s="5" t="inlineStr">
        <is>
          <t>concorrente</t>
        </is>
      </c>
      <c r="D21" s="5" t="inlineStr">
        <is>
          <t>riferimento</t>
        </is>
      </c>
      <c r="E21" s="5" t="inlineStr">
        <is>
          <t>farmacia</t>
        </is>
      </c>
      <c r="F21" s="5" t="inlineStr">
        <is>
          <t>IT</t>
        </is>
      </c>
      <c r="G21" s="6" t="n"/>
      <c r="H21" s="6" t="n"/>
      <c r="I21" s="6" t="n"/>
      <c r="J21" s="6" t="n"/>
      <c r="K21" s="6" t="n"/>
      <c r="L21" s="8" t="n"/>
      <c r="M21" s="8" t="n"/>
      <c r="N21" s="8" t="n"/>
      <c r="O21" s="6" t="n"/>
      <c r="P21" s="13" t="n"/>
      <c r="Q21" s="6" t="n"/>
      <c r="R21" s="5" t="inlineStr">
        <is>
          <t>non disponibile</t>
        </is>
      </c>
      <c r="S21" s="6" t="n"/>
      <c r="T21" s="10">
        <f>IF(AND(ISNUMBER(L21),L21&gt;0,ISNUMBER(O21),O21&gt;0),L21/O21,"")</f>
        <v/>
      </c>
      <c r="U21" s="11">
        <f>IF(AND(ISNUMBER(O21),O21&gt;0,ISNUMBER(Q21),Q21&gt;0,OR(R21="verificata",R21="intervallo")),O21/Q21,"")</f>
        <v/>
      </c>
      <c r="V21" s="12" t="n"/>
      <c r="W21" s="11">
        <f>IF(AND(ISNUMBER(U21),ISNUMBER(V21)),U21*(1-V21),"")</f>
        <v/>
      </c>
      <c r="X21" s="10">
        <f>IF(AND(ISNUMBER(L21),L21&gt;0,ISNUMBER(U21)),L21/U21*30,"")</f>
        <v/>
      </c>
      <c r="Y21" s="10">
        <f>IF(AND(ISNUMBER(L21),L21&gt;0,ISNUMBER(W21)),L21/W21*30,"")</f>
        <v/>
      </c>
      <c r="Z21" s="8" t="n"/>
      <c r="AA21" s="8" t="n"/>
      <c r="AB21" s="6" t="n"/>
      <c r="AC21" s="6" t="n"/>
      <c r="AD21" s="5" t="inlineStr">
        <is>
          <t>caduta</t>
        </is>
      </c>
      <c r="AE21" s="13" t="n"/>
      <c r="AF21" s="6" t="n"/>
      <c r="AG21" s="5" t="inlineStr">
        <is>
          <t>non verificato</t>
        </is>
      </c>
      <c r="AH21" s="13" t="n"/>
      <c r="AI21" s="5" t="inlineStr">
        <is>
          <t>non verificato</t>
        </is>
      </c>
      <c r="AJ21" s="6" t="n"/>
      <c r="AK21" s="5" t="inlineStr">
        <is>
          <t>da verificare</t>
        </is>
      </c>
      <c r="AL21" s="9" t="inlineStr">
        <is>
          <t>da rilevare</t>
        </is>
      </c>
    </row>
    <row r="22">
      <c r="A22" s="5" t="inlineStr">
        <is>
          <t>Philip Kingsley</t>
        </is>
      </c>
      <c r="B22" s="5" t="inlineStr">
        <is>
          <t>Density Serum</t>
        </is>
      </c>
      <c r="C22" s="5" t="inlineStr">
        <is>
          <t>concorrente</t>
        </is>
      </c>
      <c r="D22" s="5" t="inlineStr">
        <is>
          <t>riferimento</t>
        </is>
      </c>
      <c r="E22" s="5" t="inlineStr">
        <is>
          <t>profumeria</t>
        </is>
      </c>
      <c r="F22" s="5" t="inlineStr">
        <is>
          <t>EU</t>
        </is>
      </c>
      <c r="G22" s="6" t="n"/>
      <c r="H22" s="6" t="n"/>
      <c r="I22" s="6" t="n"/>
      <c r="J22" s="6" t="n"/>
      <c r="K22" s="6" t="n"/>
      <c r="L22" s="8" t="n"/>
      <c r="M22" s="8" t="n"/>
      <c r="N22" s="8" t="n"/>
      <c r="O22" s="6" t="n"/>
      <c r="P22" s="13" t="n"/>
      <c r="Q22" s="6" t="n"/>
      <c r="R22" s="5" t="inlineStr">
        <is>
          <t>non disponibile</t>
        </is>
      </c>
      <c r="S22" s="6" t="n"/>
      <c r="T22" s="10">
        <f>IF(AND(ISNUMBER(L22),L22&gt;0,ISNUMBER(O22),O22&gt;0),L22/O22,"")</f>
        <v/>
      </c>
      <c r="U22" s="11">
        <f>IF(AND(ISNUMBER(O22),O22&gt;0,ISNUMBER(Q22),Q22&gt;0,OR(R22="verificata",R22="intervallo")),O22/Q22,"")</f>
        <v/>
      </c>
      <c r="V22" s="12" t="n"/>
      <c r="W22" s="11">
        <f>IF(AND(ISNUMBER(U22),ISNUMBER(V22)),U22*(1-V22),"")</f>
        <v/>
      </c>
      <c r="X22" s="10">
        <f>IF(AND(ISNUMBER(L22),L22&gt;0,ISNUMBER(U22)),L22/U22*30,"")</f>
        <v/>
      </c>
      <c r="Y22" s="10">
        <f>IF(AND(ISNUMBER(L22),L22&gt;0,ISNUMBER(W22)),L22/W22*30,"")</f>
        <v/>
      </c>
      <c r="Z22" s="8" t="n"/>
      <c r="AA22" s="8" t="n"/>
      <c r="AB22" s="6" t="n"/>
      <c r="AC22" s="6" t="n"/>
      <c r="AD22" s="5" t="inlineStr">
        <is>
          <t>aspetto</t>
        </is>
      </c>
      <c r="AE22" s="13" t="n"/>
      <c r="AF22" s="6" t="n"/>
      <c r="AG22" s="5" t="inlineStr">
        <is>
          <t>non verificato</t>
        </is>
      </c>
      <c r="AH22" s="13" t="n"/>
      <c r="AI22" s="5" t="inlineStr">
        <is>
          <t>non verificato</t>
        </is>
      </c>
      <c r="AJ22" s="6" t="n"/>
      <c r="AK22" s="5" t="inlineStr">
        <is>
          <t>da verificare</t>
        </is>
      </c>
      <c r="AL22" s="9" t="inlineStr">
        <is>
          <t>da rilevare</t>
        </is>
      </c>
    </row>
    <row r="23">
      <c r="A23" s="5" t="inlineStr">
        <is>
          <t>Alpecin</t>
        </is>
      </c>
      <c r="B23" s="5" t="inlineStr">
        <is>
          <t>Caffeine Liquid</t>
        </is>
      </c>
      <c r="C23" s="5" t="inlineStr">
        <is>
          <t>concorrente</t>
        </is>
      </c>
      <c r="D23" s="5" t="inlineStr">
        <is>
          <t>riferimento</t>
        </is>
      </c>
      <c r="E23" s="5" t="inlineStr">
        <is>
          <t>GDO</t>
        </is>
      </c>
      <c r="F23" s="5" t="inlineStr">
        <is>
          <t>DE</t>
        </is>
      </c>
      <c r="G23" s="6" t="n"/>
      <c r="H23" s="6" t="n"/>
      <c r="I23" s="6" t="n"/>
      <c r="J23" s="6" t="n"/>
      <c r="K23" s="6" t="n"/>
      <c r="L23" s="8" t="n"/>
      <c r="M23" s="8" t="n"/>
      <c r="N23" s="8" t="n"/>
      <c r="O23" s="5" t="n">
        <v>200</v>
      </c>
      <c r="P23" s="13" t="n"/>
      <c r="Q23" s="6" t="n"/>
      <c r="R23" s="5" t="inlineStr">
        <is>
          <t>non disponibile</t>
        </is>
      </c>
      <c r="S23" s="6" t="n"/>
      <c r="T23" s="10">
        <f>IF(AND(ISNUMBER(L23),L23&gt;0,ISNUMBER(O23),O23&gt;0),L23/O23,"")</f>
        <v/>
      </c>
      <c r="U23" s="11">
        <f>IF(AND(ISNUMBER(O23),O23&gt;0,ISNUMBER(Q23),Q23&gt;0,OR(R23="verificata",R23="intervallo")),O23/Q23,"")</f>
        <v/>
      </c>
      <c r="V23" s="12" t="n"/>
      <c r="W23" s="11">
        <f>IF(AND(ISNUMBER(U23),ISNUMBER(V23)),U23*(1-V23),"")</f>
        <v/>
      </c>
      <c r="X23" s="10">
        <f>IF(AND(ISNUMBER(L23),L23&gt;0,ISNUMBER(U23)),L23/U23*30,"")</f>
        <v/>
      </c>
      <c r="Y23" s="10">
        <f>IF(AND(ISNUMBER(L23),L23&gt;0,ISNUMBER(W23)),L23/W23*30,"")</f>
        <v/>
      </c>
      <c r="Z23" s="8" t="n"/>
      <c r="AA23" s="8" t="n"/>
      <c r="AB23" s="6" t="n"/>
      <c r="AC23" s="6" t="n"/>
      <c r="AD23" s="5" t="inlineStr">
        <is>
          <t>caduta</t>
        </is>
      </c>
      <c r="AE23" s="13" t="n"/>
      <c r="AF23" s="6" t="n"/>
      <c r="AG23" s="5" t="inlineStr">
        <is>
          <t>non verificato</t>
        </is>
      </c>
      <c r="AH23" s="13" t="n"/>
      <c r="AI23" s="5" t="inlineStr">
        <is>
          <t>non verificato</t>
        </is>
      </c>
      <c r="AJ23" s="6" t="n"/>
      <c r="AK23" s="5" t="inlineStr">
        <is>
          <t>da verificare</t>
        </is>
      </c>
      <c r="AL23" s="9" t="inlineStr">
        <is>
          <t>Canale diverso dal nostro</t>
        </is>
      </c>
    </row>
    <row r="24">
      <c r="A24" s="5" t="inlineStr">
        <is>
          <t>Nutrafol</t>
        </is>
      </c>
      <c r="B24" s="5" t="inlineStr">
        <is>
          <t>Scalp Serum</t>
        </is>
      </c>
      <c r="C24" s="5" t="inlineStr">
        <is>
          <t>concorrente</t>
        </is>
      </c>
      <c r="D24" s="5" t="inlineStr">
        <is>
          <t>riferimento</t>
        </is>
      </c>
      <c r="E24" s="5" t="inlineStr">
        <is>
          <t>DTC</t>
        </is>
      </c>
      <c r="F24" s="5" t="inlineStr">
        <is>
          <t>US</t>
        </is>
      </c>
      <c r="G24" s="6" t="n"/>
      <c r="H24" s="6" t="n"/>
      <c r="I24" s="6" t="n"/>
      <c r="J24" s="6" t="n"/>
      <c r="K24" s="6" t="n"/>
      <c r="L24" s="8" t="n"/>
      <c r="M24" s="8" t="n"/>
      <c r="N24" s="8" t="n"/>
      <c r="O24" s="5" t="n">
        <v>50</v>
      </c>
      <c r="P24" s="13" t="n"/>
      <c r="Q24" s="6" t="n"/>
      <c r="R24" s="5" t="inlineStr">
        <is>
          <t>non disponibile</t>
        </is>
      </c>
      <c r="S24" s="6" t="n"/>
      <c r="T24" s="10">
        <f>IF(AND(ISNUMBER(L24),L24&gt;0,ISNUMBER(O24),O24&gt;0),L24/O24,"")</f>
        <v/>
      </c>
      <c r="U24" s="11">
        <f>IF(AND(ISNUMBER(O24),O24&gt;0,ISNUMBER(Q24),Q24&gt;0,OR(R24="verificata",R24="intervallo")),O24/Q24,"")</f>
        <v/>
      </c>
      <c r="V24" s="12" t="n"/>
      <c r="W24" s="11">
        <f>IF(AND(ISNUMBER(U24),ISNUMBER(V24)),U24*(1-V24),"")</f>
        <v/>
      </c>
      <c r="X24" s="10">
        <f>IF(AND(ISNUMBER(L24),L24&gt;0,ISNUMBER(U24)),L24/U24*30,"")</f>
        <v/>
      </c>
      <c r="Y24" s="10">
        <f>IF(AND(ISNUMBER(L24),L24&gt;0,ISNUMBER(W24)),L24/W24*30,"")</f>
        <v/>
      </c>
      <c r="Z24" s="8" t="n"/>
      <c r="AA24" s="8" t="n"/>
      <c r="AB24" s="6" t="n"/>
      <c r="AC24" s="6" t="n"/>
      <c r="AD24" s="5" t="inlineStr">
        <is>
          <t>aspetto</t>
        </is>
      </c>
      <c r="AE24" s="13" t="n"/>
      <c r="AF24" s="6" t="n"/>
      <c r="AG24" s="5" t="inlineStr">
        <is>
          <t>non verificato</t>
        </is>
      </c>
      <c r="AH24" s="13" t="n"/>
      <c r="AI24" s="5" t="inlineStr">
        <is>
          <t>non verificato</t>
        </is>
      </c>
      <c r="AJ24" s="6" t="n"/>
      <c r="AK24" s="5" t="inlineStr">
        <is>
          <t>da verificare</t>
        </is>
      </c>
      <c r="AL24" s="9" t="inlineStr">
        <is>
          <t>Mercato USA: utile per confronto, non per il prezzo italiano</t>
        </is>
      </c>
    </row>
    <row r="25">
      <c r="A25" s="5" t="inlineStr">
        <is>
          <t>KRINÉ</t>
        </is>
      </c>
      <c r="B25" s="5" t="inlineStr">
        <is>
          <t>Flacone singolo</t>
        </is>
      </c>
      <c r="C25" s="5" t="inlineStr">
        <is>
          <t>KRINÉ</t>
        </is>
      </c>
      <c r="D25" s="5" t="inlineStr">
        <is>
          <t>-</t>
        </is>
      </c>
      <c r="E25" s="5" t="inlineStr">
        <is>
          <t>DTC</t>
        </is>
      </c>
      <c r="F25" s="5" t="inlineStr">
        <is>
          <t>IT</t>
        </is>
      </c>
      <c r="G25" s="6" t="n"/>
      <c r="H25" s="6" t="n"/>
      <c r="I25" s="6" t="n"/>
      <c r="J25" s="6" t="n"/>
      <c r="K25" s="6" t="n"/>
      <c r="L25" s="7" t="n">
        <v>59</v>
      </c>
      <c r="M25" s="8" t="n"/>
      <c r="N25" s="8" t="n"/>
      <c r="O25" s="5" t="n">
        <v>60</v>
      </c>
      <c r="P25" s="9" t="inlineStr">
        <is>
          <t>4 erogazioni da 0,5 mL, la sera</t>
        </is>
      </c>
      <c r="Q25" s="5" t="n">
        <v>2</v>
      </c>
      <c r="R25" s="5" t="inlineStr">
        <is>
          <t>verificata</t>
        </is>
      </c>
      <c r="S25" s="5" t="inlineStr">
        <is>
          <t>unica</t>
        </is>
      </c>
      <c r="T25" s="10">
        <f>IF(AND(ISNUMBER(L25),L25&gt;0,ISNUMBER(O25),O25&gt;0),L25/O25,"")</f>
        <v/>
      </c>
      <c r="U25" s="11">
        <f>IF(AND(ISNUMBER(O25),O25&gt;0,ISNUMBER(Q25),Q25&gt;0,OR(R25="verificata",R25="intervallo")),O25/Q25,"")</f>
        <v/>
      </c>
      <c r="V25" s="14" t="n">
        <v>0.05</v>
      </c>
      <c r="W25" s="11">
        <f>IF(AND(ISNUMBER(U25),ISNUMBER(V25)),U25*(1-V25),"")</f>
        <v/>
      </c>
      <c r="X25" s="10">
        <f>IF(AND(ISNUMBER(L25),L25&gt;0,ISNUMBER(U25)),L25/U25*30,"")</f>
        <v/>
      </c>
      <c r="Y25" s="10">
        <f>IF(AND(ISNUMBER(L25),L25&gt;0,ISNUMBER(W25)),L25/W25*30,"")</f>
        <v/>
      </c>
      <c r="Z25" s="7" t="n">
        <v>59</v>
      </c>
      <c r="AA25" s="8" t="n"/>
      <c r="AB25" s="6" t="n"/>
      <c r="AC25" s="5" t="inlineStr">
        <is>
          <t>Nessun impegno</t>
        </is>
      </c>
      <c r="AD25" s="5" t="inlineStr">
        <is>
          <t>cute</t>
        </is>
      </c>
      <c r="AE25" s="13" t="n"/>
      <c r="AF25" s="5" t="inlineStr">
        <is>
          <t>tutte</t>
        </is>
      </c>
      <c r="AG25" s="5" t="inlineStr">
        <is>
          <t>no</t>
        </is>
      </c>
      <c r="AH25" s="13" t="n"/>
      <c r="AI25" s="5" t="inlineStr">
        <is>
          <t>no</t>
        </is>
      </c>
      <c r="AJ25" s="6" t="n"/>
      <c r="AK25" s="5" t="inlineStr">
        <is>
          <t>nostro dato</t>
        </is>
      </c>
      <c r="AL25" s="9" t="inlineStr">
        <is>
          <t>Residuo del 5%: ipotesi da misurare</t>
        </is>
      </c>
    </row>
    <row r="26">
      <c r="A26" s="5" t="inlineStr">
        <is>
          <t>KRINÉ</t>
        </is>
      </c>
      <c r="B26" s="5" t="inlineStr">
        <is>
          <t>Abbonamento, invio ogni 28 giorni</t>
        </is>
      </c>
      <c r="C26" s="5" t="inlineStr">
        <is>
          <t>KRINÉ</t>
        </is>
      </c>
      <c r="D26" s="5" t="inlineStr">
        <is>
          <t>-</t>
        </is>
      </c>
      <c r="E26" s="5" t="inlineStr">
        <is>
          <t>DTC</t>
        </is>
      </c>
      <c r="F26" s="5" t="inlineStr">
        <is>
          <t>IT</t>
        </is>
      </c>
      <c r="G26" s="6" t="n"/>
      <c r="H26" s="6" t="n"/>
      <c r="I26" s="6" t="n"/>
      <c r="J26" s="6" t="n"/>
      <c r="K26" s="6" t="n"/>
      <c r="L26" s="7" t="n">
        <v>49</v>
      </c>
      <c r="M26" s="8" t="n"/>
      <c r="N26" s="8" t="n"/>
      <c r="O26" s="5" t="n">
        <v>60</v>
      </c>
      <c r="P26" s="9" t="inlineStr">
        <is>
          <t>4 erogazioni da 0,5 mL, la sera</t>
        </is>
      </c>
      <c r="Q26" s="5" t="n">
        <v>2</v>
      </c>
      <c r="R26" s="5" t="inlineStr">
        <is>
          <t>verificata</t>
        </is>
      </c>
      <c r="S26" s="5" t="inlineStr">
        <is>
          <t>unica</t>
        </is>
      </c>
      <c r="T26" s="10">
        <f>IF(AND(ISNUMBER(L26),L26&gt;0,ISNUMBER(O26),O26&gt;0),L26/O26,"")</f>
        <v/>
      </c>
      <c r="U26" s="11">
        <f>IF(AND(ISNUMBER(O26),O26&gt;0,ISNUMBER(Q26),Q26&gt;0,OR(R26="verificata",R26="intervallo")),O26/Q26,"")</f>
        <v/>
      </c>
      <c r="V26" s="14" t="n">
        <v>0.05</v>
      </c>
      <c r="W26" s="11">
        <f>IF(AND(ISNUMBER(U26),ISNUMBER(V26)),U26*(1-V26),"")</f>
        <v/>
      </c>
      <c r="X26" s="10">
        <f>IF(AND(ISNUMBER(L26),L26&gt;0,ISNUMBER(U26)),L26/U26*30,"")</f>
        <v/>
      </c>
      <c r="Y26" s="10">
        <f>IF(AND(ISNUMBER(L26),L26&gt;0,ISNUMBER(W26)),L26/W26*30,"")</f>
        <v/>
      </c>
      <c r="Z26" s="7" t="n">
        <v>49</v>
      </c>
      <c r="AA26" s="8" t="n"/>
      <c r="AB26" s="6" t="n"/>
      <c r="AC26" s="5" t="inlineStr">
        <is>
          <t>Si interrompe in qualunque momento</t>
        </is>
      </c>
      <c r="AD26" s="5" t="inlineStr">
        <is>
          <t>cute</t>
        </is>
      </c>
      <c r="AE26" s="13" t="n"/>
      <c r="AF26" s="5" t="inlineStr">
        <is>
          <t>tutte</t>
        </is>
      </c>
      <c r="AG26" s="5" t="inlineStr">
        <is>
          <t>no</t>
        </is>
      </c>
      <c r="AH26" s="13" t="n"/>
      <c r="AI26" s="5" t="inlineStr">
        <is>
          <t>sì</t>
        </is>
      </c>
      <c r="AJ26" s="6" t="n"/>
      <c r="AK26" s="5" t="inlineStr">
        <is>
          <t>nostro dato</t>
        </is>
      </c>
      <c r="AL26" s="9" t="inlineStr">
        <is>
          <t>Consegna ogni 28 giorni perché 57 mL utili durano 28,5 giorni: il prezzo in colonna L è per 28 giorni</t>
        </is>
      </c>
    </row>
    <row r="27">
      <c r="A27" s="5" t="inlineStr">
        <is>
          <t>KRINÉ</t>
        </is>
      </c>
      <c r="B27" s="5" t="inlineStr">
        <is>
          <t>Percorso da 3 flaconi</t>
        </is>
      </c>
      <c r="C27" s="5" t="inlineStr">
        <is>
          <t>KRINÉ</t>
        </is>
      </c>
      <c r="D27" s="5" t="inlineStr">
        <is>
          <t>-</t>
        </is>
      </c>
      <c r="E27" s="5" t="inlineStr">
        <is>
          <t>DTC</t>
        </is>
      </c>
      <c r="F27" s="5" t="inlineStr">
        <is>
          <t>IT</t>
        </is>
      </c>
      <c r="G27" s="6" t="n"/>
      <c r="H27" s="6" t="n"/>
      <c r="I27" s="6" t="n"/>
      <c r="J27" s="6" t="n"/>
      <c r="K27" s="6" t="n"/>
      <c r="L27" s="7" t="n">
        <v>149</v>
      </c>
      <c r="M27" s="8" t="n"/>
      <c r="N27" s="8" t="n"/>
      <c r="O27" s="5" t="n">
        <v>180</v>
      </c>
      <c r="P27" s="9" t="inlineStr">
        <is>
          <t>4 erogazioni da 0,5 mL, la sera</t>
        </is>
      </c>
      <c r="Q27" s="5" t="n">
        <v>2</v>
      </c>
      <c r="R27" s="5" t="inlineStr">
        <is>
          <t>verificata</t>
        </is>
      </c>
      <c r="S27" s="5" t="inlineStr">
        <is>
          <t>unica</t>
        </is>
      </c>
      <c r="T27" s="10">
        <f>IF(AND(ISNUMBER(L27),L27&gt;0,ISNUMBER(O27),O27&gt;0),L27/O27,"")</f>
        <v/>
      </c>
      <c r="U27" s="11">
        <f>IF(AND(ISNUMBER(O27),O27&gt;0,ISNUMBER(Q27),Q27&gt;0,OR(R27="verificata",R27="intervallo")),O27/Q27,"")</f>
        <v/>
      </c>
      <c r="V27" s="14" t="n">
        <v>0.05</v>
      </c>
      <c r="W27" s="11">
        <f>IF(AND(ISNUMBER(U27),ISNUMBER(V27)),U27*(1-V27),"")</f>
        <v/>
      </c>
      <c r="X27" s="10">
        <f>IF(AND(ISNUMBER(L27),L27&gt;0,ISNUMBER(U27)),L27/U27*30,"")</f>
        <v/>
      </c>
      <c r="Y27" s="10">
        <f>IF(AND(ISNUMBER(L27),L27&gt;0,ISNUMBER(W27)),L27/W27*30,"")</f>
        <v/>
      </c>
      <c r="Z27" s="7" t="n">
        <v>149</v>
      </c>
      <c r="AA27" s="8" t="n"/>
      <c r="AB27" s="6" t="n"/>
      <c r="AC27" s="5" t="inlineStr">
        <is>
          <t>Pagamento anticipato di 85 giorni</t>
        </is>
      </c>
      <c r="AD27" s="5" t="inlineStr">
        <is>
          <t>cute</t>
        </is>
      </c>
      <c r="AE27" s="13" t="n"/>
      <c r="AF27" s="5" t="inlineStr">
        <is>
          <t>tutte</t>
        </is>
      </c>
      <c r="AG27" s="5" t="inlineStr">
        <is>
          <t>no</t>
        </is>
      </c>
      <c r="AH27" s="13" t="n"/>
      <c r="AI27" s="5" t="inlineStr">
        <is>
          <t>no</t>
        </is>
      </c>
      <c r="AJ27" s="6" t="n"/>
      <c r="AK27" s="5" t="inlineStr">
        <is>
          <t>nostro dato</t>
        </is>
      </c>
      <c r="AL27" s="13" t="n"/>
    </row>
    <row r="28">
      <c r="A28" s="5" t="inlineStr">
        <is>
          <t>KRINÉ</t>
        </is>
      </c>
      <c r="B28" s="5" t="inlineStr">
        <is>
          <t>Percorso da 6 flaconi</t>
        </is>
      </c>
      <c r="C28" s="5" t="inlineStr">
        <is>
          <t>KRINÉ</t>
        </is>
      </c>
      <c r="D28" s="5" t="inlineStr">
        <is>
          <t>-</t>
        </is>
      </c>
      <c r="E28" s="5" t="inlineStr">
        <is>
          <t>DTC</t>
        </is>
      </c>
      <c r="F28" s="5" t="inlineStr">
        <is>
          <t>IT</t>
        </is>
      </c>
      <c r="G28" s="6" t="n"/>
      <c r="H28" s="6" t="n"/>
      <c r="I28" s="6" t="n"/>
      <c r="J28" s="6" t="n"/>
      <c r="K28" s="6" t="n"/>
      <c r="L28" s="7" t="n">
        <v>279</v>
      </c>
      <c r="M28" s="8" t="n"/>
      <c r="N28" s="8" t="n"/>
      <c r="O28" s="5" t="n">
        <v>360</v>
      </c>
      <c r="P28" s="9" t="inlineStr">
        <is>
          <t>4 erogazioni da 0,5 mL, la sera</t>
        </is>
      </c>
      <c r="Q28" s="5" t="n">
        <v>2</v>
      </c>
      <c r="R28" s="5" t="inlineStr">
        <is>
          <t>verificata</t>
        </is>
      </c>
      <c r="S28" s="5" t="inlineStr">
        <is>
          <t>unica</t>
        </is>
      </c>
      <c r="T28" s="10">
        <f>IF(AND(ISNUMBER(L28),L28&gt;0,ISNUMBER(O28),O28&gt;0),L28/O28,"")</f>
        <v/>
      </c>
      <c r="U28" s="11">
        <f>IF(AND(ISNUMBER(O28),O28&gt;0,ISNUMBER(Q28),Q28&gt;0,OR(R28="verificata",R28="intervallo")),O28/Q28,"")</f>
        <v/>
      </c>
      <c r="V28" s="14" t="n">
        <v>0.05</v>
      </c>
      <c r="W28" s="11">
        <f>IF(AND(ISNUMBER(U28),ISNUMBER(V28)),U28*(1-V28),"")</f>
        <v/>
      </c>
      <c r="X28" s="10">
        <f>IF(AND(ISNUMBER(L28),L28&gt;0,ISNUMBER(U28)),L28/U28*30,"")</f>
        <v/>
      </c>
      <c r="Y28" s="10">
        <f>IF(AND(ISNUMBER(L28),L28&gt;0,ISNUMBER(W28)),L28/W28*30,"")</f>
        <v/>
      </c>
      <c r="Z28" s="7" t="n">
        <v>279</v>
      </c>
      <c r="AA28" s="7" t="n">
        <v>279</v>
      </c>
      <c r="AB28" s="5" t="n">
        <v>150</v>
      </c>
      <c r="AC28" s="5" t="inlineStr">
        <is>
          <t>Pagamento anticipato di 171 giorni</t>
        </is>
      </c>
      <c r="AD28" s="5" t="inlineStr">
        <is>
          <t>aspetto</t>
        </is>
      </c>
      <c r="AE28" s="13" t="n"/>
      <c r="AF28" s="5" t="inlineStr">
        <is>
          <t>tutte</t>
        </is>
      </c>
      <c r="AG28" s="5" t="inlineStr">
        <is>
          <t>sì</t>
        </is>
      </c>
      <c r="AH28" s="9" t="inlineStr">
        <is>
          <t>Vedi capitolo 07 del piano</t>
        </is>
      </c>
      <c r="AI28" s="5" t="inlineStr">
        <is>
          <t>no</t>
        </is>
      </c>
      <c r="AJ28" s="6" t="n"/>
      <c r="AK28" s="5" t="inlineStr">
        <is>
          <t>nostro dato</t>
        </is>
      </c>
      <c r="AL28" s="9" t="inlineStr">
        <is>
          <t>342 mL utili = 171 giorni: coprono i 150 della garanzia</t>
        </is>
      </c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6" t="n"/>
      <c r="M29" s="16" t="n"/>
      <c r="N29" s="16" t="n"/>
      <c r="O29" s="15" t="n"/>
      <c r="P29" s="17" t="n"/>
      <c r="Q29" s="15" t="n"/>
      <c r="R29" s="15" t="n"/>
      <c r="S29" s="15" t="n"/>
      <c r="T29" s="10">
        <f>IF(AND(ISNUMBER(L29),L29&gt;0,ISNUMBER(O29),O29&gt;0),L29/O29,"")</f>
        <v/>
      </c>
      <c r="U29" s="11">
        <f>IF(AND(ISNUMBER(O29),O29&gt;0,ISNUMBER(Q29),Q29&gt;0,OR(R29="verificata",R29="intervallo")),O29/Q29,"")</f>
        <v/>
      </c>
      <c r="V29" s="18" t="n"/>
      <c r="W29" s="11">
        <f>IF(AND(ISNUMBER(U29),ISNUMBER(V29)),U29*(1-V29),"")</f>
        <v/>
      </c>
      <c r="X29" s="10">
        <f>IF(AND(ISNUMBER(L29),L29&gt;0,ISNUMBER(U29)),L29/U29*30,"")</f>
        <v/>
      </c>
      <c r="Y29" s="10">
        <f>IF(AND(ISNUMBER(L29),L29&gt;0,ISNUMBER(W29)),L29/W29*30,"")</f>
        <v/>
      </c>
      <c r="Z29" s="16" t="n"/>
      <c r="AA29" s="16" t="n"/>
      <c r="AB29" s="15" t="n"/>
      <c r="AC29" s="15" t="n"/>
      <c r="AD29" s="15" t="n"/>
      <c r="AE29" s="17" t="n"/>
      <c r="AF29" s="15" t="n"/>
      <c r="AG29" s="15" t="n"/>
      <c r="AH29" s="17" t="n"/>
      <c r="AI29" s="15" t="n"/>
      <c r="AJ29" s="15" t="n"/>
      <c r="AK29" s="15" t="n"/>
      <c r="AL29" s="17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6" t="n"/>
      <c r="M30" s="16" t="n"/>
      <c r="N30" s="16" t="n"/>
      <c r="O30" s="15" t="n"/>
      <c r="P30" s="17" t="n"/>
      <c r="Q30" s="15" t="n"/>
      <c r="R30" s="15" t="n"/>
      <c r="S30" s="15" t="n"/>
      <c r="T30" s="10">
        <f>IF(AND(ISNUMBER(L30),L30&gt;0,ISNUMBER(O30),O30&gt;0),L30/O30,"")</f>
        <v/>
      </c>
      <c r="U30" s="11">
        <f>IF(AND(ISNUMBER(O30),O30&gt;0,ISNUMBER(Q30),Q30&gt;0,OR(R30="verificata",R30="intervallo")),O30/Q30,"")</f>
        <v/>
      </c>
      <c r="V30" s="18" t="n"/>
      <c r="W30" s="11">
        <f>IF(AND(ISNUMBER(U30),ISNUMBER(V30)),U30*(1-V30),"")</f>
        <v/>
      </c>
      <c r="X30" s="10">
        <f>IF(AND(ISNUMBER(L30),L30&gt;0,ISNUMBER(U30)),L30/U30*30,"")</f>
        <v/>
      </c>
      <c r="Y30" s="10">
        <f>IF(AND(ISNUMBER(L30),L30&gt;0,ISNUMBER(W30)),L30/W30*30,"")</f>
        <v/>
      </c>
      <c r="Z30" s="16" t="n"/>
      <c r="AA30" s="16" t="n"/>
      <c r="AB30" s="15" t="n"/>
      <c r="AC30" s="15" t="n"/>
      <c r="AD30" s="15" t="n"/>
      <c r="AE30" s="17" t="n"/>
      <c r="AF30" s="15" t="n"/>
      <c r="AG30" s="15" t="n"/>
      <c r="AH30" s="17" t="n"/>
      <c r="AI30" s="15" t="n"/>
      <c r="AJ30" s="15" t="n"/>
      <c r="AK30" s="15" t="n"/>
      <c r="AL30" s="17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6" t="n"/>
      <c r="M31" s="16" t="n"/>
      <c r="N31" s="16" t="n"/>
      <c r="O31" s="15" t="n"/>
      <c r="P31" s="17" t="n"/>
      <c r="Q31" s="15" t="n"/>
      <c r="R31" s="15" t="n"/>
      <c r="S31" s="15" t="n"/>
      <c r="T31" s="10">
        <f>IF(AND(ISNUMBER(L31),L31&gt;0,ISNUMBER(O31),O31&gt;0),L31/O31,"")</f>
        <v/>
      </c>
      <c r="U31" s="11">
        <f>IF(AND(ISNUMBER(O31),O31&gt;0,ISNUMBER(Q31),Q31&gt;0,OR(R31="verificata",R31="intervallo")),O31/Q31,"")</f>
        <v/>
      </c>
      <c r="V31" s="18" t="n"/>
      <c r="W31" s="11">
        <f>IF(AND(ISNUMBER(U31),ISNUMBER(V31)),U31*(1-V31),"")</f>
        <v/>
      </c>
      <c r="X31" s="10">
        <f>IF(AND(ISNUMBER(L31),L31&gt;0,ISNUMBER(U31)),L31/U31*30,"")</f>
        <v/>
      </c>
      <c r="Y31" s="10">
        <f>IF(AND(ISNUMBER(L31),L31&gt;0,ISNUMBER(W31)),L31/W31*30,"")</f>
        <v/>
      </c>
      <c r="Z31" s="16" t="n"/>
      <c r="AA31" s="16" t="n"/>
      <c r="AB31" s="15" t="n"/>
      <c r="AC31" s="15" t="n"/>
      <c r="AD31" s="15" t="n"/>
      <c r="AE31" s="17" t="n"/>
      <c r="AF31" s="15" t="n"/>
      <c r="AG31" s="15" t="n"/>
      <c r="AH31" s="17" t="n"/>
      <c r="AI31" s="15" t="n"/>
      <c r="AJ31" s="15" t="n"/>
      <c r="AK31" s="15" t="n"/>
      <c r="AL31" s="17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6" t="n"/>
      <c r="M32" s="16" t="n"/>
      <c r="N32" s="16" t="n"/>
      <c r="O32" s="15" t="n"/>
      <c r="P32" s="17" t="n"/>
      <c r="Q32" s="15" t="n"/>
      <c r="R32" s="15" t="n"/>
      <c r="S32" s="15" t="n"/>
      <c r="T32" s="10">
        <f>IF(AND(ISNUMBER(L32),L32&gt;0,ISNUMBER(O32),O32&gt;0),L32/O32,"")</f>
        <v/>
      </c>
      <c r="U32" s="11">
        <f>IF(AND(ISNUMBER(O32),O32&gt;0,ISNUMBER(Q32),Q32&gt;0,OR(R32="verificata",R32="intervallo")),O32/Q32,"")</f>
        <v/>
      </c>
      <c r="V32" s="18" t="n"/>
      <c r="W32" s="11">
        <f>IF(AND(ISNUMBER(U32),ISNUMBER(V32)),U32*(1-V32),"")</f>
        <v/>
      </c>
      <c r="X32" s="10">
        <f>IF(AND(ISNUMBER(L32),L32&gt;0,ISNUMBER(U32)),L32/U32*30,"")</f>
        <v/>
      </c>
      <c r="Y32" s="10">
        <f>IF(AND(ISNUMBER(L32),L32&gt;0,ISNUMBER(W32)),L32/W32*30,"")</f>
        <v/>
      </c>
      <c r="Z32" s="16" t="n"/>
      <c r="AA32" s="16" t="n"/>
      <c r="AB32" s="15" t="n"/>
      <c r="AC32" s="15" t="n"/>
      <c r="AD32" s="15" t="n"/>
      <c r="AE32" s="17" t="n"/>
      <c r="AF32" s="15" t="n"/>
      <c r="AG32" s="15" t="n"/>
      <c r="AH32" s="17" t="n"/>
      <c r="AI32" s="15" t="n"/>
      <c r="AJ32" s="15" t="n"/>
      <c r="AK32" s="15" t="n"/>
      <c r="AL32" s="17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6" t="n"/>
      <c r="M33" s="16" t="n"/>
      <c r="N33" s="16" t="n"/>
      <c r="O33" s="15" t="n"/>
      <c r="P33" s="17" t="n"/>
      <c r="Q33" s="15" t="n"/>
      <c r="R33" s="15" t="n"/>
      <c r="S33" s="15" t="n"/>
      <c r="T33" s="10">
        <f>IF(AND(ISNUMBER(L33),L33&gt;0,ISNUMBER(O33),O33&gt;0),L33/O33,"")</f>
        <v/>
      </c>
      <c r="U33" s="11">
        <f>IF(AND(ISNUMBER(O33),O33&gt;0,ISNUMBER(Q33),Q33&gt;0,OR(R33="verificata",R33="intervallo")),O33/Q33,"")</f>
        <v/>
      </c>
      <c r="V33" s="18" t="n"/>
      <c r="W33" s="11">
        <f>IF(AND(ISNUMBER(U33),ISNUMBER(V33)),U33*(1-V33),"")</f>
        <v/>
      </c>
      <c r="X33" s="10">
        <f>IF(AND(ISNUMBER(L33),L33&gt;0,ISNUMBER(U33)),L33/U33*30,"")</f>
        <v/>
      </c>
      <c r="Y33" s="10">
        <f>IF(AND(ISNUMBER(L33),L33&gt;0,ISNUMBER(W33)),L33/W33*30,"")</f>
        <v/>
      </c>
      <c r="Z33" s="16" t="n"/>
      <c r="AA33" s="16" t="n"/>
      <c r="AB33" s="15" t="n"/>
      <c r="AC33" s="15" t="n"/>
      <c r="AD33" s="15" t="n"/>
      <c r="AE33" s="17" t="n"/>
      <c r="AF33" s="15" t="n"/>
      <c r="AG33" s="15" t="n"/>
      <c r="AH33" s="17" t="n"/>
      <c r="AI33" s="15" t="n"/>
      <c r="AJ33" s="15" t="n"/>
      <c r="AK33" s="15" t="n"/>
      <c r="AL33" s="17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6" t="n"/>
      <c r="M34" s="16" t="n"/>
      <c r="N34" s="16" t="n"/>
      <c r="O34" s="15" t="n"/>
      <c r="P34" s="17" t="n"/>
      <c r="Q34" s="15" t="n"/>
      <c r="R34" s="15" t="n"/>
      <c r="S34" s="15" t="n"/>
      <c r="T34" s="10">
        <f>IF(AND(ISNUMBER(L34),L34&gt;0,ISNUMBER(O34),O34&gt;0),L34/O34,"")</f>
        <v/>
      </c>
      <c r="U34" s="11">
        <f>IF(AND(ISNUMBER(O34),O34&gt;0,ISNUMBER(Q34),Q34&gt;0,OR(R34="verificata",R34="intervallo")),O34/Q34,"")</f>
        <v/>
      </c>
      <c r="V34" s="18" t="n"/>
      <c r="W34" s="11">
        <f>IF(AND(ISNUMBER(U34),ISNUMBER(V34)),U34*(1-V34),"")</f>
        <v/>
      </c>
      <c r="X34" s="10">
        <f>IF(AND(ISNUMBER(L34),L34&gt;0,ISNUMBER(U34)),L34/U34*30,"")</f>
        <v/>
      </c>
      <c r="Y34" s="10">
        <f>IF(AND(ISNUMBER(L34),L34&gt;0,ISNUMBER(W34)),L34/W34*30,"")</f>
        <v/>
      </c>
      <c r="Z34" s="16" t="n"/>
      <c r="AA34" s="16" t="n"/>
      <c r="AB34" s="15" t="n"/>
      <c r="AC34" s="15" t="n"/>
      <c r="AD34" s="15" t="n"/>
      <c r="AE34" s="17" t="n"/>
      <c r="AF34" s="15" t="n"/>
      <c r="AG34" s="15" t="n"/>
      <c r="AH34" s="17" t="n"/>
      <c r="AI34" s="15" t="n"/>
      <c r="AJ34" s="15" t="n"/>
      <c r="AK34" s="15" t="n"/>
      <c r="AL34" s="17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6" t="n"/>
      <c r="M35" s="16" t="n"/>
      <c r="N35" s="16" t="n"/>
      <c r="O35" s="15" t="n"/>
      <c r="P35" s="17" t="n"/>
      <c r="Q35" s="15" t="n"/>
      <c r="R35" s="15" t="n"/>
      <c r="S35" s="15" t="n"/>
      <c r="T35" s="10">
        <f>IF(AND(ISNUMBER(L35),L35&gt;0,ISNUMBER(O35),O35&gt;0),L35/O35,"")</f>
        <v/>
      </c>
      <c r="U35" s="11">
        <f>IF(AND(ISNUMBER(O35),O35&gt;0,ISNUMBER(Q35),Q35&gt;0,OR(R35="verificata",R35="intervallo")),O35/Q35,"")</f>
        <v/>
      </c>
      <c r="V35" s="18" t="n"/>
      <c r="W35" s="11">
        <f>IF(AND(ISNUMBER(U35),ISNUMBER(V35)),U35*(1-V35),"")</f>
        <v/>
      </c>
      <c r="X35" s="10">
        <f>IF(AND(ISNUMBER(L35),L35&gt;0,ISNUMBER(U35)),L35/U35*30,"")</f>
        <v/>
      </c>
      <c r="Y35" s="10">
        <f>IF(AND(ISNUMBER(L35),L35&gt;0,ISNUMBER(W35)),L35/W35*30,"")</f>
        <v/>
      </c>
      <c r="Z35" s="16" t="n"/>
      <c r="AA35" s="16" t="n"/>
      <c r="AB35" s="15" t="n"/>
      <c r="AC35" s="15" t="n"/>
      <c r="AD35" s="15" t="n"/>
      <c r="AE35" s="17" t="n"/>
      <c r="AF35" s="15" t="n"/>
      <c r="AG35" s="15" t="n"/>
      <c r="AH35" s="17" t="n"/>
      <c r="AI35" s="15" t="n"/>
      <c r="AJ35" s="15" t="n"/>
      <c r="AK35" s="15" t="n"/>
      <c r="AL35" s="17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6" t="n"/>
      <c r="M36" s="16" t="n"/>
      <c r="N36" s="16" t="n"/>
      <c r="O36" s="15" t="n"/>
      <c r="P36" s="17" t="n"/>
      <c r="Q36" s="15" t="n"/>
      <c r="R36" s="15" t="n"/>
      <c r="S36" s="15" t="n"/>
      <c r="T36" s="10">
        <f>IF(AND(ISNUMBER(L36),L36&gt;0,ISNUMBER(O36),O36&gt;0),L36/O36,"")</f>
        <v/>
      </c>
      <c r="U36" s="11">
        <f>IF(AND(ISNUMBER(O36),O36&gt;0,ISNUMBER(Q36),Q36&gt;0,OR(R36="verificata",R36="intervallo")),O36/Q36,"")</f>
        <v/>
      </c>
      <c r="V36" s="18" t="n"/>
      <c r="W36" s="11">
        <f>IF(AND(ISNUMBER(U36),ISNUMBER(V36)),U36*(1-V36),"")</f>
        <v/>
      </c>
      <c r="X36" s="10">
        <f>IF(AND(ISNUMBER(L36),L36&gt;0,ISNUMBER(U36)),L36/U36*30,"")</f>
        <v/>
      </c>
      <c r="Y36" s="10">
        <f>IF(AND(ISNUMBER(L36),L36&gt;0,ISNUMBER(W36)),L36/W36*30,"")</f>
        <v/>
      </c>
      <c r="Z36" s="16" t="n"/>
      <c r="AA36" s="16" t="n"/>
      <c r="AB36" s="15" t="n"/>
      <c r="AC36" s="15" t="n"/>
      <c r="AD36" s="15" t="n"/>
      <c r="AE36" s="17" t="n"/>
      <c r="AF36" s="15" t="n"/>
      <c r="AG36" s="15" t="n"/>
      <c r="AH36" s="17" t="n"/>
      <c r="AI36" s="15" t="n"/>
      <c r="AJ36" s="15" t="n"/>
      <c r="AK36" s="15" t="n"/>
      <c r="AL36" s="17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6" t="n"/>
      <c r="M37" s="16" t="n"/>
      <c r="N37" s="16" t="n"/>
      <c r="O37" s="15" t="n"/>
      <c r="P37" s="17" t="n"/>
      <c r="Q37" s="15" t="n"/>
      <c r="R37" s="15" t="n"/>
      <c r="S37" s="15" t="n"/>
      <c r="T37" s="10">
        <f>IF(AND(ISNUMBER(L37),L37&gt;0,ISNUMBER(O37),O37&gt;0),L37/O37,"")</f>
        <v/>
      </c>
      <c r="U37" s="11">
        <f>IF(AND(ISNUMBER(O37),O37&gt;0,ISNUMBER(Q37),Q37&gt;0,OR(R37="verificata",R37="intervallo")),O37/Q37,"")</f>
        <v/>
      </c>
      <c r="V37" s="18" t="n"/>
      <c r="W37" s="11">
        <f>IF(AND(ISNUMBER(U37),ISNUMBER(V37)),U37*(1-V37),"")</f>
        <v/>
      </c>
      <c r="X37" s="10">
        <f>IF(AND(ISNUMBER(L37),L37&gt;0,ISNUMBER(U37)),L37/U37*30,"")</f>
        <v/>
      </c>
      <c r="Y37" s="10">
        <f>IF(AND(ISNUMBER(L37),L37&gt;0,ISNUMBER(W37)),L37/W37*30,"")</f>
        <v/>
      </c>
      <c r="Z37" s="16" t="n"/>
      <c r="AA37" s="16" t="n"/>
      <c r="AB37" s="15" t="n"/>
      <c r="AC37" s="15" t="n"/>
      <c r="AD37" s="15" t="n"/>
      <c r="AE37" s="17" t="n"/>
      <c r="AF37" s="15" t="n"/>
      <c r="AG37" s="15" t="n"/>
      <c r="AH37" s="17" t="n"/>
      <c r="AI37" s="15" t="n"/>
      <c r="AJ37" s="15" t="n"/>
      <c r="AK37" s="15" t="n"/>
      <c r="AL37" s="17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6" t="n"/>
      <c r="M38" s="16" t="n"/>
      <c r="N38" s="16" t="n"/>
      <c r="O38" s="15" t="n"/>
      <c r="P38" s="17" t="n"/>
      <c r="Q38" s="15" t="n"/>
      <c r="R38" s="15" t="n"/>
      <c r="S38" s="15" t="n"/>
      <c r="T38" s="10">
        <f>IF(AND(ISNUMBER(L38),L38&gt;0,ISNUMBER(O38),O38&gt;0),L38/O38,"")</f>
        <v/>
      </c>
      <c r="U38" s="11">
        <f>IF(AND(ISNUMBER(O38),O38&gt;0,ISNUMBER(Q38),Q38&gt;0,OR(R38="verificata",R38="intervallo")),O38/Q38,"")</f>
        <v/>
      </c>
      <c r="V38" s="18" t="n"/>
      <c r="W38" s="11">
        <f>IF(AND(ISNUMBER(U38),ISNUMBER(V38)),U38*(1-V38),"")</f>
        <v/>
      </c>
      <c r="X38" s="10">
        <f>IF(AND(ISNUMBER(L38),L38&gt;0,ISNUMBER(U38)),L38/U38*30,"")</f>
        <v/>
      </c>
      <c r="Y38" s="10">
        <f>IF(AND(ISNUMBER(L38),L38&gt;0,ISNUMBER(W38)),L38/W38*30,"")</f>
        <v/>
      </c>
      <c r="Z38" s="16" t="n"/>
      <c r="AA38" s="16" t="n"/>
      <c r="AB38" s="15" t="n"/>
      <c r="AC38" s="15" t="n"/>
      <c r="AD38" s="15" t="n"/>
      <c r="AE38" s="17" t="n"/>
      <c r="AF38" s="15" t="n"/>
      <c r="AG38" s="15" t="n"/>
      <c r="AH38" s="17" t="n"/>
      <c r="AI38" s="15" t="n"/>
      <c r="AJ38" s="15" t="n"/>
      <c r="AK38" s="15" t="n"/>
      <c r="AL38" s="17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6" t="n"/>
      <c r="M39" s="16" t="n"/>
      <c r="N39" s="16" t="n"/>
      <c r="O39" s="15" t="n"/>
      <c r="P39" s="17" t="n"/>
      <c r="Q39" s="15" t="n"/>
      <c r="R39" s="15" t="n"/>
      <c r="S39" s="15" t="n"/>
      <c r="T39" s="10">
        <f>IF(AND(ISNUMBER(L39),L39&gt;0,ISNUMBER(O39),O39&gt;0),L39/O39,"")</f>
        <v/>
      </c>
      <c r="U39" s="11">
        <f>IF(AND(ISNUMBER(O39),O39&gt;0,ISNUMBER(Q39),Q39&gt;0,OR(R39="verificata",R39="intervallo")),O39/Q39,"")</f>
        <v/>
      </c>
      <c r="V39" s="18" t="n"/>
      <c r="W39" s="11">
        <f>IF(AND(ISNUMBER(U39),ISNUMBER(V39)),U39*(1-V39),"")</f>
        <v/>
      </c>
      <c r="X39" s="10">
        <f>IF(AND(ISNUMBER(L39),L39&gt;0,ISNUMBER(U39)),L39/U39*30,"")</f>
        <v/>
      </c>
      <c r="Y39" s="10">
        <f>IF(AND(ISNUMBER(L39),L39&gt;0,ISNUMBER(W39)),L39/W39*30,"")</f>
        <v/>
      </c>
      <c r="Z39" s="16" t="n"/>
      <c r="AA39" s="16" t="n"/>
      <c r="AB39" s="15" t="n"/>
      <c r="AC39" s="15" t="n"/>
      <c r="AD39" s="15" t="n"/>
      <c r="AE39" s="17" t="n"/>
      <c r="AF39" s="15" t="n"/>
      <c r="AG39" s="15" t="n"/>
      <c r="AH39" s="17" t="n"/>
      <c r="AI39" s="15" t="n"/>
      <c r="AJ39" s="15" t="n"/>
      <c r="AK39" s="15" t="n"/>
      <c r="AL39" s="17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6" t="n"/>
      <c r="M40" s="16" t="n"/>
      <c r="N40" s="16" t="n"/>
      <c r="O40" s="15" t="n"/>
      <c r="P40" s="17" t="n"/>
      <c r="Q40" s="15" t="n"/>
      <c r="R40" s="15" t="n"/>
      <c r="S40" s="15" t="n"/>
      <c r="T40" s="10">
        <f>IF(AND(ISNUMBER(L40),L40&gt;0,ISNUMBER(O40),O40&gt;0),L40/O40,"")</f>
        <v/>
      </c>
      <c r="U40" s="11">
        <f>IF(AND(ISNUMBER(O40),O40&gt;0,ISNUMBER(Q40),Q40&gt;0,OR(R40="verificata",R40="intervallo")),O40/Q40,"")</f>
        <v/>
      </c>
      <c r="V40" s="18" t="n"/>
      <c r="W40" s="11">
        <f>IF(AND(ISNUMBER(U40),ISNUMBER(V40)),U40*(1-V40),"")</f>
        <v/>
      </c>
      <c r="X40" s="10">
        <f>IF(AND(ISNUMBER(L40),L40&gt;0,ISNUMBER(U40)),L40/U40*30,"")</f>
        <v/>
      </c>
      <c r="Y40" s="10">
        <f>IF(AND(ISNUMBER(L40),L40&gt;0,ISNUMBER(W40)),L40/W40*30,"")</f>
        <v/>
      </c>
      <c r="Z40" s="16" t="n"/>
      <c r="AA40" s="16" t="n"/>
      <c r="AB40" s="15" t="n"/>
      <c r="AC40" s="15" t="n"/>
      <c r="AD40" s="15" t="n"/>
      <c r="AE40" s="17" t="n"/>
      <c r="AF40" s="15" t="n"/>
      <c r="AG40" s="15" t="n"/>
      <c r="AH40" s="17" t="n"/>
      <c r="AI40" s="15" t="n"/>
      <c r="AJ40" s="15" t="n"/>
      <c r="AK40" s="15" t="n"/>
      <c r="AL40" s="17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6" t="n"/>
      <c r="M41" s="16" t="n"/>
      <c r="N41" s="16" t="n"/>
      <c r="O41" s="15" t="n"/>
      <c r="P41" s="17" t="n"/>
      <c r="Q41" s="15" t="n"/>
      <c r="R41" s="15" t="n"/>
      <c r="S41" s="15" t="n"/>
      <c r="T41" s="10">
        <f>IF(AND(ISNUMBER(L41),L41&gt;0,ISNUMBER(O41),O41&gt;0),L41/O41,"")</f>
        <v/>
      </c>
      <c r="U41" s="11">
        <f>IF(AND(ISNUMBER(O41),O41&gt;0,ISNUMBER(Q41),Q41&gt;0,OR(R41="verificata",R41="intervallo")),O41/Q41,"")</f>
        <v/>
      </c>
      <c r="V41" s="18" t="n"/>
      <c r="W41" s="11">
        <f>IF(AND(ISNUMBER(U41),ISNUMBER(V41)),U41*(1-V41),"")</f>
        <v/>
      </c>
      <c r="X41" s="10">
        <f>IF(AND(ISNUMBER(L41),L41&gt;0,ISNUMBER(U41)),L41/U41*30,"")</f>
        <v/>
      </c>
      <c r="Y41" s="10">
        <f>IF(AND(ISNUMBER(L41),L41&gt;0,ISNUMBER(W41)),L41/W41*30,"")</f>
        <v/>
      </c>
      <c r="Z41" s="16" t="n"/>
      <c r="AA41" s="16" t="n"/>
      <c r="AB41" s="15" t="n"/>
      <c r="AC41" s="15" t="n"/>
      <c r="AD41" s="15" t="n"/>
      <c r="AE41" s="17" t="n"/>
      <c r="AF41" s="15" t="n"/>
      <c r="AG41" s="15" t="n"/>
      <c r="AH41" s="17" t="n"/>
      <c r="AI41" s="15" t="n"/>
      <c r="AJ41" s="15" t="n"/>
      <c r="AK41" s="15" t="n"/>
      <c r="AL41" s="17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6" t="n"/>
      <c r="M42" s="16" t="n"/>
      <c r="N42" s="16" t="n"/>
      <c r="O42" s="15" t="n"/>
      <c r="P42" s="17" t="n"/>
      <c r="Q42" s="15" t="n"/>
      <c r="R42" s="15" t="n"/>
      <c r="S42" s="15" t="n"/>
      <c r="T42" s="10">
        <f>IF(AND(ISNUMBER(L42),L42&gt;0,ISNUMBER(O42),O42&gt;0),L42/O42,"")</f>
        <v/>
      </c>
      <c r="U42" s="11">
        <f>IF(AND(ISNUMBER(O42),O42&gt;0,ISNUMBER(Q42),Q42&gt;0,OR(R42="verificata",R42="intervallo")),O42/Q42,"")</f>
        <v/>
      </c>
      <c r="V42" s="18" t="n"/>
      <c r="W42" s="11">
        <f>IF(AND(ISNUMBER(U42),ISNUMBER(V42)),U42*(1-V42),"")</f>
        <v/>
      </c>
      <c r="X42" s="10">
        <f>IF(AND(ISNUMBER(L42),L42&gt;0,ISNUMBER(U42)),L42/U42*30,"")</f>
        <v/>
      </c>
      <c r="Y42" s="10">
        <f>IF(AND(ISNUMBER(L42),L42&gt;0,ISNUMBER(W42)),L42/W42*30,"")</f>
        <v/>
      </c>
      <c r="Z42" s="16" t="n"/>
      <c r="AA42" s="16" t="n"/>
      <c r="AB42" s="15" t="n"/>
      <c r="AC42" s="15" t="n"/>
      <c r="AD42" s="15" t="n"/>
      <c r="AE42" s="17" t="n"/>
      <c r="AF42" s="15" t="n"/>
      <c r="AG42" s="15" t="n"/>
      <c r="AH42" s="17" t="n"/>
      <c r="AI42" s="15" t="n"/>
      <c r="AJ42" s="15" t="n"/>
      <c r="AK42" s="15" t="n"/>
      <c r="AL42" s="17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6" t="n"/>
      <c r="M43" s="16" t="n"/>
      <c r="N43" s="16" t="n"/>
      <c r="O43" s="15" t="n"/>
      <c r="P43" s="17" t="n"/>
      <c r="Q43" s="15" t="n"/>
      <c r="R43" s="15" t="n"/>
      <c r="S43" s="15" t="n"/>
      <c r="T43" s="10">
        <f>IF(AND(ISNUMBER(L43),L43&gt;0,ISNUMBER(O43),O43&gt;0),L43/O43,"")</f>
        <v/>
      </c>
      <c r="U43" s="11">
        <f>IF(AND(ISNUMBER(O43),O43&gt;0,ISNUMBER(Q43),Q43&gt;0,OR(R43="verificata",R43="intervallo")),O43/Q43,"")</f>
        <v/>
      </c>
      <c r="V43" s="18" t="n"/>
      <c r="W43" s="11">
        <f>IF(AND(ISNUMBER(U43),ISNUMBER(V43)),U43*(1-V43),"")</f>
        <v/>
      </c>
      <c r="X43" s="10">
        <f>IF(AND(ISNUMBER(L43),L43&gt;0,ISNUMBER(U43)),L43/U43*30,"")</f>
        <v/>
      </c>
      <c r="Y43" s="10">
        <f>IF(AND(ISNUMBER(L43),L43&gt;0,ISNUMBER(W43)),L43/W43*30,"")</f>
        <v/>
      </c>
      <c r="Z43" s="16" t="n"/>
      <c r="AA43" s="16" t="n"/>
      <c r="AB43" s="15" t="n"/>
      <c r="AC43" s="15" t="n"/>
      <c r="AD43" s="15" t="n"/>
      <c r="AE43" s="17" t="n"/>
      <c r="AF43" s="15" t="n"/>
      <c r="AG43" s="15" t="n"/>
      <c r="AH43" s="17" t="n"/>
      <c r="AI43" s="15" t="n"/>
      <c r="AJ43" s="15" t="n"/>
      <c r="AK43" s="15" t="n"/>
      <c r="AL43" s="17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6" t="n"/>
      <c r="M44" s="16" t="n"/>
      <c r="N44" s="16" t="n"/>
      <c r="O44" s="15" t="n"/>
      <c r="P44" s="17" t="n"/>
      <c r="Q44" s="15" t="n"/>
      <c r="R44" s="15" t="n"/>
      <c r="S44" s="15" t="n"/>
      <c r="T44" s="10">
        <f>IF(AND(ISNUMBER(L44),L44&gt;0,ISNUMBER(O44),O44&gt;0),L44/O44,"")</f>
        <v/>
      </c>
      <c r="U44" s="11">
        <f>IF(AND(ISNUMBER(O44),O44&gt;0,ISNUMBER(Q44),Q44&gt;0,OR(R44="verificata",R44="intervallo")),O44/Q44,"")</f>
        <v/>
      </c>
      <c r="V44" s="18" t="n"/>
      <c r="W44" s="11">
        <f>IF(AND(ISNUMBER(U44),ISNUMBER(V44)),U44*(1-V44),"")</f>
        <v/>
      </c>
      <c r="X44" s="10">
        <f>IF(AND(ISNUMBER(L44),L44&gt;0,ISNUMBER(U44)),L44/U44*30,"")</f>
        <v/>
      </c>
      <c r="Y44" s="10">
        <f>IF(AND(ISNUMBER(L44),L44&gt;0,ISNUMBER(W44)),L44/W44*30,"")</f>
        <v/>
      </c>
      <c r="Z44" s="16" t="n"/>
      <c r="AA44" s="16" t="n"/>
      <c r="AB44" s="15" t="n"/>
      <c r="AC44" s="15" t="n"/>
      <c r="AD44" s="15" t="n"/>
      <c r="AE44" s="17" t="n"/>
      <c r="AF44" s="15" t="n"/>
      <c r="AG44" s="15" t="n"/>
      <c r="AH44" s="17" t="n"/>
      <c r="AI44" s="15" t="n"/>
      <c r="AJ44" s="15" t="n"/>
      <c r="AK44" s="15" t="n"/>
      <c r="AL44" s="17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6" t="n"/>
      <c r="M45" s="16" t="n"/>
      <c r="N45" s="16" t="n"/>
      <c r="O45" s="15" t="n"/>
      <c r="P45" s="17" t="n"/>
      <c r="Q45" s="15" t="n"/>
      <c r="R45" s="15" t="n"/>
      <c r="S45" s="15" t="n"/>
      <c r="T45" s="10">
        <f>IF(AND(ISNUMBER(L45),L45&gt;0,ISNUMBER(O45),O45&gt;0),L45/O45,"")</f>
        <v/>
      </c>
      <c r="U45" s="11">
        <f>IF(AND(ISNUMBER(O45),O45&gt;0,ISNUMBER(Q45),Q45&gt;0,OR(R45="verificata",R45="intervallo")),O45/Q45,"")</f>
        <v/>
      </c>
      <c r="V45" s="18" t="n"/>
      <c r="W45" s="11">
        <f>IF(AND(ISNUMBER(U45),ISNUMBER(V45)),U45*(1-V45),"")</f>
        <v/>
      </c>
      <c r="X45" s="10">
        <f>IF(AND(ISNUMBER(L45),L45&gt;0,ISNUMBER(U45)),L45/U45*30,"")</f>
        <v/>
      </c>
      <c r="Y45" s="10">
        <f>IF(AND(ISNUMBER(L45),L45&gt;0,ISNUMBER(W45)),L45/W45*30,"")</f>
        <v/>
      </c>
      <c r="Z45" s="16" t="n"/>
      <c r="AA45" s="16" t="n"/>
      <c r="AB45" s="15" t="n"/>
      <c r="AC45" s="15" t="n"/>
      <c r="AD45" s="15" t="n"/>
      <c r="AE45" s="17" t="n"/>
      <c r="AF45" s="15" t="n"/>
      <c r="AG45" s="15" t="n"/>
      <c r="AH45" s="17" t="n"/>
      <c r="AI45" s="15" t="n"/>
      <c r="AJ45" s="15" t="n"/>
      <c r="AK45" s="15" t="n"/>
      <c r="AL45" s="17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6" t="n"/>
      <c r="M46" s="16" t="n"/>
      <c r="N46" s="16" t="n"/>
      <c r="O46" s="15" t="n"/>
      <c r="P46" s="17" t="n"/>
      <c r="Q46" s="15" t="n"/>
      <c r="R46" s="15" t="n"/>
      <c r="S46" s="15" t="n"/>
      <c r="T46" s="10">
        <f>IF(AND(ISNUMBER(L46),L46&gt;0,ISNUMBER(O46),O46&gt;0),L46/O46,"")</f>
        <v/>
      </c>
      <c r="U46" s="11">
        <f>IF(AND(ISNUMBER(O46),O46&gt;0,ISNUMBER(Q46),Q46&gt;0,OR(R46="verificata",R46="intervallo")),O46/Q46,"")</f>
        <v/>
      </c>
      <c r="V46" s="18" t="n"/>
      <c r="W46" s="11">
        <f>IF(AND(ISNUMBER(U46),ISNUMBER(V46)),U46*(1-V46),"")</f>
        <v/>
      </c>
      <c r="X46" s="10">
        <f>IF(AND(ISNUMBER(L46),L46&gt;0,ISNUMBER(U46)),L46/U46*30,"")</f>
        <v/>
      </c>
      <c r="Y46" s="10">
        <f>IF(AND(ISNUMBER(L46),L46&gt;0,ISNUMBER(W46)),L46/W46*30,"")</f>
        <v/>
      </c>
      <c r="Z46" s="16" t="n"/>
      <c r="AA46" s="16" t="n"/>
      <c r="AB46" s="15" t="n"/>
      <c r="AC46" s="15" t="n"/>
      <c r="AD46" s="15" t="n"/>
      <c r="AE46" s="17" t="n"/>
      <c r="AF46" s="15" t="n"/>
      <c r="AG46" s="15" t="n"/>
      <c r="AH46" s="17" t="n"/>
      <c r="AI46" s="15" t="n"/>
      <c r="AJ46" s="15" t="n"/>
      <c r="AK46" s="15" t="n"/>
      <c r="AL46" s="17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6" t="n"/>
      <c r="M47" s="16" t="n"/>
      <c r="N47" s="16" t="n"/>
      <c r="O47" s="15" t="n"/>
      <c r="P47" s="17" t="n"/>
      <c r="Q47" s="15" t="n"/>
      <c r="R47" s="15" t="n"/>
      <c r="S47" s="15" t="n"/>
      <c r="T47" s="10">
        <f>IF(AND(ISNUMBER(L47),L47&gt;0,ISNUMBER(O47),O47&gt;0),L47/O47,"")</f>
        <v/>
      </c>
      <c r="U47" s="11">
        <f>IF(AND(ISNUMBER(O47),O47&gt;0,ISNUMBER(Q47),Q47&gt;0,OR(R47="verificata",R47="intervallo")),O47/Q47,"")</f>
        <v/>
      </c>
      <c r="V47" s="18" t="n"/>
      <c r="W47" s="11">
        <f>IF(AND(ISNUMBER(U47),ISNUMBER(V47)),U47*(1-V47),"")</f>
        <v/>
      </c>
      <c r="X47" s="10">
        <f>IF(AND(ISNUMBER(L47),L47&gt;0,ISNUMBER(U47)),L47/U47*30,"")</f>
        <v/>
      </c>
      <c r="Y47" s="10">
        <f>IF(AND(ISNUMBER(L47),L47&gt;0,ISNUMBER(W47)),L47/W47*30,"")</f>
        <v/>
      </c>
      <c r="Z47" s="16" t="n"/>
      <c r="AA47" s="16" t="n"/>
      <c r="AB47" s="15" t="n"/>
      <c r="AC47" s="15" t="n"/>
      <c r="AD47" s="15" t="n"/>
      <c r="AE47" s="17" t="n"/>
      <c r="AF47" s="15" t="n"/>
      <c r="AG47" s="15" t="n"/>
      <c r="AH47" s="17" t="n"/>
      <c r="AI47" s="15" t="n"/>
      <c r="AJ47" s="15" t="n"/>
      <c r="AK47" s="15" t="n"/>
      <c r="AL47" s="17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6" t="n"/>
      <c r="M48" s="16" t="n"/>
      <c r="N48" s="16" t="n"/>
      <c r="O48" s="15" t="n"/>
      <c r="P48" s="17" t="n"/>
      <c r="Q48" s="15" t="n"/>
      <c r="R48" s="15" t="n"/>
      <c r="S48" s="15" t="n"/>
      <c r="T48" s="10">
        <f>IF(AND(ISNUMBER(L48),L48&gt;0,ISNUMBER(O48),O48&gt;0),L48/O48,"")</f>
        <v/>
      </c>
      <c r="U48" s="11">
        <f>IF(AND(ISNUMBER(O48),O48&gt;0,ISNUMBER(Q48),Q48&gt;0,OR(R48="verificata",R48="intervallo")),O48/Q48,"")</f>
        <v/>
      </c>
      <c r="V48" s="18" t="n"/>
      <c r="W48" s="11">
        <f>IF(AND(ISNUMBER(U48),ISNUMBER(V48)),U48*(1-V48),"")</f>
        <v/>
      </c>
      <c r="X48" s="10">
        <f>IF(AND(ISNUMBER(L48),L48&gt;0,ISNUMBER(U48)),L48/U48*30,"")</f>
        <v/>
      </c>
      <c r="Y48" s="10">
        <f>IF(AND(ISNUMBER(L48),L48&gt;0,ISNUMBER(W48)),L48/W48*30,"")</f>
        <v/>
      </c>
      <c r="Z48" s="16" t="n"/>
      <c r="AA48" s="16" t="n"/>
      <c r="AB48" s="15" t="n"/>
      <c r="AC48" s="15" t="n"/>
      <c r="AD48" s="15" t="n"/>
      <c r="AE48" s="17" t="n"/>
      <c r="AF48" s="15" t="n"/>
      <c r="AG48" s="15" t="n"/>
      <c r="AH48" s="17" t="n"/>
      <c r="AI48" s="15" t="n"/>
      <c r="AJ48" s="15" t="n"/>
      <c r="AK48" s="15" t="n"/>
      <c r="AL48" s="17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6" t="n"/>
      <c r="M49" s="16" t="n"/>
      <c r="N49" s="16" t="n"/>
      <c r="O49" s="15" t="n"/>
      <c r="P49" s="17" t="n"/>
      <c r="Q49" s="15" t="n"/>
      <c r="R49" s="15" t="n"/>
      <c r="S49" s="15" t="n"/>
      <c r="T49" s="10">
        <f>IF(AND(ISNUMBER(L49),L49&gt;0,ISNUMBER(O49),O49&gt;0),L49/O49,"")</f>
        <v/>
      </c>
      <c r="U49" s="11">
        <f>IF(AND(ISNUMBER(O49),O49&gt;0,ISNUMBER(Q49),Q49&gt;0,OR(R49="verificata",R49="intervallo")),O49/Q49,"")</f>
        <v/>
      </c>
      <c r="V49" s="18" t="n"/>
      <c r="W49" s="11">
        <f>IF(AND(ISNUMBER(U49),ISNUMBER(V49)),U49*(1-V49),"")</f>
        <v/>
      </c>
      <c r="X49" s="10">
        <f>IF(AND(ISNUMBER(L49),L49&gt;0,ISNUMBER(U49)),L49/U49*30,"")</f>
        <v/>
      </c>
      <c r="Y49" s="10">
        <f>IF(AND(ISNUMBER(L49),L49&gt;0,ISNUMBER(W49)),L49/W49*30,"")</f>
        <v/>
      </c>
      <c r="Z49" s="16" t="n"/>
      <c r="AA49" s="16" t="n"/>
      <c r="AB49" s="15" t="n"/>
      <c r="AC49" s="15" t="n"/>
      <c r="AD49" s="15" t="n"/>
      <c r="AE49" s="17" t="n"/>
      <c r="AF49" s="15" t="n"/>
      <c r="AG49" s="15" t="n"/>
      <c r="AH49" s="17" t="n"/>
      <c r="AI49" s="15" t="n"/>
      <c r="AJ49" s="15" t="n"/>
      <c r="AK49" s="15" t="n"/>
      <c r="AL49" s="17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6" t="n"/>
      <c r="M50" s="16" t="n"/>
      <c r="N50" s="16" t="n"/>
      <c r="O50" s="15" t="n"/>
      <c r="P50" s="17" t="n"/>
      <c r="Q50" s="15" t="n"/>
      <c r="R50" s="15" t="n"/>
      <c r="S50" s="15" t="n"/>
      <c r="T50" s="10">
        <f>IF(AND(ISNUMBER(L50),L50&gt;0,ISNUMBER(O50),O50&gt;0),L50/O50,"")</f>
        <v/>
      </c>
      <c r="U50" s="11">
        <f>IF(AND(ISNUMBER(O50),O50&gt;0,ISNUMBER(Q50),Q50&gt;0,OR(R50="verificata",R50="intervallo")),O50/Q50,"")</f>
        <v/>
      </c>
      <c r="V50" s="18" t="n"/>
      <c r="W50" s="11">
        <f>IF(AND(ISNUMBER(U50),ISNUMBER(V50)),U50*(1-V50),"")</f>
        <v/>
      </c>
      <c r="X50" s="10">
        <f>IF(AND(ISNUMBER(L50),L50&gt;0,ISNUMBER(U50)),L50/U50*30,"")</f>
        <v/>
      </c>
      <c r="Y50" s="10">
        <f>IF(AND(ISNUMBER(L50),L50&gt;0,ISNUMBER(W50)),L50/W50*30,"")</f>
        <v/>
      </c>
      <c r="Z50" s="16" t="n"/>
      <c r="AA50" s="16" t="n"/>
      <c r="AB50" s="15" t="n"/>
      <c r="AC50" s="15" t="n"/>
      <c r="AD50" s="15" t="n"/>
      <c r="AE50" s="17" t="n"/>
      <c r="AF50" s="15" t="n"/>
      <c r="AG50" s="15" t="n"/>
      <c r="AH50" s="17" t="n"/>
      <c r="AI50" s="15" t="n"/>
      <c r="AJ50" s="15" t="n"/>
      <c r="AK50" s="15" t="n"/>
      <c r="AL50" s="17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6" t="n"/>
      <c r="M51" s="16" t="n"/>
      <c r="N51" s="16" t="n"/>
      <c r="O51" s="15" t="n"/>
      <c r="P51" s="17" t="n"/>
      <c r="Q51" s="15" t="n"/>
      <c r="R51" s="15" t="n"/>
      <c r="S51" s="15" t="n"/>
      <c r="T51" s="10">
        <f>IF(AND(ISNUMBER(L51),L51&gt;0,ISNUMBER(O51),O51&gt;0),L51/O51,"")</f>
        <v/>
      </c>
      <c r="U51" s="11">
        <f>IF(AND(ISNUMBER(O51),O51&gt;0,ISNUMBER(Q51),Q51&gt;0,OR(R51="verificata",R51="intervallo")),O51/Q51,"")</f>
        <v/>
      </c>
      <c r="V51" s="18" t="n"/>
      <c r="W51" s="11">
        <f>IF(AND(ISNUMBER(U51),ISNUMBER(V51)),U51*(1-V51),"")</f>
        <v/>
      </c>
      <c r="X51" s="10">
        <f>IF(AND(ISNUMBER(L51),L51&gt;0,ISNUMBER(U51)),L51/U51*30,"")</f>
        <v/>
      </c>
      <c r="Y51" s="10">
        <f>IF(AND(ISNUMBER(L51),L51&gt;0,ISNUMBER(W51)),L51/W51*30,"")</f>
        <v/>
      </c>
      <c r="Z51" s="16" t="n"/>
      <c r="AA51" s="16" t="n"/>
      <c r="AB51" s="15" t="n"/>
      <c r="AC51" s="15" t="n"/>
      <c r="AD51" s="15" t="n"/>
      <c r="AE51" s="17" t="n"/>
      <c r="AF51" s="15" t="n"/>
      <c r="AG51" s="15" t="n"/>
      <c r="AH51" s="17" t="n"/>
      <c r="AI51" s="15" t="n"/>
      <c r="AJ51" s="15" t="n"/>
      <c r="AK51" s="15" t="n"/>
      <c r="AL51" s="17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6" t="n"/>
      <c r="M52" s="16" t="n"/>
      <c r="N52" s="16" t="n"/>
      <c r="O52" s="15" t="n"/>
      <c r="P52" s="17" t="n"/>
      <c r="Q52" s="15" t="n"/>
      <c r="R52" s="15" t="n"/>
      <c r="S52" s="15" t="n"/>
      <c r="T52" s="10">
        <f>IF(AND(ISNUMBER(L52),L52&gt;0,ISNUMBER(O52),O52&gt;0),L52/O52,"")</f>
        <v/>
      </c>
      <c r="U52" s="11">
        <f>IF(AND(ISNUMBER(O52),O52&gt;0,ISNUMBER(Q52),Q52&gt;0,OR(R52="verificata",R52="intervallo")),O52/Q52,"")</f>
        <v/>
      </c>
      <c r="V52" s="18" t="n"/>
      <c r="W52" s="11">
        <f>IF(AND(ISNUMBER(U52),ISNUMBER(V52)),U52*(1-V52),"")</f>
        <v/>
      </c>
      <c r="X52" s="10">
        <f>IF(AND(ISNUMBER(L52),L52&gt;0,ISNUMBER(U52)),L52/U52*30,"")</f>
        <v/>
      </c>
      <c r="Y52" s="10">
        <f>IF(AND(ISNUMBER(L52),L52&gt;0,ISNUMBER(W52)),L52/W52*30,"")</f>
        <v/>
      </c>
      <c r="Z52" s="16" t="n"/>
      <c r="AA52" s="16" t="n"/>
      <c r="AB52" s="15" t="n"/>
      <c r="AC52" s="15" t="n"/>
      <c r="AD52" s="15" t="n"/>
      <c r="AE52" s="17" t="n"/>
      <c r="AF52" s="15" t="n"/>
      <c r="AG52" s="15" t="n"/>
      <c r="AH52" s="17" t="n"/>
      <c r="AI52" s="15" t="n"/>
      <c r="AJ52" s="15" t="n"/>
      <c r="AK52" s="15" t="n"/>
      <c r="AL52" s="17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6" t="n"/>
      <c r="M53" s="16" t="n"/>
      <c r="N53" s="16" t="n"/>
      <c r="O53" s="15" t="n"/>
      <c r="P53" s="17" t="n"/>
      <c r="Q53" s="15" t="n"/>
      <c r="R53" s="15" t="n"/>
      <c r="S53" s="15" t="n"/>
      <c r="T53" s="10">
        <f>IF(AND(ISNUMBER(L53),L53&gt;0,ISNUMBER(O53),O53&gt;0),L53/O53,"")</f>
        <v/>
      </c>
      <c r="U53" s="11">
        <f>IF(AND(ISNUMBER(O53),O53&gt;0,ISNUMBER(Q53),Q53&gt;0,OR(R53="verificata",R53="intervallo")),O53/Q53,"")</f>
        <v/>
      </c>
      <c r="V53" s="18" t="n"/>
      <c r="W53" s="11">
        <f>IF(AND(ISNUMBER(U53),ISNUMBER(V53)),U53*(1-V53),"")</f>
        <v/>
      </c>
      <c r="X53" s="10">
        <f>IF(AND(ISNUMBER(L53),L53&gt;0,ISNUMBER(U53)),L53/U53*30,"")</f>
        <v/>
      </c>
      <c r="Y53" s="10">
        <f>IF(AND(ISNUMBER(L53),L53&gt;0,ISNUMBER(W53)),L53/W53*30,"")</f>
        <v/>
      </c>
      <c r="Z53" s="16" t="n"/>
      <c r="AA53" s="16" t="n"/>
      <c r="AB53" s="15" t="n"/>
      <c r="AC53" s="15" t="n"/>
      <c r="AD53" s="15" t="n"/>
      <c r="AE53" s="17" t="n"/>
      <c r="AF53" s="15" t="n"/>
      <c r="AG53" s="15" t="n"/>
      <c r="AH53" s="17" t="n"/>
      <c r="AI53" s="15" t="n"/>
      <c r="AJ53" s="15" t="n"/>
      <c r="AK53" s="15" t="n"/>
      <c r="AL53" s="17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6" t="n"/>
      <c r="M54" s="16" t="n"/>
      <c r="N54" s="16" t="n"/>
      <c r="O54" s="15" t="n"/>
      <c r="P54" s="17" t="n"/>
      <c r="Q54" s="15" t="n"/>
      <c r="R54" s="15" t="n"/>
      <c r="S54" s="15" t="n"/>
      <c r="T54" s="10">
        <f>IF(AND(ISNUMBER(L54),L54&gt;0,ISNUMBER(O54),O54&gt;0),L54/O54,"")</f>
        <v/>
      </c>
      <c r="U54" s="11">
        <f>IF(AND(ISNUMBER(O54),O54&gt;0,ISNUMBER(Q54),Q54&gt;0,OR(R54="verificata",R54="intervallo")),O54/Q54,"")</f>
        <v/>
      </c>
      <c r="V54" s="18" t="n"/>
      <c r="W54" s="11">
        <f>IF(AND(ISNUMBER(U54),ISNUMBER(V54)),U54*(1-V54),"")</f>
        <v/>
      </c>
      <c r="X54" s="10">
        <f>IF(AND(ISNUMBER(L54),L54&gt;0,ISNUMBER(U54)),L54/U54*30,"")</f>
        <v/>
      </c>
      <c r="Y54" s="10">
        <f>IF(AND(ISNUMBER(L54),L54&gt;0,ISNUMBER(W54)),L54/W54*30,"")</f>
        <v/>
      </c>
      <c r="Z54" s="16" t="n"/>
      <c r="AA54" s="16" t="n"/>
      <c r="AB54" s="15" t="n"/>
      <c r="AC54" s="15" t="n"/>
      <c r="AD54" s="15" t="n"/>
      <c r="AE54" s="17" t="n"/>
      <c r="AF54" s="15" t="n"/>
      <c r="AG54" s="15" t="n"/>
      <c r="AH54" s="17" t="n"/>
      <c r="AI54" s="15" t="n"/>
      <c r="AJ54" s="15" t="n"/>
      <c r="AK54" s="15" t="n"/>
      <c r="AL54" s="17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6" t="n"/>
      <c r="M55" s="16" t="n"/>
      <c r="N55" s="16" t="n"/>
      <c r="O55" s="15" t="n"/>
      <c r="P55" s="17" t="n"/>
      <c r="Q55" s="15" t="n"/>
      <c r="R55" s="15" t="n"/>
      <c r="S55" s="15" t="n"/>
      <c r="T55" s="10">
        <f>IF(AND(ISNUMBER(L55),L55&gt;0,ISNUMBER(O55),O55&gt;0),L55/O55,"")</f>
        <v/>
      </c>
      <c r="U55" s="11">
        <f>IF(AND(ISNUMBER(O55),O55&gt;0,ISNUMBER(Q55),Q55&gt;0,OR(R55="verificata",R55="intervallo")),O55/Q55,"")</f>
        <v/>
      </c>
      <c r="V55" s="18" t="n"/>
      <c r="W55" s="11">
        <f>IF(AND(ISNUMBER(U55),ISNUMBER(V55)),U55*(1-V55),"")</f>
        <v/>
      </c>
      <c r="X55" s="10">
        <f>IF(AND(ISNUMBER(L55),L55&gt;0,ISNUMBER(U55)),L55/U55*30,"")</f>
        <v/>
      </c>
      <c r="Y55" s="10">
        <f>IF(AND(ISNUMBER(L55),L55&gt;0,ISNUMBER(W55)),L55/W55*30,"")</f>
        <v/>
      </c>
      <c r="Z55" s="16" t="n"/>
      <c r="AA55" s="16" t="n"/>
      <c r="AB55" s="15" t="n"/>
      <c r="AC55" s="15" t="n"/>
      <c r="AD55" s="15" t="n"/>
      <c r="AE55" s="17" t="n"/>
      <c r="AF55" s="15" t="n"/>
      <c r="AG55" s="15" t="n"/>
      <c r="AH55" s="17" t="n"/>
      <c r="AI55" s="15" t="n"/>
      <c r="AJ55" s="15" t="n"/>
      <c r="AK55" s="15" t="n"/>
      <c r="AL55" s="17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6" t="n"/>
      <c r="M56" s="16" t="n"/>
      <c r="N56" s="16" t="n"/>
      <c r="O56" s="15" t="n"/>
      <c r="P56" s="17" t="n"/>
      <c r="Q56" s="15" t="n"/>
      <c r="R56" s="15" t="n"/>
      <c r="S56" s="15" t="n"/>
      <c r="T56" s="10">
        <f>IF(AND(ISNUMBER(L56),L56&gt;0,ISNUMBER(O56),O56&gt;0),L56/O56,"")</f>
        <v/>
      </c>
      <c r="U56" s="11">
        <f>IF(AND(ISNUMBER(O56),O56&gt;0,ISNUMBER(Q56),Q56&gt;0,OR(R56="verificata",R56="intervallo")),O56/Q56,"")</f>
        <v/>
      </c>
      <c r="V56" s="18" t="n"/>
      <c r="W56" s="11">
        <f>IF(AND(ISNUMBER(U56),ISNUMBER(V56)),U56*(1-V56),"")</f>
        <v/>
      </c>
      <c r="X56" s="10">
        <f>IF(AND(ISNUMBER(L56),L56&gt;0,ISNUMBER(U56)),L56/U56*30,"")</f>
        <v/>
      </c>
      <c r="Y56" s="10">
        <f>IF(AND(ISNUMBER(L56),L56&gt;0,ISNUMBER(W56)),L56/W56*30,"")</f>
        <v/>
      </c>
      <c r="Z56" s="16" t="n"/>
      <c r="AA56" s="16" t="n"/>
      <c r="AB56" s="15" t="n"/>
      <c r="AC56" s="15" t="n"/>
      <c r="AD56" s="15" t="n"/>
      <c r="AE56" s="17" t="n"/>
      <c r="AF56" s="15" t="n"/>
      <c r="AG56" s="15" t="n"/>
      <c r="AH56" s="17" t="n"/>
      <c r="AI56" s="15" t="n"/>
      <c r="AJ56" s="15" t="n"/>
      <c r="AK56" s="15" t="n"/>
      <c r="AL56" s="17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6" t="n"/>
      <c r="M57" s="16" t="n"/>
      <c r="N57" s="16" t="n"/>
      <c r="O57" s="15" t="n"/>
      <c r="P57" s="17" t="n"/>
      <c r="Q57" s="15" t="n"/>
      <c r="R57" s="15" t="n"/>
      <c r="S57" s="15" t="n"/>
      <c r="T57" s="10">
        <f>IF(AND(ISNUMBER(L57),L57&gt;0,ISNUMBER(O57),O57&gt;0),L57/O57,"")</f>
        <v/>
      </c>
      <c r="U57" s="11">
        <f>IF(AND(ISNUMBER(O57),O57&gt;0,ISNUMBER(Q57),Q57&gt;0,OR(R57="verificata",R57="intervallo")),O57/Q57,"")</f>
        <v/>
      </c>
      <c r="V57" s="18" t="n"/>
      <c r="W57" s="11">
        <f>IF(AND(ISNUMBER(U57),ISNUMBER(V57)),U57*(1-V57),"")</f>
        <v/>
      </c>
      <c r="X57" s="10">
        <f>IF(AND(ISNUMBER(L57),L57&gt;0,ISNUMBER(U57)),L57/U57*30,"")</f>
        <v/>
      </c>
      <c r="Y57" s="10">
        <f>IF(AND(ISNUMBER(L57),L57&gt;0,ISNUMBER(W57)),L57/W57*30,"")</f>
        <v/>
      </c>
      <c r="Z57" s="16" t="n"/>
      <c r="AA57" s="16" t="n"/>
      <c r="AB57" s="15" t="n"/>
      <c r="AC57" s="15" t="n"/>
      <c r="AD57" s="15" t="n"/>
      <c r="AE57" s="17" t="n"/>
      <c r="AF57" s="15" t="n"/>
      <c r="AG57" s="15" t="n"/>
      <c r="AH57" s="17" t="n"/>
      <c r="AI57" s="15" t="n"/>
      <c r="AJ57" s="15" t="n"/>
      <c r="AK57" s="15" t="n"/>
      <c r="AL57" s="17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6" t="n"/>
      <c r="M58" s="16" t="n"/>
      <c r="N58" s="16" t="n"/>
      <c r="O58" s="15" t="n"/>
      <c r="P58" s="17" t="n"/>
      <c r="Q58" s="15" t="n"/>
      <c r="R58" s="15" t="n"/>
      <c r="S58" s="15" t="n"/>
      <c r="T58" s="10">
        <f>IF(AND(ISNUMBER(L58),L58&gt;0,ISNUMBER(O58),O58&gt;0),L58/O58,"")</f>
        <v/>
      </c>
      <c r="U58" s="11">
        <f>IF(AND(ISNUMBER(O58),O58&gt;0,ISNUMBER(Q58),Q58&gt;0,OR(R58="verificata",R58="intervallo")),O58/Q58,"")</f>
        <v/>
      </c>
      <c r="V58" s="18" t="n"/>
      <c r="W58" s="11">
        <f>IF(AND(ISNUMBER(U58),ISNUMBER(V58)),U58*(1-V58),"")</f>
        <v/>
      </c>
      <c r="X58" s="10">
        <f>IF(AND(ISNUMBER(L58),L58&gt;0,ISNUMBER(U58)),L58/U58*30,"")</f>
        <v/>
      </c>
      <c r="Y58" s="10">
        <f>IF(AND(ISNUMBER(L58),L58&gt;0,ISNUMBER(W58)),L58/W58*30,"")</f>
        <v/>
      </c>
      <c r="Z58" s="16" t="n"/>
      <c r="AA58" s="16" t="n"/>
      <c r="AB58" s="15" t="n"/>
      <c r="AC58" s="15" t="n"/>
      <c r="AD58" s="15" t="n"/>
      <c r="AE58" s="17" t="n"/>
      <c r="AF58" s="15" t="n"/>
      <c r="AG58" s="15" t="n"/>
      <c r="AH58" s="17" t="n"/>
      <c r="AI58" s="15" t="n"/>
      <c r="AJ58" s="15" t="n"/>
      <c r="AK58" s="15" t="n"/>
      <c r="AL58" s="17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6" t="n"/>
      <c r="M59" s="16" t="n"/>
      <c r="N59" s="16" t="n"/>
      <c r="O59" s="15" t="n"/>
      <c r="P59" s="17" t="n"/>
      <c r="Q59" s="15" t="n"/>
      <c r="R59" s="15" t="n"/>
      <c r="S59" s="15" t="n"/>
      <c r="T59" s="10">
        <f>IF(AND(ISNUMBER(L59),L59&gt;0,ISNUMBER(O59),O59&gt;0),L59/O59,"")</f>
        <v/>
      </c>
      <c r="U59" s="11">
        <f>IF(AND(ISNUMBER(O59),O59&gt;0,ISNUMBER(Q59),Q59&gt;0,OR(R59="verificata",R59="intervallo")),O59/Q59,"")</f>
        <v/>
      </c>
      <c r="V59" s="18" t="n"/>
      <c r="W59" s="11">
        <f>IF(AND(ISNUMBER(U59),ISNUMBER(V59)),U59*(1-V59),"")</f>
        <v/>
      </c>
      <c r="X59" s="10">
        <f>IF(AND(ISNUMBER(L59),L59&gt;0,ISNUMBER(U59)),L59/U59*30,"")</f>
        <v/>
      </c>
      <c r="Y59" s="10">
        <f>IF(AND(ISNUMBER(L59),L59&gt;0,ISNUMBER(W59)),L59/W59*30,"")</f>
        <v/>
      </c>
      <c r="Z59" s="16" t="n"/>
      <c r="AA59" s="16" t="n"/>
      <c r="AB59" s="15" t="n"/>
      <c r="AC59" s="15" t="n"/>
      <c r="AD59" s="15" t="n"/>
      <c r="AE59" s="17" t="n"/>
      <c r="AF59" s="15" t="n"/>
      <c r="AG59" s="15" t="n"/>
      <c r="AH59" s="17" t="n"/>
      <c r="AI59" s="15" t="n"/>
      <c r="AJ59" s="15" t="n"/>
      <c r="AK59" s="15" t="n"/>
      <c r="AL59" s="17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6" t="n"/>
      <c r="M60" s="16" t="n"/>
      <c r="N60" s="16" t="n"/>
      <c r="O60" s="15" t="n"/>
      <c r="P60" s="17" t="n"/>
      <c r="Q60" s="15" t="n"/>
      <c r="R60" s="15" t="n"/>
      <c r="S60" s="15" t="n"/>
      <c r="T60" s="10">
        <f>IF(AND(ISNUMBER(L60),L60&gt;0,ISNUMBER(O60),O60&gt;0),L60/O60,"")</f>
        <v/>
      </c>
      <c r="U60" s="11">
        <f>IF(AND(ISNUMBER(O60),O60&gt;0,ISNUMBER(Q60),Q60&gt;0,OR(R60="verificata",R60="intervallo")),O60/Q60,"")</f>
        <v/>
      </c>
      <c r="V60" s="18" t="n"/>
      <c r="W60" s="11">
        <f>IF(AND(ISNUMBER(U60),ISNUMBER(V60)),U60*(1-V60),"")</f>
        <v/>
      </c>
      <c r="X60" s="10">
        <f>IF(AND(ISNUMBER(L60),L60&gt;0,ISNUMBER(U60)),L60/U60*30,"")</f>
        <v/>
      </c>
      <c r="Y60" s="10">
        <f>IF(AND(ISNUMBER(L60),L60&gt;0,ISNUMBER(W60)),L60/W60*30,"")</f>
        <v/>
      </c>
      <c r="Z60" s="16" t="n"/>
      <c r="AA60" s="16" t="n"/>
      <c r="AB60" s="15" t="n"/>
      <c r="AC60" s="15" t="n"/>
      <c r="AD60" s="15" t="n"/>
      <c r="AE60" s="17" t="n"/>
      <c r="AF60" s="15" t="n"/>
      <c r="AG60" s="15" t="n"/>
      <c r="AH60" s="17" t="n"/>
      <c r="AI60" s="15" t="n"/>
      <c r="AJ60" s="15" t="n"/>
      <c r="AK60" s="15" t="n"/>
      <c r="AL60" s="17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6" t="n"/>
      <c r="M61" s="16" t="n"/>
      <c r="N61" s="16" t="n"/>
      <c r="O61" s="15" t="n"/>
      <c r="P61" s="17" t="n"/>
      <c r="Q61" s="15" t="n"/>
      <c r="R61" s="15" t="n"/>
      <c r="S61" s="15" t="n"/>
      <c r="T61" s="10">
        <f>IF(AND(ISNUMBER(L61),L61&gt;0,ISNUMBER(O61),O61&gt;0),L61/O61,"")</f>
        <v/>
      </c>
      <c r="U61" s="11">
        <f>IF(AND(ISNUMBER(O61),O61&gt;0,ISNUMBER(Q61),Q61&gt;0,OR(R61="verificata",R61="intervallo")),O61/Q61,"")</f>
        <v/>
      </c>
      <c r="V61" s="18" t="n"/>
      <c r="W61" s="11">
        <f>IF(AND(ISNUMBER(U61),ISNUMBER(V61)),U61*(1-V61),"")</f>
        <v/>
      </c>
      <c r="X61" s="10">
        <f>IF(AND(ISNUMBER(L61),L61&gt;0,ISNUMBER(U61)),L61/U61*30,"")</f>
        <v/>
      </c>
      <c r="Y61" s="10">
        <f>IF(AND(ISNUMBER(L61),L61&gt;0,ISNUMBER(W61)),L61/W61*30,"")</f>
        <v/>
      </c>
      <c r="Z61" s="16" t="n"/>
      <c r="AA61" s="16" t="n"/>
      <c r="AB61" s="15" t="n"/>
      <c r="AC61" s="15" t="n"/>
      <c r="AD61" s="15" t="n"/>
      <c r="AE61" s="17" t="n"/>
      <c r="AF61" s="15" t="n"/>
      <c r="AG61" s="15" t="n"/>
      <c r="AH61" s="17" t="n"/>
      <c r="AI61" s="15" t="n"/>
      <c r="AJ61" s="15" t="n"/>
      <c r="AK61" s="15" t="n"/>
      <c r="AL61" s="17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6" t="n"/>
      <c r="M62" s="16" t="n"/>
      <c r="N62" s="16" t="n"/>
      <c r="O62" s="15" t="n"/>
      <c r="P62" s="17" t="n"/>
      <c r="Q62" s="15" t="n"/>
      <c r="R62" s="15" t="n"/>
      <c r="S62" s="15" t="n"/>
      <c r="T62" s="10">
        <f>IF(AND(ISNUMBER(L62),L62&gt;0,ISNUMBER(O62),O62&gt;0),L62/O62,"")</f>
        <v/>
      </c>
      <c r="U62" s="11">
        <f>IF(AND(ISNUMBER(O62),O62&gt;0,ISNUMBER(Q62),Q62&gt;0,OR(R62="verificata",R62="intervallo")),O62/Q62,"")</f>
        <v/>
      </c>
      <c r="V62" s="18" t="n"/>
      <c r="W62" s="11">
        <f>IF(AND(ISNUMBER(U62),ISNUMBER(V62)),U62*(1-V62),"")</f>
        <v/>
      </c>
      <c r="X62" s="10">
        <f>IF(AND(ISNUMBER(L62),L62&gt;0,ISNUMBER(U62)),L62/U62*30,"")</f>
        <v/>
      </c>
      <c r="Y62" s="10">
        <f>IF(AND(ISNUMBER(L62),L62&gt;0,ISNUMBER(W62)),L62/W62*30,"")</f>
        <v/>
      </c>
      <c r="Z62" s="16" t="n"/>
      <c r="AA62" s="16" t="n"/>
      <c r="AB62" s="15" t="n"/>
      <c r="AC62" s="15" t="n"/>
      <c r="AD62" s="15" t="n"/>
      <c r="AE62" s="17" t="n"/>
      <c r="AF62" s="15" t="n"/>
      <c r="AG62" s="15" t="n"/>
      <c r="AH62" s="17" t="n"/>
      <c r="AI62" s="15" t="n"/>
      <c r="AJ62" s="15" t="n"/>
      <c r="AK62" s="15" t="n"/>
      <c r="AL62" s="17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6" t="n"/>
      <c r="M63" s="16" t="n"/>
      <c r="N63" s="16" t="n"/>
      <c r="O63" s="15" t="n"/>
      <c r="P63" s="17" t="n"/>
      <c r="Q63" s="15" t="n"/>
      <c r="R63" s="15" t="n"/>
      <c r="S63" s="15" t="n"/>
      <c r="T63" s="10">
        <f>IF(AND(ISNUMBER(L63),L63&gt;0,ISNUMBER(O63),O63&gt;0),L63/O63,"")</f>
        <v/>
      </c>
      <c r="U63" s="11">
        <f>IF(AND(ISNUMBER(O63),O63&gt;0,ISNUMBER(Q63),Q63&gt;0,OR(R63="verificata",R63="intervallo")),O63/Q63,"")</f>
        <v/>
      </c>
      <c r="V63" s="18" t="n"/>
      <c r="W63" s="11">
        <f>IF(AND(ISNUMBER(U63),ISNUMBER(V63)),U63*(1-V63),"")</f>
        <v/>
      </c>
      <c r="X63" s="10">
        <f>IF(AND(ISNUMBER(L63),L63&gt;0,ISNUMBER(U63)),L63/U63*30,"")</f>
        <v/>
      </c>
      <c r="Y63" s="10">
        <f>IF(AND(ISNUMBER(L63),L63&gt;0,ISNUMBER(W63)),L63/W63*30,"")</f>
        <v/>
      </c>
      <c r="Z63" s="16" t="n"/>
      <c r="AA63" s="16" t="n"/>
      <c r="AB63" s="15" t="n"/>
      <c r="AC63" s="15" t="n"/>
      <c r="AD63" s="15" t="n"/>
      <c r="AE63" s="17" t="n"/>
      <c r="AF63" s="15" t="n"/>
      <c r="AG63" s="15" t="n"/>
      <c r="AH63" s="17" t="n"/>
      <c r="AI63" s="15" t="n"/>
      <c r="AJ63" s="15" t="n"/>
      <c r="AK63" s="15" t="n"/>
      <c r="AL63" s="17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6" t="n"/>
      <c r="M64" s="16" t="n"/>
      <c r="N64" s="16" t="n"/>
      <c r="O64" s="15" t="n"/>
      <c r="P64" s="17" t="n"/>
      <c r="Q64" s="15" t="n"/>
      <c r="R64" s="15" t="n"/>
      <c r="S64" s="15" t="n"/>
      <c r="T64" s="10">
        <f>IF(AND(ISNUMBER(L64),L64&gt;0,ISNUMBER(O64),O64&gt;0),L64/O64,"")</f>
        <v/>
      </c>
      <c r="U64" s="11">
        <f>IF(AND(ISNUMBER(O64),O64&gt;0,ISNUMBER(Q64),Q64&gt;0,OR(R64="verificata",R64="intervallo")),O64/Q64,"")</f>
        <v/>
      </c>
      <c r="V64" s="18" t="n"/>
      <c r="W64" s="11">
        <f>IF(AND(ISNUMBER(U64),ISNUMBER(V64)),U64*(1-V64),"")</f>
        <v/>
      </c>
      <c r="X64" s="10">
        <f>IF(AND(ISNUMBER(L64),L64&gt;0,ISNUMBER(U64)),L64/U64*30,"")</f>
        <v/>
      </c>
      <c r="Y64" s="10">
        <f>IF(AND(ISNUMBER(L64),L64&gt;0,ISNUMBER(W64)),L64/W64*30,"")</f>
        <v/>
      </c>
      <c r="Z64" s="16" t="n"/>
      <c r="AA64" s="16" t="n"/>
      <c r="AB64" s="15" t="n"/>
      <c r="AC64" s="15" t="n"/>
      <c r="AD64" s="15" t="n"/>
      <c r="AE64" s="17" t="n"/>
      <c r="AF64" s="15" t="n"/>
      <c r="AG64" s="15" t="n"/>
      <c r="AH64" s="17" t="n"/>
      <c r="AI64" s="15" t="n"/>
      <c r="AJ64" s="15" t="n"/>
      <c r="AK64" s="15" t="n"/>
      <c r="AL64" s="17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6" t="n"/>
      <c r="M65" s="16" t="n"/>
      <c r="N65" s="16" t="n"/>
      <c r="O65" s="15" t="n"/>
      <c r="P65" s="17" t="n"/>
      <c r="Q65" s="15" t="n"/>
      <c r="R65" s="15" t="n"/>
      <c r="S65" s="15" t="n"/>
      <c r="T65" s="10">
        <f>IF(AND(ISNUMBER(L65),L65&gt;0,ISNUMBER(O65),O65&gt;0),L65/O65,"")</f>
        <v/>
      </c>
      <c r="U65" s="11">
        <f>IF(AND(ISNUMBER(O65),O65&gt;0,ISNUMBER(Q65),Q65&gt;0,OR(R65="verificata",R65="intervallo")),O65/Q65,"")</f>
        <v/>
      </c>
      <c r="V65" s="18" t="n"/>
      <c r="W65" s="11">
        <f>IF(AND(ISNUMBER(U65),ISNUMBER(V65)),U65*(1-V65),"")</f>
        <v/>
      </c>
      <c r="X65" s="10">
        <f>IF(AND(ISNUMBER(L65),L65&gt;0,ISNUMBER(U65)),L65/U65*30,"")</f>
        <v/>
      </c>
      <c r="Y65" s="10">
        <f>IF(AND(ISNUMBER(L65),L65&gt;0,ISNUMBER(W65)),L65/W65*30,"")</f>
        <v/>
      </c>
      <c r="Z65" s="16" t="n"/>
      <c r="AA65" s="16" t="n"/>
      <c r="AB65" s="15" t="n"/>
      <c r="AC65" s="15" t="n"/>
      <c r="AD65" s="15" t="n"/>
      <c r="AE65" s="17" t="n"/>
      <c r="AF65" s="15" t="n"/>
      <c r="AG65" s="15" t="n"/>
      <c r="AH65" s="17" t="n"/>
      <c r="AI65" s="15" t="n"/>
      <c r="AJ65" s="15" t="n"/>
      <c r="AK65" s="15" t="n"/>
      <c r="AL65" s="17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6" t="n"/>
      <c r="M66" s="16" t="n"/>
      <c r="N66" s="16" t="n"/>
      <c r="O66" s="15" t="n"/>
      <c r="P66" s="17" t="n"/>
      <c r="Q66" s="15" t="n"/>
      <c r="R66" s="15" t="n"/>
      <c r="S66" s="15" t="n"/>
      <c r="T66" s="10">
        <f>IF(AND(ISNUMBER(L66),L66&gt;0,ISNUMBER(O66),O66&gt;0),L66/O66,"")</f>
        <v/>
      </c>
      <c r="U66" s="11">
        <f>IF(AND(ISNUMBER(O66),O66&gt;0,ISNUMBER(Q66),Q66&gt;0,OR(R66="verificata",R66="intervallo")),O66/Q66,"")</f>
        <v/>
      </c>
      <c r="V66" s="18" t="n"/>
      <c r="W66" s="11">
        <f>IF(AND(ISNUMBER(U66),ISNUMBER(V66)),U66*(1-V66),"")</f>
        <v/>
      </c>
      <c r="X66" s="10">
        <f>IF(AND(ISNUMBER(L66),L66&gt;0,ISNUMBER(U66)),L66/U66*30,"")</f>
        <v/>
      </c>
      <c r="Y66" s="10">
        <f>IF(AND(ISNUMBER(L66),L66&gt;0,ISNUMBER(W66)),L66/W66*30,"")</f>
        <v/>
      </c>
      <c r="Z66" s="16" t="n"/>
      <c r="AA66" s="16" t="n"/>
      <c r="AB66" s="15" t="n"/>
      <c r="AC66" s="15" t="n"/>
      <c r="AD66" s="15" t="n"/>
      <c r="AE66" s="17" t="n"/>
      <c r="AF66" s="15" t="n"/>
      <c r="AG66" s="15" t="n"/>
      <c r="AH66" s="17" t="n"/>
      <c r="AI66" s="15" t="n"/>
      <c r="AJ66" s="15" t="n"/>
      <c r="AK66" s="15" t="n"/>
      <c r="AL66" s="17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6" t="n"/>
      <c r="M67" s="16" t="n"/>
      <c r="N67" s="16" t="n"/>
      <c r="O67" s="15" t="n"/>
      <c r="P67" s="17" t="n"/>
      <c r="Q67" s="15" t="n"/>
      <c r="R67" s="15" t="n"/>
      <c r="S67" s="15" t="n"/>
      <c r="T67" s="10">
        <f>IF(AND(ISNUMBER(L67),L67&gt;0,ISNUMBER(O67),O67&gt;0),L67/O67,"")</f>
        <v/>
      </c>
      <c r="U67" s="11">
        <f>IF(AND(ISNUMBER(O67),O67&gt;0,ISNUMBER(Q67),Q67&gt;0,OR(R67="verificata",R67="intervallo")),O67/Q67,"")</f>
        <v/>
      </c>
      <c r="V67" s="18" t="n"/>
      <c r="W67" s="11">
        <f>IF(AND(ISNUMBER(U67),ISNUMBER(V67)),U67*(1-V67),"")</f>
        <v/>
      </c>
      <c r="X67" s="10">
        <f>IF(AND(ISNUMBER(L67),L67&gt;0,ISNUMBER(U67)),L67/U67*30,"")</f>
        <v/>
      </c>
      <c r="Y67" s="10">
        <f>IF(AND(ISNUMBER(L67),L67&gt;0,ISNUMBER(W67)),L67/W67*30,"")</f>
        <v/>
      </c>
      <c r="Z67" s="16" t="n"/>
      <c r="AA67" s="16" t="n"/>
      <c r="AB67" s="15" t="n"/>
      <c r="AC67" s="15" t="n"/>
      <c r="AD67" s="15" t="n"/>
      <c r="AE67" s="17" t="n"/>
      <c r="AF67" s="15" t="n"/>
      <c r="AG67" s="15" t="n"/>
      <c r="AH67" s="17" t="n"/>
      <c r="AI67" s="15" t="n"/>
      <c r="AJ67" s="15" t="n"/>
      <c r="AK67" s="15" t="n"/>
      <c r="AL67" s="17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6" t="n"/>
      <c r="M68" s="16" t="n"/>
      <c r="N68" s="16" t="n"/>
      <c r="O68" s="15" t="n"/>
      <c r="P68" s="17" t="n"/>
      <c r="Q68" s="15" t="n"/>
      <c r="R68" s="15" t="n"/>
      <c r="S68" s="15" t="n"/>
      <c r="T68" s="10">
        <f>IF(AND(ISNUMBER(L68),L68&gt;0,ISNUMBER(O68),O68&gt;0),L68/O68,"")</f>
        <v/>
      </c>
      <c r="U68" s="11">
        <f>IF(AND(ISNUMBER(O68),O68&gt;0,ISNUMBER(Q68),Q68&gt;0,OR(R68="verificata",R68="intervallo")),O68/Q68,"")</f>
        <v/>
      </c>
      <c r="V68" s="18" t="n"/>
      <c r="W68" s="11">
        <f>IF(AND(ISNUMBER(U68),ISNUMBER(V68)),U68*(1-V68),"")</f>
        <v/>
      </c>
      <c r="X68" s="10">
        <f>IF(AND(ISNUMBER(L68),L68&gt;0,ISNUMBER(U68)),L68/U68*30,"")</f>
        <v/>
      </c>
      <c r="Y68" s="10">
        <f>IF(AND(ISNUMBER(L68),L68&gt;0,ISNUMBER(W68)),L68/W68*30,"")</f>
        <v/>
      </c>
      <c r="Z68" s="16" t="n"/>
      <c r="AA68" s="16" t="n"/>
      <c r="AB68" s="15" t="n"/>
      <c r="AC68" s="15" t="n"/>
      <c r="AD68" s="15" t="n"/>
      <c r="AE68" s="17" t="n"/>
      <c r="AF68" s="15" t="n"/>
      <c r="AG68" s="15" t="n"/>
      <c r="AH68" s="17" t="n"/>
      <c r="AI68" s="15" t="n"/>
      <c r="AJ68" s="15" t="n"/>
      <c r="AK68" s="15" t="n"/>
      <c r="AL68" s="17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6" t="n"/>
      <c r="M69" s="16" t="n"/>
      <c r="N69" s="16" t="n"/>
      <c r="O69" s="15" t="n"/>
      <c r="P69" s="17" t="n"/>
      <c r="Q69" s="15" t="n"/>
      <c r="R69" s="15" t="n"/>
      <c r="S69" s="15" t="n"/>
      <c r="T69" s="10">
        <f>IF(AND(ISNUMBER(L69),L69&gt;0,ISNUMBER(O69),O69&gt;0),L69/O69,"")</f>
        <v/>
      </c>
      <c r="U69" s="11">
        <f>IF(AND(ISNUMBER(O69),O69&gt;0,ISNUMBER(Q69),Q69&gt;0,OR(R69="verificata",R69="intervallo")),O69/Q69,"")</f>
        <v/>
      </c>
      <c r="V69" s="18" t="n"/>
      <c r="W69" s="11">
        <f>IF(AND(ISNUMBER(U69),ISNUMBER(V69)),U69*(1-V69),"")</f>
        <v/>
      </c>
      <c r="X69" s="10">
        <f>IF(AND(ISNUMBER(L69),L69&gt;0,ISNUMBER(U69)),L69/U69*30,"")</f>
        <v/>
      </c>
      <c r="Y69" s="10">
        <f>IF(AND(ISNUMBER(L69),L69&gt;0,ISNUMBER(W69)),L69/W69*30,"")</f>
        <v/>
      </c>
      <c r="Z69" s="16" t="n"/>
      <c r="AA69" s="16" t="n"/>
      <c r="AB69" s="15" t="n"/>
      <c r="AC69" s="15" t="n"/>
      <c r="AD69" s="15" t="n"/>
      <c r="AE69" s="17" t="n"/>
      <c r="AF69" s="15" t="n"/>
      <c r="AG69" s="15" t="n"/>
      <c r="AH69" s="17" t="n"/>
      <c r="AI69" s="15" t="n"/>
      <c r="AJ69" s="15" t="n"/>
      <c r="AK69" s="15" t="n"/>
      <c r="AL69" s="17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6" t="n"/>
      <c r="M70" s="16" t="n"/>
      <c r="N70" s="16" t="n"/>
      <c r="O70" s="15" t="n"/>
      <c r="P70" s="17" t="n"/>
      <c r="Q70" s="15" t="n"/>
      <c r="R70" s="15" t="n"/>
      <c r="S70" s="15" t="n"/>
      <c r="T70" s="10">
        <f>IF(AND(ISNUMBER(L70),L70&gt;0,ISNUMBER(O70),O70&gt;0),L70/O70,"")</f>
        <v/>
      </c>
      <c r="U70" s="11">
        <f>IF(AND(ISNUMBER(O70),O70&gt;0,ISNUMBER(Q70),Q70&gt;0,OR(R70="verificata",R70="intervallo")),O70/Q70,"")</f>
        <v/>
      </c>
      <c r="V70" s="18" t="n"/>
      <c r="W70" s="11">
        <f>IF(AND(ISNUMBER(U70),ISNUMBER(V70)),U70*(1-V70),"")</f>
        <v/>
      </c>
      <c r="X70" s="10">
        <f>IF(AND(ISNUMBER(L70),L70&gt;0,ISNUMBER(U70)),L70/U70*30,"")</f>
        <v/>
      </c>
      <c r="Y70" s="10">
        <f>IF(AND(ISNUMBER(L70),L70&gt;0,ISNUMBER(W70)),L70/W70*30,"")</f>
        <v/>
      </c>
      <c r="Z70" s="16" t="n"/>
      <c r="AA70" s="16" t="n"/>
      <c r="AB70" s="15" t="n"/>
      <c r="AC70" s="15" t="n"/>
      <c r="AD70" s="15" t="n"/>
      <c r="AE70" s="17" t="n"/>
      <c r="AF70" s="15" t="n"/>
      <c r="AG70" s="15" t="n"/>
      <c r="AH70" s="17" t="n"/>
      <c r="AI70" s="15" t="n"/>
      <c r="AJ70" s="15" t="n"/>
      <c r="AK70" s="15" t="n"/>
      <c r="AL70" s="17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6" t="n"/>
      <c r="M71" s="16" t="n"/>
      <c r="N71" s="16" t="n"/>
      <c r="O71" s="15" t="n"/>
      <c r="P71" s="17" t="n"/>
      <c r="Q71" s="15" t="n"/>
      <c r="R71" s="15" t="n"/>
      <c r="S71" s="15" t="n"/>
      <c r="T71" s="10">
        <f>IF(AND(ISNUMBER(L71),L71&gt;0,ISNUMBER(O71),O71&gt;0),L71/O71,"")</f>
        <v/>
      </c>
      <c r="U71" s="11">
        <f>IF(AND(ISNUMBER(O71),O71&gt;0,ISNUMBER(Q71),Q71&gt;0,OR(R71="verificata",R71="intervallo")),O71/Q71,"")</f>
        <v/>
      </c>
      <c r="V71" s="18" t="n"/>
      <c r="W71" s="11">
        <f>IF(AND(ISNUMBER(U71),ISNUMBER(V71)),U71*(1-V71),"")</f>
        <v/>
      </c>
      <c r="X71" s="10">
        <f>IF(AND(ISNUMBER(L71),L71&gt;0,ISNUMBER(U71)),L71/U71*30,"")</f>
        <v/>
      </c>
      <c r="Y71" s="10">
        <f>IF(AND(ISNUMBER(L71),L71&gt;0,ISNUMBER(W71)),L71/W71*30,"")</f>
        <v/>
      </c>
      <c r="Z71" s="16" t="n"/>
      <c r="AA71" s="16" t="n"/>
      <c r="AB71" s="15" t="n"/>
      <c r="AC71" s="15" t="n"/>
      <c r="AD71" s="15" t="n"/>
      <c r="AE71" s="17" t="n"/>
      <c r="AF71" s="15" t="n"/>
      <c r="AG71" s="15" t="n"/>
      <c r="AH71" s="17" t="n"/>
      <c r="AI71" s="15" t="n"/>
      <c r="AJ71" s="15" t="n"/>
      <c r="AK71" s="15" t="n"/>
      <c r="AL71" s="17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6" t="n"/>
      <c r="M72" s="16" t="n"/>
      <c r="N72" s="16" t="n"/>
      <c r="O72" s="15" t="n"/>
      <c r="P72" s="17" t="n"/>
      <c r="Q72" s="15" t="n"/>
      <c r="R72" s="15" t="n"/>
      <c r="S72" s="15" t="n"/>
      <c r="T72" s="10">
        <f>IF(AND(ISNUMBER(L72),L72&gt;0,ISNUMBER(O72),O72&gt;0),L72/O72,"")</f>
        <v/>
      </c>
      <c r="U72" s="11">
        <f>IF(AND(ISNUMBER(O72),O72&gt;0,ISNUMBER(Q72),Q72&gt;0,OR(R72="verificata",R72="intervallo")),O72/Q72,"")</f>
        <v/>
      </c>
      <c r="V72" s="18" t="n"/>
      <c r="W72" s="11">
        <f>IF(AND(ISNUMBER(U72),ISNUMBER(V72)),U72*(1-V72),"")</f>
        <v/>
      </c>
      <c r="X72" s="10">
        <f>IF(AND(ISNUMBER(L72),L72&gt;0,ISNUMBER(U72)),L72/U72*30,"")</f>
        <v/>
      </c>
      <c r="Y72" s="10">
        <f>IF(AND(ISNUMBER(L72),L72&gt;0,ISNUMBER(W72)),L72/W72*30,"")</f>
        <v/>
      </c>
      <c r="Z72" s="16" t="n"/>
      <c r="AA72" s="16" t="n"/>
      <c r="AB72" s="15" t="n"/>
      <c r="AC72" s="15" t="n"/>
      <c r="AD72" s="15" t="n"/>
      <c r="AE72" s="17" t="n"/>
      <c r="AF72" s="15" t="n"/>
      <c r="AG72" s="15" t="n"/>
      <c r="AH72" s="17" t="n"/>
      <c r="AI72" s="15" t="n"/>
      <c r="AJ72" s="15" t="n"/>
      <c r="AK72" s="15" t="n"/>
      <c r="AL72" s="17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6" t="n"/>
      <c r="M73" s="16" t="n"/>
      <c r="N73" s="16" t="n"/>
      <c r="O73" s="15" t="n"/>
      <c r="P73" s="17" t="n"/>
      <c r="Q73" s="15" t="n"/>
      <c r="R73" s="15" t="n"/>
      <c r="S73" s="15" t="n"/>
      <c r="T73" s="10">
        <f>IF(AND(ISNUMBER(L73),L73&gt;0,ISNUMBER(O73),O73&gt;0),L73/O73,"")</f>
        <v/>
      </c>
      <c r="U73" s="11">
        <f>IF(AND(ISNUMBER(O73),O73&gt;0,ISNUMBER(Q73),Q73&gt;0,OR(R73="verificata",R73="intervallo")),O73/Q73,"")</f>
        <v/>
      </c>
      <c r="V73" s="18" t="n"/>
      <c r="W73" s="11">
        <f>IF(AND(ISNUMBER(U73),ISNUMBER(V73)),U73*(1-V73),"")</f>
        <v/>
      </c>
      <c r="X73" s="10">
        <f>IF(AND(ISNUMBER(L73),L73&gt;0,ISNUMBER(U73)),L73/U73*30,"")</f>
        <v/>
      </c>
      <c r="Y73" s="10">
        <f>IF(AND(ISNUMBER(L73),L73&gt;0,ISNUMBER(W73)),L73/W73*30,"")</f>
        <v/>
      </c>
      <c r="Z73" s="16" t="n"/>
      <c r="AA73" s="16" t="n"/>
      <c r="AB73" s="15" t="n"/>
      <c r="AC73" s="15" t="n"/>
      <c r="AD73" s="15" t="n"/>
      <c r="AE73" s="17" t="n"/>
      <c r="AF73" s="15" t="n"/>
      <c r="AG73" s="15" t="n"/>
      <c r="AH73" s="17" t="n"/>
      <c r="AI73" s="15" t="n"/>
      <c r="AJ73" s="15" t="n"/>
      <c r="AK73" s="15" t="n"/>
      <c r="AL73" s="17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6" t="n"/>
      <c r="M74" s="16" t="n"/>
      <c r="N74" s="16" t="n"/>
      <c r="O74" s="15" t="n"/>
      <c r="P74" s="17" t="n"/>
      <c r="Q74" s="15" t="n"/>
      <c r="R74" s="15" t="n"/>
      <c r="S74" s="15" t="n"/>
      <c r="T74" s="10">
        <f>IF(AND(ISNUMBER(L74),L74&gt;0,ISNUMBER(O74),O74&gt;0),L74/O74,"")</f>
        <v/>
      </c>
      <c r="U74" s="11">
        <f>IF(AND(ISNUMBER(O74),O74&gt;0,ISNUMBER(Q74),Q74&gt;0,OR(R74="verificata",R74="intervallo")),O74/Q74,"")</f>
        <v/>
      </c>
      <c r="V74" s="18" t="n"/>
      <c r="W74" s="11">
        <f>IF(AND(ISNUMBER(U74),ISNUMBER(V74)),U74*(1-V74),"")</f>
        <v/>
      </c>
      <c r="X74" s="10">
        <f>IF(AND(ISNUMBER(L74),L74&gt;0,ISNUMBER(U74)),L74/U74*30,"")</f>
        <v/>
      </c>
      <c r="Y74" s="10">
        <f>IF(AND(ISNUMBER(L74),L74&gt;0,ISNUMBER(W74)),L74/W74*30,"")</f>
        <v/>
      </c>
      <c r="Z74" s="16" t="n"/>
      <c r="AA74" s="16" t="n"/>
      <c r="AB74" s="15" t="n"/>
      <c r="AC74" s="15" t="n"/>
      <c r="AD74" s="15" t="n"/>
      <c r="AE74" s="17" t="n"/>
      <c r="AF74" s="15" t="n"/>
      <c r="AG74" s="15" t="n"/>
      <c r="AH74" s="17" t="n"/>
      <c r="AI74" s="15" t="n"/>
      <c r="AJ74" s="15" t="n"/>
      <c r="AK74" s="15" t="n"/>
      <c r="AL74" s="17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6" t="n"/>
      <c r="M75" s="16" t="n"/>
      <c r="N75" s="16" t="n"/>
      <c r="O75" s="15" t="n"/>
      <c r="P75" s="17" t="n"/>
      <c r="Q75" s="15" t="n"/>
      <c r="R75" s="15" t="n"/>
      <c r="S75" s="15" t="n"/>
      <c r="T75" s="10">
        <f>IF(AND(ISNUMBER(L75),L75&gt;0,ISNUMBER(O75),O75&gt;0),L75/O75,"")</f>
        <v/>
      </c>
      <c r="U75" s="11">
        <f>IF(AND(ISNUMBER(O75),O75&gt;0,ISNUMBER(Q75),Q75&gt;0,OR(R75="verificata",R75="intervallo")),O75/Q75,"")</f>
        <v/>
      </c>
      <c r="V75" s="18" t="n"/>
      <c r="W75" s="11">
        <f>IF(AND(ISNUMBER(U75),ISNUMBER(V75)),U75*(1-V75),"")</f>
        <v/>
      </c>
      <c r="X75" s="10">
        <f>IF(AND(ISNUMBER(L75),L75&gt;0,ISNUMBER(U75)),L75/U75*30,"")</f>
        <v/>
      </c>
      <c r="Y75" s="10">
        <f>IF(AND(ISNUMBER(L75),L75&gt;0,ISNUMBER(W75)),L75/W75*30,"")</f>
        <v/>
      </c>
      <c r="Z75" s="16" t="n"/>
      <c r="AA75" s="16" t="n"/>
      <c r="AB75" s="15" t="n"/>
      <c r="AC75" s="15" t="n"/>
      <c r="AD75" s="15" t="n"/>
      <c r="AE75" s="17" t="n"/>
      <c r="AF75" s="15" t="n"/>
      <c r="AG75" s="15" t="n"/>
      <c r="AH75" s="17" t="n"/>
      <c r="AI75" s="15" t="n"/>
      <c r="AJ75" s="15" t="n"/>
      <c r="AK75" s="15" t="n"/>
      <c r="AL75" s="17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6" t="n"/>
      <c r="M76" s="16" t="n"/>
      <c r="N76" s="16" t="n"/>
      <c r="O76" s="15" t="n"/>
      <c r="P76" s="17" t="n"/>
      <c r="Q76" s="15" t="n"/>
      <c r="R76" s="15" t="n"/>
      <c r="S76" s="15" t="n"/>
      <c r="T76" s="10">
        <f>IF(AND(ISNUMBER(L76),L76&gt;0,ISNUMBER(O76),O76&gt;0),L76/O76,"")</f>
        <v/>
      </c>
      <c r="U76" s="11">
        <f>IF(AND(ISNUMBER(O76),O76&gt;0,ISNUMBER(Q76),Q76&gt;0,OR(R76="verificata",R76="intervallo")),O76/Q76,"")</f>
        <v/>
      </c>
      <c r="V76" s="18" t="n"/>
      <c r="W76" s="11">
        <f>IF(AND(ISNUMBER(U76),ISNUMBER(V76)),U76*(1-V76),"")</f>
        <v/>
      </c>
      <c r="X76" s="10">
        <f>IF(AND(ISNUMBER(L76),L76&gt;0,ISNUMBER(U76)),L76/U76*30,"")</f>
        <v/>
      </c>
      <c r="Y76" s="10">
        <f>IF(AND(ISNUMBER(L76),L76&gt;0,ISNUMBER(W76)),L76/W76*30,"")</f>
        <v/>
      </c>
      <c r="Z76" s="16" t="n"/>
      <c r="AA76" s="16" t="n"/>
      <c r="AB76" s="15" t="n"/>
      <c r="AC76" s="15" t="n"/>
      <c r="AD76" s="15" t="n"/>
      <c r="AE76" s="17" t="n"/>
      <c r="AF76" s="15" t="n"/>
      <c r="AG76" s="15" t="n"/>
      <c r="AH76" s="17" t="n"/>
      <c r="AI76" s="15" t="n"/>
      <c r="AJ76" s="15" t="n"/>
      <c r="AK76" s="15" t="n"/>
      <c r="AL76" s="17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6" t="n"/>
      <c r="M77" s="16" t="n"/>
      <c r="N77" s="16" t="n"/>
      <c r="O77" s="15" t="n"/>
      <c r="P77" s="17" t="n"/>
      <c r="Q77" s="15" t="n"/>
      <c r="R77" s="15" t="n"/>
      <c r="S77" s="15" t="n"/>
      <c r="T77" s="10">
        <f>IF(AND(ISNUMBER(L77),L77&gt;0,ISNUMBER(O77),O77&gt;0),L77/O77,"")</f>
        <v/>
      </c>
      <c r="U77" s="11">
        <f>IF(AND(ISNUMBER(O77),O77&gt;0,ISNUMBER(Q77),Q77&gt;0,OR(R77="verificata",R77="intervallo")),O77/Q77,"")</f>
        <v/>
      </c>
      <c r="V77" s="18" t="n"/>
      <c r="W77" s="11">
        <f>IF(AND(ISNUMBER(U77),ISNUMBER(V77)),U77*(1-V77),"")</f>
        <v/>
      </c>
      <c r="X77" s="10">
        <f>IF(AND(ISNUMBER(L77),L77&gt;0,ISNUMBER(U77)),L77/U77*30,"")</f>
        <v/>
      </c>
      <c r="Y77" s="10">
        <f>IF(AND(ISNUMBER(L77),L77&gt;0,ISNUMBER(W77)),L77/W77*30,"")</f>
        <v/>
      </c>
      <c r="Z77" s="16" t="n"/>
      <c r="AA77" s="16" t="n"/>
      <c r="AB77" s="15" t="n"/>
      <c r="AC77" s="15" t="n"/>
      <c r="AD77" s="15" t="n"/>
      <c r="AE77" s="17" t="n"/>
      <c r="AF77" s="15" t="n"/>
      <c r="AG77" s="15" t="n"/>
      <c r="AH77" s="17" t="n"/>
      <c r="AI77" s="15" t="n"/>
      <c r="AJ77" s="15" t="n"/>
      <c r="AK77" s="15" t="n"/>
      <c r="AL77" s="17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6" t="n"/>
      <c r="M78" s="16" t="n"/>
      <c r="N78" s="16" t="n"/>
      <c r="O78" s="15" t="n"/>
      <c r="P78" s="17" t="n"/>
      <c r="Q78" s="15" t="n"/>
      <c r="R78" s="15" t="n"/>
      <c r="S78" s="15" t="n"/>
      <c r="T78" s="10">
        <f>IF(AND(ISNUMBER(L78),L78&gt;0,ISNUMBER(O78),O78&gt;0),L78/O78,"")</f>
        <v/>
      </c>
      <c r="U78" s="11">
        <f>IF(AND(ISNUMBER(O78),O78&gt;0,ISNUMBER(Q78),Q78&gt;0,OR(R78="verificata",R78="intervallo")),O78/Q78,"")</f>
        <v/>
      </c>
      <c r="V78" s="18" t="n"/>
      <c r="W78" s="11">
        <f>IF(AND(ISNUMBER(U78),ISNUMBER(V78)),U78*(1-V78),"")</f>
        <v/>
      </c>
      <c r="X78" s="10">
        <f>IF(AND(ISNUMBER(L78),L78&gt;0,ISNUMBER(U78)),L78/U78*30,"")</f>
        <v/>
      </c>
      <c r="Y78" s="10">
        <f>IF(AND(ISNUMBER(L78),L78&gt;0,ISNUMBER(W78)),L78/W78*30,"")</f>
        <v/>
      </c>
      <c r="Z78" s="16" t="n"/>
      <c r="AA78" s="16" t="n"/>
      <c r="AB78" s="15" t="n"/>
      <c r="AC78" s="15" t="n"/>
      <c r="AD78" s="15" t="n"/>
      <c r="AE78" s="17" t="n"/>
      <c r="AF78" s="15" t="n"/>
      <c r="AG78" s="15" t="n"/>
      <c r="AH78" s="17" t="n"/>
      <c r="AI78" s="15" t="n"/>
      <c r="AJ78" s="15" t="n"/>
      <c r="AK78" s="15" t="n"/>
      <c r="AL78" s="17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6" t="n"/>
      <c r="M79" s="16" t="n"/>
      <c r="N79" s="16" t="n"/>
      <c r="O79" s="15" t="n"/>
      <c r="P79" s="17" t="n"/>
      <c r="Q79" s="15" t="n"/>
      <c r="R79" s="15" t="n"/>
      <c r="S79" s="15" t="n"/>
      <c r="T79" s="10">
        <f>IF(AND(ISNUMBER(L79),L79&gt;0,ISNUMBER(O79),O79&gt;0),L79/O79,"")</f>
        <v/>
      </c>
      <c r="U79" s="11">
        <f>IF(AND(ISNUMBER(O79),O79&gt;0,ISNUMBER(Q79),Q79&gt;0,OR(R79="verificata",R79="intervallo")),O79/Q79,"")</f>
        <v/>
      </c>
      <c r="V79" s="18" t="n"/>
      <c r="W79" s="11">
        <f>IF(AND(ISNUMBER(U79),ISNUMBER(V79)),U79*(1-V79),"")</f>
        <v/>
      </c>
      <c r="X79" s="10">
        <f>IF(AND(ISNUMBER(L79),L79&gt;0,ISNUMBER(U79)),L79/U79*30,"")</f>
        <v/>
      </c>
      <c r="Y79" s="10">
        <f>IF(AND(ISNUMBER(L79),L79&gt;0,ISNUMBER(W79)),L79/W79*30,"")</f>
        <v/>
      </c>
      <c r="Z79" s="16" t="n"/>
      <c r="AA79" s="16" t="n"/>
      <c r="AB79" s="15" t="n"/>
      <c r="AC79" s="15" t="n"/>
      <c r="AD79" s="15" t="n"/>
      <c r="AE79" s="17" t="n"/>
      <c r="AF79" s="15" t="n"/>
      <c r="AG79" s="15" t="n"/>
      <c r="AH79" s="17" t="n"/>
      <c r="AI79" s="15" t="n"/>
      <c r="AJ79" s="15" t="n"/>
      <c r="AK79" s="15" t="n"/>
      <c r="AL79" s="17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6" t="n"/>
      <c r="M80" s="16" t="n"/>
      <c r="N80" s="16" t="n"/>
      <c r="O80" s="15" t="n"/>
      <c r="P80" s="17" t="n"/>
      <c r="Q80" s="15" t="n"/>
      <c r="R80" s="15" t="n"/>
      <c r="S80" s="15" t="n"/>
      <c r="T80" s="10">
        <f>IF(AND(ISNUMBER(L80),L80&gt;0,ISNUMBER(O80),O80&gt;0),L80/O80,"")</f>
        <v/>
      </c>
      <c r="U80" s="11">
        <f>IF(AND(ISNUMBER(O80),O80&gt;0,ISNUMBER(Q80),Q80&gt;0,OR(R80="verificata",R80="intervallo")),O80/Q80,"")</f>
        <v/>
      </c>
      <c r="V80" s="18" t="n"/>
      <c r="W80" s="11">
        <f>IF(AND(ISNUMBER(U80),ISNUMBER(V80)),U80*(1-V80),"")</f>
        <v/>
      </c>
      <c r="X80" s="10">
        <f>IF(AND(ISNUMBER(L80),L80&gt;0,ISNUMBER(U80)),L80/U80*30,"")</f>
        <v/>
      </c>
      <c r="Y80" s="10">
        <f>IF(AND(ISNUMBER(L80),L80&gt;0,ISNUMBER(W80)),L80/W80*30,"")</f>
        <v/>
      </c>
      <c r="Z80" s="16" t="n"/>
      <c r="AA80" s="16" t="n"/>
      <c r="AB80" s="15" t="n"/>
      <c r="AC80" s="15" t="n"/>
      <c r="AD80" s="15" t="n"/>
      <c r="AE80" s="17" t="n"/>
      <c r="AF80" s="15" t="n"/>
      <c r="AG80" s="15" t="n"/>
      <c r="AH80" s="17" t="n"/>
      <c r="AI80" s="15" t="n"/>
      <c r="AJ80" s="15" t="n"/>
      <c r="AK80" s="15" t="n"/>
      <c r="AL80" s="17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6" t="n"/>
      <c r="M81" s="16" t="n"/>
      <c r="N81" s="16" t="n"/>
      <c r="O81" s="15" t="n"/>
      <c r="P81" s="17" t="n"/>
      <c r="Q81" s="15" t="n"/>
      <c r="R81" s="15" t="n"/>
      <c r="S81" s="15" t="n"/>
      <c r="T81" s="10">
        <f>IF(AND(ISNUMBER(L81),L81&gt;0,ISNUMBER(O81),O81&gt;0),L81/O81,"")</f>
        <v/>
      </c>
      <c r="U81" s="11">
        <f>IF(AND(ISNUMBER(O81),O81&gt;0,ISNUMBER(Q81),Q81&gt;0,OR(R81="verificata",R81="intervallo")),O81/Q81,"")</f>
        <v/>
      </c>
      <c r="V81" s="18" t="n"/>
      <c r="W81" s="11">
        <f>IF(AND(ISNUMBER(U81),ISNUMBER(V81)),U81*(1-V81),"")</f>
        <v/>
      </c>
      <c r="X81" s="10">
        <f>IF(AND(ISNUMBER(L81),L81&gt;0,ISNUMBER(U81)),L81/U81*30,"")</f>
        <v/>
      </c>
      <c r="Y81" s="10">
        <f>IF(AND(ISNUMBER(L81),L81&gt;0,ISNUMBER(W81)),L81/W81*30,"")</f>
        <v/>
      </c>
      <c r="Z81" s="16" t="n"/>
      <c r="AA81" s="16" t="n"/>
      <c r="AB81" s="15" t="n"/>
      <c r="AC81" s="15" t="n"/>
      <c r="AD81" s="15" t="n"/>
      <c r="AE81" s="17" t="n"/>
      <c r="AF81" s="15" t="n"/>
      <c r="AG81" s="15" t="n"/>
      <c r="AH81" s="17" t="n"/>
      <c r="AI81" s="15" t="n"/>
      <c r="AJ81" s="15" t="n"/>
      <c r="AK81" s="15" t="n"/>
      <c r="AL81" s="17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6" t="n"/>
      <c r="M82" s="16" t="n"/>
      <c r="N82" s="16" t="n"/>
      <c r="O82" s="15" t="n"/>
      <c r="P82" s="17" t="n"/>
      <c r="Q82" s="15" t="n"/>
      <c r="R82" s="15" t="n"/>
      <c r="S82" s="15" t="n"/>
      <c r="T82" s="10">
        <f>IF(AND(ISNUMBER(L82),L82&gt;0,ISNUMBER(O82),O82&gt;0),L82/O82,"")</f>
        <v/>
      </c>
      <c r="U82" s="11">
        <f>IF(AND(ISNUMBER(O82),O82&gt;0,ISNUMBER(Q82),Q82&gt;0,OR(R82="verificata",R82="intervallo")),O82/Q82,"")</f>
        <v/>
      </c>
      <c r="V82" s="18" t="n"/>
      <c r="W82" s="11">
        <f>IF(AND(ISNUMBER(U82),ISNUMBER(V82)),U82*(1-V82),"")</f>
        <v/>
      </c>
      <c r="X82" s="10">
        <f>IF(AND(ISNUMBER(L82),L82&gt;0,ISNUMBER(U82)),L82/U82*30,"")</f>
        <v/>
      </c>
      <c r="Y82" s="10">
        <f>IF(AND(ISNUMBER(L82),L82&gt;0,ISNUMBER(W82)),L82/W82*30,"")</f>
        <v/>
      </c>
      <c r="Z82" s="16" t="n"/>
      <c r="AA82" s="16" t="n"/>
      <c r="AB82" s="15" t="n"/>
      <c r="AC82" s="15" t="n"/>
      <c r="AD82" s="15" t="n"/>
      <c r="AE82" s="17" t="n"/>
      <c r="AF82" s="15" t="n"/>
      <c r="AG82" s="15" t="n"/>
      <c r="AH82" s="17" t="n"/>
      <c r="AI82" s="15" t="n"/>
      <c r="AJ82" s="15" t="n"/>
      <c r="AK82" s="15" t="n"/>
      <c r="AL82" s="17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6" t="n"/>
      <c r="M83" s="16" t="n"/>
      <c r="N83" s="16" t="n"/>
      <c r="O83" s="15" t="n"/>
      <c r="P83" s="17" t="n"/>
      <c r="Q83" s="15" t="n"/>
      <c r="R83" s="15" t="n"/>
      <c r="S83" s="15" t="n"/>
      <c r="T83" s="10">
        <f>IF(AND(ISNUMBER(L83),L83&gt;0,ISNUMBER(O83),O83&gt;0),L83/O83,"")</f>
        <v/>
      </c>
      <c r="U83" s="11">
        <f>IF(AND(ISNUMBER(O83),O83&gt;0,ISNUMBER(Q83),Q83&gt;0,OR(R83="verificata",R83="intervallo")),O83/Q83,"")</f>
        <v/>
      </c>
      <c r="V83" s="18" t="n"/>
      <c r="W83" s="11">
        <f>IF(AND(ISNUMBER(U83),ISNUMBER(V83)),U83*(1-V83),"")</f>
        <v/>
      </c>
      <c r="X83" s="10">
        <f>IF(AND(ISNUMBER(L83),L83&gt;0,ISNUMBER(U83)),L83/U83*30,"")</f>
        <v/>
      </c>
      <c r="Y83" s="10">
        <f>IF(AND(ISNUMBER(L83),L83&gt;0,ISNUMBER(W83)),L83/W83*30,"")</f>
        <v/>
      </c>
      <c r="Z83" s="16" t="n"/>
      <c r="AA83" s="16" t="n"/>
      <c r="AB83" s="15" t="n"/>
      <c r="AC83" s="15" t="n"/>
      <c r="AD83" s="15" t="n"/>
      <c r="AE83" s="17" t="n"/>
      <c r="AF83" s="15" t="n"/>
      <c r="AG83" s="15" t="n"/>
      <c r="AH83" s="17" t="n"/>
      <c r="AI83" s="15" t="n"/>
      <c r="AJ83" s="15" t="n"/>
      <c r="AK83" s="15" t="n"/>
      <c r="AL83" s="17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6" t="n"/>
      <c r="M84" s="16" t="n"/>
      <c r="N84" s="16" t="n"/>
      <c r="O84" s="15" t="n"/>
      <c r="P84" s="17" t="n"/>
      <c r="Q84" s="15" t="n"/>
      <c r="R84" s="15" t="n"/>
      <c r="S84" s="15" t="n"/>
      <c r="T84" s="10">
        <f>IF(AND(ISNUMBER(L84),L84&gt;0,ISNUMBER(O84),O84&gt;0),L84/O84,"")</f>
        <v/>
      </c>
      <c r="U84" s="11">
        <f>IF(AND(ISNUMBER(O84),O84&gt;0,ISNUMBER(Q84),Q84&gt;0,OR(R84="verificata",R84="intervallo")),O84/Q84,"")</f>
        <v/>
      </c>
      <c r="V84" s="18" t="n"/>
      <c r="W84" s="11">
        <f>IF(AND(ISNUMBER(U84),ISNUMBER(V84)),U84*(1-V84),"")</f>
        <v/>
      </c>
      <c r="X84" s="10">
        <f>IF(AND(ISNUMBER(L84),L84&gt;0,ISNUMBER(U84)),L84/U84*30,"")</f>
        <v/>
      </c>
      <c r="Y84" s="10">
        <f>IF(AND(ISNUMBER(L84),L84&gt;0,ISNUMBER(W84)),L84/W84*30,"")</f>
        <v/>
      </c>
      <c r="Z84" s="16" t="n"/>
      <c r="AA84" s="16" t="n"/>
      <c r="AB84" s="15" t="n"/>
      <c r="AC84" s="15" t="n"/>
      <c r="AD84" s="15" t="n"/>
      <c r="AE84" s="17" t="n"/>
      <c r="AF84" s="15" t="n"/>
      <c r="AG84" s="15" t="n"/>
      <c r="AH84" s="17" t="n"/>
      <c r="AI84" s="15" t="n"/>
      <c r="AJ84" s="15" t="n"/>
      <c r="AK84" s="15" t="n"/>
      <c r="AL84" s="17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6" t="n"/>
      <c r="M85" s="16" t="n"/>
      <c r="N85" s="16" t="n"/>
      <c r="O85" s="15" t="n"/>
      <c r="P85" s="17" t="n"/>
      <c r="Q85" s="15" t="n"/>
      <c r="R85" s="15" t="n"/>
      <c r="S85" s="15" t="n"/>
      <c r="T85" s="10">
        <f>IF(AND(ISNUMBER(L85),L85&gt;0,ISNUMBER(O85),O85&gt;0),L85/O85,"")</f>
        <v/>
      </c>
      <c r="U85" s="11">
        <f>IF(AND(ISNUMBER(O85),O85&gt;0,ISNUMBER(Q85),Q85&gt;0,OR(R85="verificata",R85="intervallo")),O85/Q85,"")</f>
        <v/>
      </c>
      <c r="V85" s="18" t="n"/>
      <c r="W85" s="11">
        <f>IF(AND(ISNUMBER(U85),ISNUMBER(V85)),U85*(1-V85),"")</f>
        <v/>
      </c>
      <c r="X85" s="10">
        <f>IF(AND(ISNUMBER(L85),L85&gt;0,ISNUMBER(U85)),L85/U85*30,"")</f>
        <v/>
      </c>
      <c r="Y85" s="10">
        <f>IF(AND(ISNUMBER(L85),L85&gt;0,ISNUMBER(W85)),L85/W85*30,"")</f>
        <v/>
      </c>
      <c r="Z85" s="16" t="n"/>
      <c r="AA85" s="16" t="n"/>
      <c r="AB85" s="15" t="n"/>
      <c r="AC85" s="15" t="n"/>
      <c r="AD85" s="15" t="n"/>
      <c r="AE85" s="17" t="n"/>
      <c r="AF85" s="15" t="n"/>
      <c r="AG85" s="15" t="n"/>
      <c r="AH85" s="17" t="n"/>
      <c r="AI85" s="15" t="n"/>
      <c r="AJ85" s="15" t="n"/>
      <c r="AK85" s="15" t="n"/>
      <c r="AL85" s="17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6" t="n"/>
      <c r="M86" s="16" t="n"/>
      <c r="N86" s="16" t="n"/>
      <c r="O86" s="15" t="n"/>
      <c r="P86" s="17" t="n"/>
      <c r="Q86" s="15" t="n"/>
      <c r="R86" s="15" t="n"/>
      <c r="S86" s="15" t="n"/>
      <c r="T86" s="10">
        <f>IF(AND(ISNUMBER(L86),L86&gt;0,ISNUMBER(O86),O86&gt;0),L86/O86,"")</f>
        <v/>
      </c>
      <c r="U86" s="11">
        <f>IF(AND(ISNUMBER(O86),O86&gt;0,ISNUMBER(Q86),Q86&gt;0,OR(R86="verificata",R86="intervallo")),O86/Q86,"")</f>
        <v/>
      </c>
      <c r="V86" s="18" t="n"/>
      <c r="W86" s="11">
        <f>IF(AND(ISNUMBER(U86),ISNUMBER(V86)),U86*(1-V86),"")</f>
        <v/>
      </c>
      <c r="X86" s="10">
        <f>IF(AND(ISNUMBER(L86),L86&gt;0,ISNUMBER(U86)),L86/U86*30,"")</f>
        <v/>
      </c>
      <c r="Y86" s="10">
        <f>IF(AND(ISNUMBER(L86),L86&gt;0,ISNUMBER(W86)),L86/W86*30,"")</f>
        <v/>
      </c>
      <c r="Z86" s="16" t="n"/>
      <c r="AA86" s="16" t="n"/>
      <c r="AB86" s="15" t="n"/>
      <c r="AC86" s="15" t="n"/>
      <c r="AD86" s="15" t="n"/>
      <c r="AE86" s="17" t="n"/>
      <c r="AF86" s="15" t="n"/>
      <c r="AG86" s="15" t="n"/>
      <c r="AH86" s="17" t="n"/>
      <c r="AI86" s="15" t="n"/>
      <c r="AJ86" s="15" t="n"/>
      <c r="AK86" s="15" t="n"/>
      <c r="AL86" s="17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6" t="n"/>
      <c r="M87" s="16" t="n"/>
      <c r="N87" s="16" t="n"/>
      <c r="O87" s="15" t="n"/>
      <c r="P87" s="17" t="n"/>
      <c r="Q87" s="15" t="n"/>
      <c r="R87" s="15" t="n"/>
      <c r="S87" s="15" t="n"/>
      <c r="T87" s="10">
        <f>IF(AND(ISNUMBER(L87),L87&gt;0,ISNUMBER(O87),O87&gt;0),L87/O87,"")</f>
        <v/>
      </c>
      <c r="U87" s="11">
        <f>IF(AND(ISNUMBER(O87),O87&gt;0,ISNUMBER(Q87),Q87&gt;0,OR(R87="verificata",R87="intervallo")),O87/Q87,"")</f>
        <v/>
      </c>
      <c r="V87" s="18" t="n"/>
      <c r="W87" s="11">
        <f>IF(AND(ISNUMBER(U87),ISNUMBER(V87)),U87*(1-V87),"")</f>
        <v/>
      </c>
      <c r="X87" s="10">
        <f>IF(AND(ISNUMBER(L87),L87&gt;0,ISNUMBER(U87)),L87/U87*30,"")</f>
        <v/>
      </c>
      <c r="Y87" s="10">
        <f>IF(AND(ISNUMBER(L87),L87&gt;0,ISNUMBER(W87)),L87/W87*30,"")</f>
        <v/>
      </c>
      <c r="Z87" s="16" t="n"/>
      <c r="AA87" s="16" t="n"/>
      <c r="AB87" s="15" t="n"/>
      <c r="AC87" s="15" t="n"/>
      <c r="AD87" s="15" t="n"/>
      <c r="AE87" s="17" t="n"/>
      <c r="AF87" s="15" t="n"/>
      <c r="AG87" s="15" t="n"/>
      <c r="AH87" s="17" t="n"/>
      <c r="AI87" s="15" t="n"/>
      <c r="AJ87" s="15" t="n"/>
      <c r="AK87" s="15" t="n"/>
      <c r="AL87" s="17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6" t="n"/>
      <c r="M88" s="16" t="n"/>
      <c r="N88" s="16" t="n"/>
      <c r="O88" s="15" t="n"/>
      <c r="P88" s="17" t="n"/>
      <c r="Q88" s="15" t="n"/>
      <c r="R88" s="15" t="n"/>
      <c r="S88" s="15" t="n"/>
      <c r="T88" s="10">
        <f>IF(AND(ISNUMBER(L88),L88&gt;0,ISNUMBER(O88),O88&gt;0),L88/O88,"")</f>
        <v/>
      </c>
      <c r="U88" s="11">
        <f>IF(AND(ISNUMBER(O88),O88&gt;0,ISNUMBER(Q88),Q88&gt;0,OR(R88="verificata",R88="intervallo")),O88/Q88,"")</f>
        <v/>
      </c>
      <c r="V88" s="18" t="n"/>
      <c r="W88" s="11">
        <f>IF(AND(ISNUMBER(U88),ISNUMBER(V88)),U88*(1-V88),"")</f>
        <v/>
      </c>
      <c r="X88" s="10">
        <f>IF(AND(ISNUMBER(L88),L88&gt;0,ISNUMBER(U88)),L88/U88*30,"")</f>
        <v/>
      </c>
      <c r="Y88" s="10">
        <f>IF(AND(ISNUMBER(L88),L88&gt;0,ISNUMBER(W88)),L88/W88*30,"")</f>
        <v/>
      </c>
      <c r="Z88" s="16" t="n"/>
      <c r="AA88" s="16" t="n"/>
      <c r="AB88" s="15" t="n"/>
      <c r="AC88" s="15" t="n"/>
      <c r="AD88" s="15" t="n"/>
      <c r="AE88" s="17" t="n"/>
      <c r="AF88" s="15" t="n"/>
      <c r="AG88" s="15" t="n"/>
      <c r="AH88" s="17" t="n"/>
      <c r="AI88" s="15" t="n"/>
      <c r="AJ88" s="15" t="n"/>
      <c r="AK88" s="15" t="n"/>
      <c r="AL88" s="17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6" t="n"/>
      <c r="M89" s="16" t="n"/>
      <c r="N89" s="16" t="n"/>
      <c r="O89" s="15" t="n"/>
      <c r="P89" s="17" t="n"/>
      <c r="Q89" s="15" t="n"/>
      <c r="R89" s="15" t="n"/>
      <c r="S89" s="15" t="n"/>
      <c r="T89" s="10">
        <f>IF(AND(ISNUMBER(L89),L89&gt;0,ISNUMBER(O89),O89&gt;0),L89/O89,"")</f>
        <v/>
      </c>
      <c r="U89" s="11">
        <f>IF(AND(ISNUMBER(O89),O89&gt;0,ISNUMBER(Q89),Q89&gt;0,OR(R89="verificata",R89="intervallo")),O89/Q89,"")</f>
        <v/>
      </c>
      <c r="V89" s="18" t="n"/>
      <c r="W89" s="11">
        <f>IF(AND(ISNUMBER(U89),ISNUMBER(V89)),U89*(1-V89),"")</f>
        <v/>
      </c>
      <c r="X89" s="10">
        <f>IF(AND(ISNUMBER(L89),L89&gt;0,ISNUMBER(U89)),L89/U89*30,"")</f>
        <v/>
      </c>
      <c r="Y89" s="10">
        <f>IF(AND(ISNUMBER(L89),L89&gt;0,ISNUMBER(W89)),L89/W89*30,"")</f>
        <v/>
      </c>
      <c r="Z89" s="16" t="n"/>
      <c r="AA89" s="16" t="n"/>
      <c r="AB89" s="15" t="n"/>
      <c r="AC89" s="15" t="n"/>
      <c r="AD89" s="15" t="n"/>
      <c r="AE89" s="17" t="n"/>
      <c r="AF89" s="15" t="n"/>
      <c r="AG89" s="15" t="n"/>
      <c r="AH89" s="17" t="n"/>
      <c r="AI89" s="15" t="n"/>
      <c r="AJ89" s="15" t="n"/>
      <c r="AK89" s="15" t="n"/>
      <c r="AL89" s="17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6" t="n"/>
      <c r="M90" s="16" t="n"/>
      <c r="N90" s="16" t="n"/>
      <c r="O90" s="15" t="n"/>
      <c r="P90" s="17" t="n"/>
      <c r="Q90" s="15" t="n"/>
      <c r="R90" s="15" t="n"/>
      <c r="S90" s="15" t="n"/>
      <c r="T90" s="10">
        <f>IF(AND(ISNUMBER(L90),L90&gt;0,ISNUMBER(O90),O90&gt;0),L90/O90,"")</f>
        <v/>
      </c>
      <c r="U90" s="11">
        <f>IF(AND(ISNUMBER(O90),O90&gt;0,ISNUMBER(Q90),Q90&gt;0,OR(R90="verificata",R90="intervallo")),O90/Q90,"")</f>
        <v/>
      </c>
      <c r="V90" s="18" t="n"/>
      <c r="W90" s="11">
        <f>IF(AND(ISNUMBER(U90),ISNUMBER(V90)),U90*(1-V90),"")</f>
        <v/>
      </c>
      <c r="X90" s="10">
        <f>IF(AND(ISNUMBER(L90),L90&gt;0,ISNUMBER(U90)),L90/U90*30,"")</f>
        <v/>
      </c>
      <c r="Y90" s="10">
        <f>IF(AND(ISNUMBER(L90),L90&gt;0,ISNUMBER(W90)),L90/W90*30,"")</f>
        <v/>
      </c>
      <c r="Z90" s="16" t="n"/>
      <c r="AA90" s="16" t="n"/>
      <c r="AB90" s="15" t="n"/>
      <c r="AC90" s="15" t="n"/>
      <c r="AD90" s="15" t="n"/>
      <c r="AE90" s="17" t="n"/>
      <c r="AF90" s="15" t="n"/>
      <c r="AG90" s="15" t="n"/>
      <c r="AH90" s="17" t="n"/>
      <c r="AI90" s="15" t="n"/>
      <c r="AJ90" s="15" t="n"/>
      <c r="AK90" s="15" t="n"/>
      <c r="AL90" s="17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6" t="n"/>
      <c r="M91" s="16" t="n"/>
      <c r="N91" s="16" t="n"/>
      <c r="O91" s="15" t="n"/>
      <c r="P91" s="17" t="n"/>
      <c r="Q91" s="15" t="n"/>
      <c r="R91" s="15" t="n"/>
      <c r="S91" s="15" t="n"/>
      <c r="T91" s="10">
        <f>IF(AND(ISNUMBER(L91),L91&gt;0,ISNUMBER(O91),O91&gt;0),L91/O91,"")</f>
        <v/>
      </c>
      <c r="U91" s="11">
        <f>IF(AND(ISNUMBER(O91),O91&gt;0,ISNUMBER(Q91),Q91&gt;0,OR(R91="verificata",R91="intervallo")),O91/Q91,"")</f>
        <v/>
      </c>
      <c r="V91" s="18" t="n"/>
      <c r="W91" s="11">
        <f>IF(AND(ISNUMBER(U91),ISNUMBER(V91)),U91*(1-V91),"")</f>
        <v/>
      </c>
      <c r="X91" s="10">
        <f>IF(AND(ISNUMBER(L91),L91&gt;0,ISNUMBER(U91)),L91/U91*30,"")</f>
        <v/>
      </c>
      <c r="Y91" s="10">
        <f>IF(AND(ISNUMBER(L91),L91&gt;0,ISNUMBER(W91)),L91/W91*30,"")</f>
        <v/>
      </c>
      <c r="Z91" s="16" t="n"/>
      <c r="AA91" s="16" t="n"/>
      <c r="AB91" s="15" t="n"/>
      <c r="AC91" s="15" t="n"/>
      <c r="AD91" s="15" t="n"/>
      <c r="AE91" s="17" t="n"/>
      <c r="AF91" s="15" t="n"/>
      <c r="AG91" s="15" t="n"/>
      <c r="AH91" s="17" t="n"/>
      <c r="AI91" s="15" t="n"/>
      <c r="AJ91" s="15" t="n"/>
      <c r="AK91" s="15" t="n"/>
      <c r="AL91" s="17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6" t="n"/>
      <c r="M92" s="16" t="n"/>
      <c r="N92" s="16" t="n"/>
      <c r="O92" s="15" t="n"/>
      <c r="P92" s="17" t="n"/>
      <c r="Q92" s="15" t="n"/>
      <c r="R92" s="15" t="n"/>
      <c r="S92" s="15" t="n"/>
      <c r="T92" s="10">
        <f>IF(AND(ISNUMBER(L92),L92&gt;0,ISNUMBER(O92),O92&gt;0),L92/O92,"")</f>
        <v/>
      </c>
      <c r="U92" s="11">
        <f>IF(AND(ISNUMBER(O92),O92&gt;0,ISNUMBER(Q92),Q92&gt;0,OR(R92="verificata",R92="intervallo")),O92/Q92,"")</f>
        <v/>
      </c>
      <c r="V92" s="18" t="n"/>
      <c r="W92" s="11">
        <f>IF(AND(ISNUMBER(U92),ISNUMBER(V92)),U92*(1-V92),"")</f>
        <v/>
      </c>
      <c r="X92" s="10">
        <f>IF(AND(ISNUMBER(L92),L92&gt;0,ISNUMBER(U92)),L92/U92*30,"")</f>
        <v/>
      </c>
      <c r="Y92" s="10">
        <f>IF(AND(ISNUMBER(L92),L92&gt;0,ISNUMBER(W92)),L92/W92*30,"")</f>
        <v/>
      </c>
      <c r="Z92" s="16" t="n"/>
      <c r="AA92" s="16" t="n"/>
      <c r="AB92" s="15" t="n"/>
      <c r="AC92" s="15" t="n"/>
      <c r="AD92" s="15" t="n"/>
      <c r="AE92" s="17" t="n"/>
      <c r="AF92" s="15" t="n"/>
      <c r="AG92" s="15" t="n"/>
      <c r="AH92" s="17" t="n"/>
      <c r="AI92" s="15" t="n"/>
      <c r="AJ92" s="15" t="n"/>
      <c r="AK92" s="15" t="n"/>
      <c r="AL92" s="17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6" t="n"/>
      <c r="M93" s="16" t="n"/>
      <c r="N93" s="16" t="n"/>
      <c r="O93" s="15" t="n"/>
      <c r="P93" s="17" t="n"/>
      <c r="Q93" s="15" t="n"/>
      <c r="R93" s="15" t="n"/>
      <c r="S93" s="15" t="n"/>
      <c r="T93" s="10">
        <f>IF(AND(ISNUMBER(L93),L93&gt;0,ISNUMBER(O93),O93&gt;0),L93/O93,"")</f>
        <v/>
      </c>
      <c r="U93" s="11">
        <f>IF(AND(ISNUMBER(O93),O93&gt;0,ISNUMBER(Q93),Q93&gt;0,OR(R93="verificata",R93="intervallo")),O93/Q93,"")</f>
        <v/>
      </c>
      <c r="V93" s="18" t="n"/>
      <c r="W93" s="11">
        <f>IF(AND(ISNUMBER(U93),ISNUMBER(V93)),U93*(1-V93),"")</f>
        <v/>
      </c>
      <c r="X93" s="10">
        <f>IF(AND(ISNUMBER(L93),L93&gt;0,ISNUMBER(U93)),L93/U93*30,"")</f>
        <v/>
      </c>
      <c r="Y93" s="10">
        <f>IF(AND(ISNUMBER(L93),L93&gt;0,ISNUMBER(W93)),L93/W93*30,"")</f>
        <v/>
      </c>
      <c r="Z93" s="16" t="n"/>
      <c r="AA93" s="16" t="n"/>
      <c r="AB93" s="15" t="n"/>
      <c r="AC93" s="15" t="n"/>
      <c r="AD93" s="15" t="n"/>
      <c r="AE93" s="17" t="n"/>
      <c r="AF93" s="15" t="n"/>
      <c r="AG93" s="15" t="n"/>
      <c r="AH93" s="17" t="n"/>
      <c r="AI93" s="15" t="n"/>
      <c r="AJ93" s="15" t="n"/>
      <c r="AK93" s="15" t="n"/>
      <c r="AL93" s="17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6" t="n"/>
      <c r="M94" s="16" t="n"/>
      <c r="N94" s="16" t="n"/>
      <c r="O94" s="15" t="n"/>
      <c r="P94" s="17" t="n"/>
      <c r="Q94" s="15" t="n"/>
      <c r="R94" s="15" t="n"/>
      <c r="S94" s="15" t="n"/>
      <c r="T94" s="10">
        <f>IF(AND(ISNUMBER(L94),L94&gt;0,ISNUMBER(O94),O94&gt;0),L94/O94,"")</f>
        <v/>
      </c>
      <c r="U94" s="11">
        <f>IF(AND(ISNUMBER(O94),O94&gt;0,ISNUMBER(Q94),Q94&gt;0,OR(R94="verificata",R94="intervallo")),O94/Q94,"")</f>
        <v/>
      </c>
      <c r="V94" s="18" t="n"/>
      <c r="W94" s="11">
        <f>IF(AND(ISNUMBER(U94),ISNUMBER(V94)),U94*(1-V94),"")</f>
        <v/>
      </c>
      <c r="X94" s="10">
        <f>IF(AND(ISNUMBER(L94),L94&gt;0,ISNUMBER(U94)),L94/U94*30,"")</f>
        <v/>
      </c>
      <c r="Y94" s="10">
        <f>IF(AND(ISNUMBER(L94),L94&gt;0,ISNUMBER(W94)),L94/W94*30,"")</f>
        <v/>
      </c>
      <c r="Z94" s="16" t="n"/>
      <c r="AA94" s="16" t="n"/>
      <c r="AB94" s="15" t="n"/>
      <c r="AC94" s="15" t="n"/>
      <c r="AD94" s="15" t="n"/>
      <c r="AE94" s="17" t="n"/>
      <c r="AF94" s="15" t="n"/>
      <c r="AG94" s="15" t="n"/>
      <c r="AH94" s="17" t="n"/>
      <c r="AI94" s="15" t="n"/>
      <c r="AJ94" s="15" t="n"/>
      <c r="AK94" s="15" t="n"/>
      <c r="AL94" s="17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6" t="n"/>
      <c r="M95" s="16" t="n"/>
      <c r="N95" s="16" t="n"/>
      <c r="O95" s="15" t="n"/>
      <c r="P95" s="17" t="n"/>
      <c r="Q95" s="15" t="n"/>
      <c r="R95" s="15" t="n"/>
      <c r="S95" s="15" t="n"/>
      <c r="T95" s="10">
        <f>IF(AND(ISNUMBER(L95),L95&gt;0,ISNUMBER(O95),O95&gt;0),L95/O95,"")</f>
        <v/>
      </c>
      <c r="U95" s="11">
        <f>IF(AND(ISNUMBER(O95),O95&gt;0,ISNUMBER(Q95),Q95&gt;0,OR(R95="verificata",R95="intervallo")),O95/Q95,"")</f>
        <v/>
      </c>
      <c r="V95" s="18" t="n"/>
      <c r="W95" s="11">
        <f>IF(AND(ISNUMBER(U95),ISNUMBER(V95)),U95*(1-V95),"")</f>
        <v/>
      </c>
      <c r="X95" s="10">
        <f>IF(AND(ISNUMBER(L95),L95&gt;0,ISNUMBER(U95)),L95/U95*30,"")</f>
        <v/>
      </c>
      <c r="Y95" s="10">
        <f>IF(AND(ISNUMBER(L95),L95&gt;0,ISNUMBER(W95)),L95/W95*30,"")</f>
        <v/>
      </c>
      <c r="Z95" s="16" t="n"/>
      <c r="AA95" s="16" t="n"/>
      <c r="AB95" s="15" t="n"/>
      <c r="AC95" s="15" t="n"/>
      <c r="AD95" s="15" t="n"/>
      <c r="AE95" s="17" t="n"/>
      <c r="AF95" s="15" t="n"/>
      <c r="AG95" s="15" t="n"/>
      <c r="AH95" s="17" t="n"/>
      <c r="AI95" s="15" t="n"/>
      <c r="AJ95" s="15" t="n"/>
      <c r="AK95" s="15" t="n"/>
      <c r="AL95" s="17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6" t="n"/>
      <c r="M96" s="16" t="n"/>
      <c r="N96" s="16" t="n"/>
      <c r="O96" s="15" t="n"/>
      <c r="P96" s="17" t="n"/>
      <c r="Q96" s="15" t="n"/>
      <c r="R96" s="15" t="n"/>
      <c r="S96" s="15" t="n"/>
      <c r="T96" s="10">
        <f>IF(AND(ISNUMBER(L96),L96&gt;0,ISNUMBER(O96),O96&gt;0),L96/O96,"")</f>
        <v/>
      </c>
      <c r="U96" s="11">
        <f>IF(AND(ISNUMBER(O96),O96&gt;0,ISNUMBER(Q96),Q96&gt;0,OR(R96="verificata",R96="intervallo")),O96/Q96,"")</f>
        <v/>
      </c>
      <c r="V96" s="18" t="n"/>
      <c r="W96" s="11">
        <f>IF(AND(ISNUMBER(U96),ISNUMBER(V96)),U96*(1-V96),"")</f>
        <v/>
      </c>
      <c r="X96" s="10">
        <f>IF(AND(ISNUMBER(L96),L96&gt;0,ISNUMBER(U96)),L96/U96*30,"")</f>
        <v/>
      </c>
      <c r="Y96" s="10">
        <f>IF(AND(ISNUMBER(L96),L96&gt;0,ISNUMBER(W96)),L96/W96*30,"")</f>
        <v/>
      </c>
      <c r="Z96" s="16" t="n"/>
      <c r="AA96" s="16" t="n"/>
      <c r="AB96" s="15" t="n"/>
      <c r="AC96" s="15" t="n"/>
      <c r="AD96" s="15" t="n"/>
      <c r="AE96" s="17" t="n"/>
      <c r="AF96" s="15" t="n"/>
      <c r="AG96" s="15" t="n"/>
      <c r="AH96" s="17" t="n"/>
      <c r="AI96" s="15" t="n"/>
      <c r="AJ96" s="15" t="n"/>
      <c r="AK96" s="15" t="n"/>
      <c r="AL96" s="17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6" t="n"/>
      <c r="M97" s="16" t="n"/>
      <c r="N97" s="16" t="n"/>
      <c r="O97" s="15" t="n"/>
      <c r="P97" s="17" t="n"/>
      <c r="Q97" s="15" t="n"/>
      <c r="R97" s="15" t="n"/>
      <c r="S97" s="15" t="n"/>
      <c r="T97" s="10">
        <f>IF(AND(ISNUMBER(L97),L97&gt;0,ISNUMBER(O97),O97&gt;0),L97/O97,"")</f>
        <v/>
      </c>
      <c r="U97" s="11">
        <f>IF(AND(ISNUMBER(O97),O97&gt;0,ISNUMBER(Q97),Q97&gt;0,OR(R97="verificata",R97="intervallo")),O97/Q97,"")</f>
        <v/>
      </c>
      <c r="V97" s="18" t="n"/>
      <c r="W97" s="11">
        <f>IF(AND(ISNUMBER(U97),ISNUMBER(V97)),U97*(1-V97),"")</f>
        <v/>
      </c>
      <c r="X97" s="10">
        <f>IF(AND(ISNUMBER(L97),L97&gt;0,ISNUMBER(U97)),L97/U97*30,"")</f>
        <v/>
      </c>
      <c r="Y97" s="10">
        <f>IF(AND(ISNUMBER(L97),L97&gt;0,ISNUMBER(W97)),L97/W97*30,"")</f>
        <v/>
      </c>
      <c r="Z97" s="16" t="n"/>
      <c r="AA97" s="16" t="n"/>
      <c r="AB97" s="15" t="n"/>
      <c r="AC97" s="15" t="n"/>
      <c r="AD97" s="15" t="n"/>
      <c r="AE97" s="17" t="n"/>
      <c r="AF97" s="15" t="n"/>
      <c r="AG97" s="15" t="n"/>
      <c r="AH97" s="17" t="n"/>
      <c r="AI97" s="15" t="n"/>
      <c r="AJ97" s="15" t="n"/>
      <c r="AK97" s="15" t="n"/>
      <c r="AL97" s="17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6" t="n"/>
      <c r="M98" s="16" t="n"/>
      <c r="N98" s="16" t="n"/>
      <c r="O98" s="15" t="n"/>
      <c r="P98" s="17" t="n"/>
      <c r="Q98" s="15" t="n"/>
      <c r="R98" s="15" t="n"/>
      <c r="S98" s="15" t="n"/>
      <c r="T98" s="10">
        <f>IF(AND(ISNUMBER(L98),L98&gt;0,ISNUMBER(O98),O98&gt;0),L98/O98,"")</f>
        <v/>
      </c>
      <c r="U98" s="11">
        <f>IF(AND(ISNUMBER(O98),O98&gt;0,ISNUMBER(Q98),Q98&gt;0,OR(R98="verificata",R98="intervallo")),O98/Q98,"")</f>
        <v/>
      </c>
      <c r="V98" s="18" t="n"/>
      <c r="W98" s="11">
        <f>IF(AND(ISNUMBER(U98),ISNUMBER(V98)),U98*(1-V98),"")</f>
        <v/>
      </c>
      <c r="X98" s="10">
        <f>IF(AND(ISNUMBER(L98),L98&gt;0,ISNUMBER(U98)),L98/U98*30,"")</f>
        <v/>
      </c>
      <c r="Y98" s="10">
        <f>IF(AND(ISNUMBER(L98),L98&gt;0,ISNUMBER(W98)),L98/W98*30,"")</f>
        <v/>
      </c>
      <c r="Z98" s="16" t="n"/>
      <c r="AA98" s="16" t="n"/>
      <c r="AB98" s="15" t="n"/>
      <c r="AC98" s="15" t="n"/>
      <c r="AD98" s="15" t="n"/>
      <c r="AE98" s="17" t="n"/>
      <c r="AF98" s="15" t="n"/>
      <c r="AG98" s="15" t="n"/>
      <c r="AH98" s="17" t="n"/>
      <c r="AI98" s="15" t="n"/>
      <c r="AJ98" s="15" t="n"/>
      <c r="AK98" s="15" t="n"/>
      <c r="AL98" s="17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6" t="n"/>
      <c r="M99" s="16" t="n"/>
      <c r="N99" s="16" t="n"/>
      <c r="O99" s="15" t="n"/>
      <c r="P99" s="17" t="n"/>
      <c r="Q99" s="15" t="n"/>
      <c r="R99" s="15" t="n"/>
      <c r="S99" s="15" t="n"/>
      <c r="T99" s="10">
        <f>IF(AND(ISNUMBER(L99),L99&gt;0,ISNUMBER(O99),O99&gt;0),L99/O99,"")</f>
        <v/>
      </c>
      <c r="U99" s="11">
        <f>IF(AND(ISNUMBER(O99),O99&gt;0,ISNUMBER(Q99),Q99&gt;0,OR(R99="verificata",R99="intervallo")),O99/Q99,"")</f>
        <v/>
      </c>
      <c r="V99" s="18" t="n"/>
      <c r="W99" s="11">
        <f>IF(AND(ISNUMBER(U99),ISNUMBER(V99)),U99*(1-V99),"")</f>
        <v/>
      </c>
      <c r="X99" s="10">
        <f>IF(AND(ISNUMBER(L99),L99&gt;0,ISNUMBER(U99)),L99/U99*30,"")</f>
        <v/>
      </c>
      <c r="Y99" s="10">
        <f>IF(AND(ISNUMBER(L99),L99&gt;0,ISNUMBER(W99)),L99/W99*30,"")</f>
        <v/>
      </c>
      <c r="Z99" s="16" t="n"/>
      <c r="AA99" s="16" t="n"/>
      <c r="AB99" s="15" t="n"/>
      <c r="AC99" s="15" t="n"/>
      <c r="AD99" s="15" t="n"/>
      <c r="AE99" s="17" t="n"/>
      <c r="AF99" s="15" t="n"/>
      <c r="AG99" s="15" t="n"/>
      <c r="AH99" s="17" t="n"/>
      <c r="AI99" s="15" t="n"/>
      <c r="AJ99" s="15" t="n"/>
      <c r="AK99" s="15" t="n"/>
      <c r="AL99" s="17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6" t="n"/>
      <c r="M100" s="16" t="n"/>
      <c r="N100" s="16" t="n"/>
      <c r="O100" s="15" t="n"/>
      <c r="P100" s="17" t="n"/>
      <c r="Q100" s="15" t="n"/>
      <c r="R100" s="15" t="n"/>
      <c r="S100" s="15" t="n"/>
      <c r="T100" s="10">
        <f>IF(AND(ISNUMBER(L100),L100&gt;0,ISNUMBER(O100),O100&gt;0),L100/O100,"")</f>
        <v/>
      </c>
      <c r="U100" s="11">
        <f>IF(AND(ISNUMBER(O100),O100&gt;0,ISNUMBER(Q100),Q100&gt;0,OR(R100="verificata",R100="intervallo")),O100/Q100,"")</f>
        <v/>
      </c>
      <c r="V100" s="18" t="n"/>
      <c r="W100" s="11">
        <f>IF(AND(ISNUMBER(U100),ISNUMBER(V100)),U100*(1-V100),"")</f>
        <v/>
      </c>
      <c r="X100" s="10">
        <f>IF(AND(ISNUMBER(L100),L100&gt;0,ISNUMBER(U100)),L100/U100*30,"")</f>
        <v/>
      </c>
      <c r="Y100" s="10">
        <f>IF(AND(ISNUMBER(L100),L100&gt;0,ISNUMBER(W100)),L100/W100*30,"")</f>
        <v/>
      </c>
      <c r="Z100" s="16" t="n"/>
      <c r="AA100" s="16" t="n"/>
      <c r="AB100" s="15" t="n"/>
      <c r="AC100" s="15" t="n"/>
      <c r="AD100" s="15" t="n"/>
      <c r="AE100" s="17" t="n"/>
      <c r="AF100" s="15" t="n"/>
      <c r="AG100" s="15" t="n"/>
      <c r="AH100" s="17" t="n"/>
      <c r="AI100" s="15" t="n"/>
      <c r="AJ100" s="15" t="n"/>
      <c r="AK100" s="15" t="n"/>
      <c r="AL100" s="17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6" t="n"/>
      <c r="M101" s="16" t="n"/>
      <c r="N101" s="16" t="n"/>
      <c r="O101" s="15" t="n"/>
      <c r="P101" s="17" t="n"/>
      <c r="Q101" s="15" t="n"/>
      <c r="R101" s="15" t="n"/>
      <c r="S101" s="15" t="n"/>
      <c r="T101" s="10">
        <f>IF(AND(ISNUMBER(L101),L101&gt;0,ISNUMBER(O101),O101&gt;0),L101/O101,"")</f>
        <v/>
      </c>
      <c r="U101" s="11">
        <f>IF(AND(ISNUMBER(O101),O101&gt;0,ISNUMBER(Q101),Q101&gt;0,OR(R101="verificata",R101="intervallo")),O101/Q101,"")</f>
        <v/>
      </c>
      <c r="V101" s="18" t="n"/>
      <c r="W101" s="11">
        <f>IF(AND(ISNUMBER(U101),ISNUMBER(V101)),U101*(1-V101),"")</f>
        <v/>
      </c>
      <c r="X101" s="10">
        <f>IF(AND(ISNUMBER(L101),L101&gt;0,ISNUMBER(U101)),L101/U101*30,"")</f>
        <v/>
      </c>
      <c r="Y101" s="10">
        <f>IF(AND(ISNUMBER(L101),L101&gt;0,ISNUMBER(W101)),L101/W101*30,"")</f>
        <v/>
      </c>
      <c r="Z101" s="16" t="n"/>
      <c r="AA101" s="16" t="n"/>
      <c r="AB101" s="15" t="n"/>
      <c r="AC101" s="15" t="n"/>
      <c r="AD101" s="15" t="n"/>
      <c r="AE101" s="17" t="n"/>
      <c r="AF101" s="15" t="n"/>
      <c r="AG101" s="15" t="n"/>
      <c r="AH101" s="17" t="n"/>
      <c r="AI101" s="15" t="n"/>
      <c r="AJ101" s="15" t="n"/>
      <c r="AK101" s="15" t="n"/>
      <c r="AL101" s="17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6" t="n"/>
      <c r="M102" s="16" t="n"/>
      <c r="N102" s="16" t="n"/>
      <c r="O102" s="15" t="n"/>
      <c r="P102" s="17" t="n"/>
      <c r="Q102" s="15" t="n"/>
      <c r="R102" s="15" t="n"/>
      <c r="S102" s="15" t="n"/>
      <c r="T102" s="10">
        <f>IF(AND(ISNUMBER(L102),L102&gt;0,ISNUMBER(O102),O102&gt;0),L102/O102,"")</f>
        <v/>
      </c>
      <c r="U102" s="11">
        <f>IF(AND(ISNUMBER(O102),O102&gt;0,ISNUMBER(Q102),Q102&gt;0,OR(R102="verificata",R102="intervallo")),O102/Q102,"")</f>
        <v/>
      </c>
      <c r="V102" s="18" t="n"/>
      <c r="W102" s="11">
        <f>IF(AND(ISNUMBER(U102),ISNUMBER(V102)),U102*(1-V102),"")</f>
        <v/>
      </c>
      <c r="X102" s="10">
        <f>IF(AND(ISNUMBER(L102),L102&gt;0,ISNUMBER(U102)),L102/U102*30,"")</f>
        <v/>
      </c>
      <c r="Y102" s="10">
        <f>IF(AND(ISNUMBER(L102),L102&gt;0,ISNUMBER(W102)),L102/W102*30,"")</f>
        <v/>
      </c>
      <c r="Z102" s="16" t="n"/>
      <c r="AA102" s="16" t="n"/>
      <c r="AB102" s="15" t="n"/>
      <c r="AC102" s="15" t="n"/>
      <c r="AD102" s="15" t="n"/>
      <c r="AE102" s="17" t="n"/>
      <c r="AF102" s="15" t="n"/>
      <c r="AG102" s="15" t="n"/>
      <c r="AH102" s="17" t="n"/>
      <c r="AI102" s="15" t="n"/>
      <c r="AJ102" s="15" t="n"/>
      <c r="AK102" s="15" t="n"/>
      <c r="AL102" s="17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6" t="n"/>
      <c r="M103" s="16" t="n"/>
      <c r="N103" s="16" t="n"/>
      <c r="O103" s="15" t="n"/>
      <c r="P103" s="17" t="n"/>
      <c r="Q103" s="15" t="n"/>
      <c r="R103" s="15" t="n"/>
      <c r="S103" s="15" t="n"/>
      <c r="T103" s="10">
        <f>IF(AND(ISNUMBER(L103),L103&gt;0,ISNUMBER(O103),O103&gt;0),L103/O103,"")</f>
        <v/>
      </c>
      <c r="U103" s="11">
        <f>IF(AND(ISNUMBER(O103),O103&gt;0,ISNUMBER(Q103),Q103&gt;0,OR(R103="verificata",R103="intervallo")),O103/Q103,"")</f>
        <v/>
      </c>
      <c r="V103" s="18" t="n"/>
      <c r="W103" s="11">
        <f>IF(AND(ISNUMBER(U103),ISNUMBER(V103)),U103*(1-V103),"")</f>
        <v/>
      </c>
      <c r="X103" s="10">
        <f>IF(AND(ISNUMBER(L103),L103&gt;0,ISNUMBER(U103)),L103/U103*30,"")</f>
        <v/>
      </c>
      <c r="Y103" s="10">
        <f>IF(AND(ISNUMBER(L103),L103&gt;0,ISNUMBER(W103)),L103/W103*30,"")</f>
        <v/>
      </c>
      <c r="Z103" s="16" t="n"/>
      <c r="AA103" s="16" t="n"/>
      <c r="AB103" s="15" t="n"/>
      <c r="AC103" s="15" t="n"/>
      <c r="AD103" s="15" t="n"/>
      <c r="AE103" s="17" t="n"/>
      <c r="AF103" s="15" t="n"/>
      <c r="AG103" s="15" t="n"/>
      <c r="AH103" s="17" t="n"/>
      <c r="AI103" s="15" t="n"/>
      <c r="AJ103" s="15" t="n"/>
      <c r="AK103" s="15" t="n"/>
      <c r="AL103" s="17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6" t="n"/>
      <c r="M104" s="16" t="n"/>
      <c r="N104" s="16" t="n"/>
      <c r="O104" s="15" t="n"/>
      <c r="P104" s="17" t="n"/>
      <c r="Q104" s="15" t="n"/>
      <c r="R104" s="15" t="n"/>
      <c r="S104" s="15" t="n"/>
      <c r="T104" s="10">
        <f>IF(AND(ISNUMBER(L104),L104&gt;0,ISNUMBER(O104),O104&gt;0),L104/O104,"")</f>
        <v/>
      </c>
      <c r="U104" s="11">
        <f>IF(AND(ISNUMBER(O104),O104&gt;0,ISNUMBER(Q104),Q104&gt;0,OR(R104="verificata",R104="intervallo")),O104/Q104,"")</f>
        <v/>
      </c>
      <c r="V104" s="18" t="n"/>
      <c r="W104" s="11">
        <f>IF(AND(ISNUMBER(U104),ISNUMBER(V104)),U104*(1-V104),"")</f>
        <v/>
      </c>
      <c r="X104" s="10">
        <f>IF(AND(ISNUMBER(L104),L104&gt;0,ISNUMBER(U104)),L104/U104*30,"")</f>
        <v/>
      </c>
      <c r="Y104" s="10">
        <f>IF(AND(ISNUMBER(L104),L104&gt;0,ISNUMBER(W104)),L104/W104*30,"")</f>
        <v/>
      </c>
      <c r="Z104" s="16" t="n"/>
      <c r="AA104" s="16" t="n"/>
      <c r="AB104" s="15" t="n"/>
      <c r="AC104" s="15" t="n"/>
      <c r="AD104" s="15" t="n"/>
      <c r="AE104" s="17" t="n"/>
      <c r="AF104" s="15" t="n"/>
      <c r="AG104" s="15" t="n"/>
      <c r="AH104" s="17" t="n"/>
      <c r="AI104" s="15" t="n"/>
      <c r="AJ104" s="15" t="n"/>
      <c r="AK104" s="15" t="n"/>
      <c r="AL104" s="17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6" t="n"/>
      <c r="M105" s="16" t="n"/>
      <c r="N105" s="16" t="n"/>
      <c r="O105" s="15" t="n"/>
      <c r="P105" s="17" t="n"/>
      <c r="Q105" s="15" t="n"/>
      <c r="R105" s="15" t="n"/>
      <c r="S105" s="15" t="n"/>
      <c r="T105" s="10">
        <f>IF(AND(ISNUMBER(L105),L105&gt;0,ISNUMBER(O105),O105&gt;0),L105/O105,"")</f>
        <v/>
      </c>
      <c r="U105" s="11">
        <f>IF(AND(ISNUMBER(O105),O105&gt;0,ISNUMBER(Q105),Q105&gt;0,OR(R105="verificata",R105="intervallo")),O105/Q105,"")</f>
        <v/>
      </c>
      <c r="V105" s="18" t="n"/>
      <c r="W105" s="11">
        <f>IF(AND(ISNUMBER(U105),ISNUMBER(V105)),U105*(1-V105),"")</f>
        <v/>
      </c>
      <c r="X105" s="10">
        <f>IF(AND(ISNUMBER(L105),L105&gt;0,ISNUMBER(U105)),L105/U105*30,"")</f>
        <v/>
      </c>
      <c r="Y105" s="10">
        <f>IF(AND(ISNUMBER(L105),L105&gt;0,ISNUMBER(W105)),L105/W105*30,"")</f>
        <v/>
      </c>
      <c r="Z105" s="16" t="n"/>
      <c r="AA105" s="16" t="n"/>
      <c r="AB105" s="15" t="n"/>
      <c r="AC105" s="15" t="n"/>
      <c r="AD105" s="15" t="n"/>
      <c r="AE105" s="17" t="n"/>
      <c r="AF105" s="15" t="n"/>
      <c r="AG105" s="15" t="n"/>
      <c r="AH105" s="17" t="n"/>
      <c r="AI105" s="15" t="n"/>
      <c r="AJ105" s="15" t="n"/>
      <c r="AK105" s="15" t="n"/>
      <c r="AL105" s="17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6" t="n"/>
      <c r="M106" s="16" t="n"/>
      <c r="N106" s="16" t="n"/>
      <c r="O106" s="15" t="n"/>
      <c r="P106" s="17" t="n"/>
      <c r="Q106" s="15" t="n"/>
      <c r="R106" s="15" t="n"/>
      <c r="S106" s="15" t="n"/>
      <c r="T106" s="10">
        <f>IF(AND(ISNUMBER(L106),L106&gt;0,ISNUMBER(O106),O106&gt;0),L106/O106,"")</f>
        <v/>
      </c>
      <c r="U106" s="11">
        <f>IF(AND(ISNUMBER(O106),O106&gt;0,ISNUMBER(Q106),Q106&gt;0,OR(R106="verificata",R106="intervallo")),O106/Q106,"")</f>
        <v/>
      </c>
      <c r="V106" s="18" t="n"/>
      <c r="W106" s="11">
        <f>IF(AND(ISNUMBER(U106),ISNUMBER(V106)),U106*(1-V106),"")</f>
        <v/>
      </c>
      <c r="X106" s="10">
        <f>IF(AND(ISNUMBER(L106),L106&gt;0,ISNUMBER(U106)),L106/U106*30,"")</f>
        <v/>
      </c>
      <c r="Y106" s="10">
        <f>IF(AND(ISNUMBER(L106),L106&gt;0,ISNUMBER(W106)),L106/W106*30,"")</f>
        <v/>
      </c>
      <c r="Z106" s="16" t="n"/>
      <c r="AA106" s="16" t="n"/>
      <c r="AB106" s="15" t="n"/>
      <c r="AC106" s="15" t="n"/>
      <c r="AD106" s="15" t="n"/>
      <c r="AE106" s="17" t="n"/>
      <c r="AF106" s="15" t="n"/>
      <c r="AG106" s="15" t="n"/>
      <c r="AH106" s="17" t="n"/>
      <c r="AI106" s="15" t="n"/>
      <c r="AJ106" s="15" t="n"/>
      <c r="AK106" s="15" t="n"/>
      <c r="AL106" s="17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6" t="n"/>
      <c r="M107" s="16" t="n"/>
      <c r="N107" s="16" t="n"/>
      <c r="O107" s="15" t="n"/>
      <c r="P107" s="17" t="n"/>
      <c r="Q107" s="15" t="n"/>
      <c r="R107" s="15" t="n"/>
      <c r="S107" s="15" t="n"/>
      <c r="T107" s="10">
        <f>IF(AND(ISNUMBER(L107),L107&gt;0,ISNUMBER(O107),O107&gt;0),L107/O107,"")</f>
        <v/>
      </c>
      <c r="U107" s="11">
        <f>IF(AND(ISNUMBER(O107),O107&gt;0,ISNUMBER(Q107),Q107&gt;0,OR(R107="verificata",R107="intervallo")),O107/Q107,"")</f>
        <v/>
      </c>
      <c r="V107" s="18" t="n"/>
      <c r="W107" s="11">
        <f>IF(AND(ISNUMBER(U107),ISNUMBER(V107)),U107*(1-V107),"")</f>
        <v/>
      </c>
      <c r="X107" s="10">
        <f>IF(AND(ISNUMBER(L107),L107&gt;0,ISNUMBER(U107)),L107/U107*30,"")</f>
        <v/>
      </c>
      <c r="Y107" s="10">
        <f>IF(AND(ISNUMBER(L107),L107&gt;0,ISNUMBER(W107)),L107/W107*30,"")</f>
        <v/>
      </c>
      <c r="Z107" s="16" t="n"/>
      <c r="AA107" s="16" t="n"/>
      <c r="AB107" s="15" t="n"/>
      <c r="AC107" s="15" t="n"/>
      <c r="AD107" s="15" t="n"/>
      <c r="AE107" s="17" t="n"/>
      <c r="AF107" s="15" t="n"/>
      <c r="AG107" s="15" t="n"/>
      <c r="AH107" s="17" t="n"/>
      <c r="AI107" s="15" t="n"/>
      <c r="AJ107" s="15" t="n"/>
      <c r="AK107" s="15" t="n"/>
      <c r="AL107" s="17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6" t="n"/>
      <c r="M108" s="16" t="n"/>
      <c r="N108" s="16" t="n"/>
      <c r="O108" s="15" t="n"/>
      <c r="P108" s="17" t="n"/>
      <c r="Q108" s="15" t="n"/>
      <c r="R108" s="15" t="n"/>
      <c r="S108" s="15" t="n"/>
      <c r="T108" s="10">
        <f>IF(AND(ISNUMBER(L108),L108&gt;0,ISNUMBER(O108),O108&gt;0),L108/O108,"")</f>
        <v/>
      </c>
      <c r="U108" s="11">
        <f>IF(AND(ISNUMBER(O108),O108&gt;0,ISNUMBER(Q108),Q108&gt;0,OR(R108="verificata",R108="intervallo")),O108/Q108,"")</f>
        <v/>
      </c>
      <c r="V108" s="18" t="n"/>
      <c r="W108" s="11">
        <f>IF(AND(ISNUMBER(U108),ISNUMBER(V108)),U108*(1-V108),"")</f>
        <v/>
      </c>
      <c r="X108" s="10">
        <f>IF(AND(ISNUMBER(L108),L108&gt;0,ISNUMBER(U108)),L108/U108*30,"")</f>
        <v/>
      </c>
      <c r="Y108" s="10">
        <f>IF(AND(ISNUMBER(L108),L108&gt;0,ISNUMBER(W108)),L108/W108*30,"")</f>
        <v/>
      </c>
      <c r="Z108" s="16" t="n"/>
      <c r="AA108" s="16" t="n"/>
      <c r="AB108" s="15" t="n"/>
      <c r="AC108" s="15" t="n"/>
      <c r="AD108" s="15" t="n"/>
      <c r="AE108" s="17" t="n"/>
      <c r="AF108" s="15" t="n"/>
      <c r="AG108" s="15" t="n"/>
      <c r="AH108" s="17" t="n"/>
      <c r="AI108" s="15" t="n"/>
      <c r="AJ108" s="15" t="n"/>
      <c r="AK108" s="15" t="n"/>
      <c r="AL108" s="17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6" t="n"/>
      <c r="M109" s="16" t="n"/>
      <c r="N109" s="16" t="n"/>
      <c r="O109" s="15" t="n"/>
      <c r="P109" s="17" t="n"/>
      <c r="Q109" s="15" t="n"/>
      <c r="R109" s="15" t="n"/>
      <c r="S109" s="15" t="n"/>
      <c r="T109" s="10">
        <f>IF(AND(ISNUMBER(L109),L109&gt;0,ISNUMBER(O109),O109&gt;0),L109/O109,"")</f>
        <v/>
      </c>
      <c r="U109" s="11">
        <f>IF(AND(ISNUMBER(O109),O109&gt;0,ISNUMBER(Q109),Q109&gt;0,OR(R109="verificata",R109="intervallo")),O109/Q109,"")</f>
        <v/>
      </c>
      <c r="V109" s="18" t="n"/>
      <c r="W109" s="11">
        <f>IF(AND(ISNUMBER(U109),ISNUMBER(V109)),U109*(1-V109),"")</f>
        <v/>
      </c>
      <c r="X109" s="10">
        <f>IF(AND(ISNUMBER(L109),L109&gt;0,ISNUMBER(U109)),L109/U109*30,"")</f>
        <v/>
      </c>
      <c r="Y109" s="10">
        <f>IF(AND(ISNUMBER(L109),L109&gt;0,ISNUMBER(W109)),L109/W109*30,"")</f>
        <v/>
      </c>
      <c r="Z109" s="16" t="n"/>
      <c r="AA109" s="16" t="n"/>
      <c r="AB109" s="15" t="n"/>
      <c r="AC109" s="15" t="n"/>
      <c r="AD109" s="15" t="n"/>
      <c r="AE109" s="17" t="n"/>
      <c r="AF109" s="15" t="n"/>
      <c r="AG109" s="15" t="n"/>
      <c r="AH109" s="17" t="n"/>
      <c r="AI109" s="15" t="n"/>
      <c r="AJ109" s="15" t="n"/>
      <c r="AK109" s="15" t="n"/>
      <c r="AL109" s="17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6" t="n"/>
      <c r="M110" s="16" t="n"/>
      <c r="N110" s="16" t="n"/>
      <c r="O110" s="15" t="n"/>
      <c r="P110" s="17" t="n"/>
      <c r="Q110" s="15" t="n"/>
      <c r="R110" s="15" t="n"/>
      <c r="S110" s="15" t="n"/>
      <c r="T110" s="10">
        <f>IF(AND(ISNUMBER(L110),L110&gt;0,ISNUMBER(O110),O110&gt;0),L110/O110,"")</f>
        <v/>
      </c>
      <c r="U110" s="11">
        <f>IF(AND(ISNUMBER(O110),O110&gt;0,ISNUMBER(Q110),Q110&gt;0,OR(R110="verificata",R110="intervallo")),O110/Q110,"")</f>
        <v/>
      </c>
      <c r="V110" s="18" t="n"/>
      <c r="W110" s="11">
        <f>IF(AND(ISNUMBER(U110),ISNUMBER(V110)),U110*(1-V110),"")</f>
        <v/>
      </c>
      <c r="X110" s="10">
        <f>IF(AND(ISNUMBER(L110),L110&gt;0,ISNUMBER(U110)),L110/U110*30,"")</f>
        <v/>
      </c>
      <c r="Y110" s="10">
        <f>IF(AND(ISNUMBER(L110),L110&gt;0,ISNUMBER(W110)),L110/W110*30,"")</f>
        <v/>
      </c>
      <c r="Z110" s="16" t="n"/>
      <c r="AA110" s="16" t="n"/>
      <c r="AB110" s="15" t="n"/>
      <c r="AC110" s="15" t="n"/>
      <c r="AD110" s="15" t="n"/>
      <c r="AE110" s="17" t="n"/>
      <c r="AF110" s="15" t="n"/>
      <c r="AG110" s="15" t="n"/>
      <c r="AH110" s="17" t="n"/>
      <c r="AI110" s="15" t="n"/>
      <c r="AJ110" s="15" t="n"/>
      <c r="AK110" s="15" t="n"/>
      <c r="AL110" s="17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6" t="n"/>
      <c r="M111" s="16" t="n"/>
      <c r="N111" s="16" t="n"/>
      <c r="O111" s="15" t="n"/>
      <c r="P111" s="17" t="n"/>
      <c r="Q111" s="15" t="n"/>
      <c r="R111" s="15" t="n"/>
      <c r="S111" s="15" t="n"/>
      <c r="T111" s="10">
        <f>IF(AND(ISNUMBER(L111),L111&gt;0,ISNUMBER(O111),O111&gt;0),L111/O111,"")</f>
        <v/>
      </c>
      <c r="U111" s="11">
        <f>IF(AND(ISNUMBER(O111),O111&gt;0,ISNUMBER(Q111),Q111&gt;0,OR(R111="verificata",R111="intervallo")),O111/Q111,"")</f>
        <v/>
      </c>
      <c r="V111" s="18" t="n"/>
      <c r="W111" s="11">
        <f>IF(AND(ISNUMBER(U111),ISNUMBER(V111)),U111*(1-V111),"")</f>
        <v/>
      </c>
      <c r="X111" s="10">
        <f>IF(AND(ISNUMBER(L111),L111&gt;0,ISNUMBER(U111)),L111/U111*30,"")</f>
        <v/>
      </c>
      <c r="Y111" s="10">
        <f>IF(AND(ISNUMBER(L111),L111&gt;0,ISNUMBER(W111)),L111/W111*30,"")</f>
        <v/>
      </c>
      <c r="Z111" s="16" t="n"/>
      <c r="AA111" s="16" t="n"/>
      <c r="AB111" s="15" t="n"/>
      <c r="AC111" s="15" t="n"/>
      <c r="AD111" s="15" t="n"/>
      <c r="AE111" s="17" t="n"/>
      <c r="AF111" s="15" t="n"/>
      <c r="AG111" s="15" t="n"/>
      <c r="AH111" s="17" t="n"/>
      <c r="AI111" s="15" t="n"/>
      <c r="AJ111" s="15" t="n"/>
      <c r="AK111" s="15" t="n"/>
      <c r="AL111" s="17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6" t="n"/>
      <c r="M112" s="16" t="n"/>
      <c r="N112" s="16" t="n"/>
      <c r="O112" s="15" t="n"/>
      <c r="P112" s="17" t="n"/>
      <c r="Q112" s="15" t="n"/>
      <c r="R112" s="15" t="n"/>
      <c r="S112" s="15" t="n"/>
      <c r="T112" s="10">
        <f>IF(AND(ISNUMBER(L112),L112&gt;0,ISNUMBER(O112),O112&gt;0),L112/O112,"")</f>
        <v/>
      </c>
      <c r="U112" s="11">
        <f>IF(AND(ISNUMBER(O112),O112&gt;0,ISNUMBER(Q112),Q112&gt;0,OR(R112="verificata",R112="intervallo")),O112/Q112,"")</f>
        <v/>
      </c>
      <c r="V112" s="18" t="n"/>
      <c r="W112" s="11">
        <f>IF(AND(ISNUMBER(U112),ISNUMBER(V112)),U112*(1-V112),"")</f>
        <v/>
      </c>
      <c r="X112" s="10">
        <f>IF(AND(ISNUMBER(L112),L112&gt;0,ISNUMBER(U112)),L112/U112*30,"")</f>
        <v/>
      </c>
      <c r="Y112" s="10">
        <f>IF(AND(ISNUMBER(L112),L112&gt;0,ISNUMBER(W112)),L112/W112*30,"")</f>
        <v/>
      </c>
      <c r="Z112" s="16" t="n"/>
      <c r="AA112" s="16" t="n"/>
      <c r="AB112" s="15" t="n"/>
      <c r="AC112" s="15" t="n"/>
      <c r="AD112" s="15" t="n"/>
      <c r="AE112" s="17" t="n"/>
      <c r="AF112" s="15" t="n"/>
      <c r="AG112" s="15" t="n"/>
      <c r="AH112" s="17" t="n"/>
      <c r="AI112" s="15" t="n"/>
      <c r="AJ112" s="15" t="n"/>
      <c r="AK112" s="15" t="n"/>
      <c r="AL112" s="17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6" t="n"/>
      <c r="M113" s="16" t="n"/>
      <c r="N113" s="16" t="n"/>
      <c r="O113" s="15" t="n"/>
      <c r="P113" s="17" t="n"/>
      <c r="Q113" s="15" t="n"/>
      <c r="R113" s="15" t="n"/>
      <c r="S113" s="15" t="n"/>
      <c r="T113" s="10">
        <f>IF(AND(ISNUMBER(L113),L113&gt;0,ISNUMBER(O113),O113&gt;0),L113/O113,"")</f>
        <v/>
      </c>
      <c r="U113" s="11">
        <f>IF(AND(ISNUMBER(O113),O113&gt;0,ISNUMBER(Q113),Q113&gt;0,OR(R113="verificata",R113="intervallo")),O113/Q113,"")</f>
        <v/>
      </c>
      <c r="V113" s="18" t="n"/>
      <c r="W113" s="11">
        <f>IF(AND(ISNUMBER(U113),ISNUMBER(V113)),U113*(1-V113),"")</f>
        <v/>
      </c>
      <c r="X113" s="10">
        <f>IF(AND(ISNUMBER(L113),L113&gt;0,ISNUMBER(U113)),L113/U113*30,"")</f>
        <v/>
      </c>
      <c r="Y113" s="10">
        <f>IF(AND(ISNUMBER(L113),L113&gt;0,ISNUMBER(W113)),L113/W113*30,"")</f>
        <v/>
      </c>
      <c r="Z113" s="16" t="n"/>
      <c r="AA113" s="16" t="n"/>
      <c r="AB113" s="15" t="n"/>
      <c r="AC113" s="15" t="n"/>
      <c r="AD113" s="15" t="n"/>
      <c r="AE113" s="17" t="n"/>
      <c r="AF113" s="15" t="n"/>
      <c r="AG113" s="15" t="n"/>
      <c r="AH113" s="17" t="n"/>
      <c r="AI113" s="15" t="n"/>
      <c r="AJ113" s="15" t="n"/>
      <c r="AK113" s="15" t="n"/>
      <c r="AL113" s="17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6" t="n"/>
      <c r="M114" s="16" t="n"/>
      <c r="N114" s="16" t="n"/>
      <c r="O114" s="15" t="n"/>
      <c r="P114" s="17" t="n"/>
      <c r="Q114" s="15" t="n"/>
      <c r="R114" s="15" t="n"/>
      <c r="S114" s="15" t="n"/>
      <c r="T114" s="10">
        <f>IF(AND(ISNUMBER(L114),L114&gt;0,ISNUMBER(O114),O114&gt;0),L114/O114,"")</f>
        <v/>
      </c>
      <c r="U114" s="11">
        <f>IF(AND(ISNUMBER(O114),O114&gt;0,ISNUMBER(Q114),Q114&gt;0,OR(R114="verificata",R114="intervallo")),O114/Q114,"")</f>
        <v/>
      </c>
      <c r="V114" s="18" t="n"/>
      <c r="W114" s="11">
        <f>IF(AND(ISNUMBER(U114),ISNUMBER(V114)),U114*(1-V114),"")</f>
        <v/>
      </c>
      <c r="X114" s="10">
        <f>IF(AND(ISNUMBER(L114),L114&gt;0,ISNUMBER(U114)),L114/U114*30,"")</f>
        <v/>
      </c>
      <c r="Y114" s="10">
        <f>IF(AND(ISNUMBER(L114),L114&gt;0,ISNUMBER(W114)),L114/W114*30,"")</f>
        <v/>
      </c>
      <c r="Z114" s="16" t="n"/>
      <c r="AA114" s="16" t="n"/>
      <c r="AB114" s="15" t="n"/>
      <c r="AC114" s="15" t="n"/>
      <c r="AD114" s="15" t="n"/>
      <c r="AE114" s="17" t="n"/>
      <c r="AF114" s="15" t="n"/>
      <c r="AG114" s="15" t="n"/>
      <c r="AH114" s="17" t="n"/>
      <c r="AI114" s="15" t="n"/>
      <c r="AJ114" s="15" t="n"/>
      <c r="AK114" s="15" t="n"/>
      <c r="AL114" s="17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6" t="n"/>
      <c r="M115" s="16" t="n"/>
      <c r="N115" s="16" t="n"/>
      <c r="O115" s="15" t="n"/>
      <c r="P115" s="17" t="n"/>
      <c r="Q115" s="15" t="n"/>
      <c r="R115" s="15" t="n"/>
      <c r="S115" s="15" t="n"/>
      <c r="T115" s="10">
        <f>IF(AND(ISNUMBER(L115),L115&gt;0,ISNUMBER(O115),O115&gt;0),L115/O115,"")</f>
        <v/>
      </c>
      <c r="U115" s="11">
        <f>IF(AND(ISNUMBER(O115),O115&gt;0,ISNUMBER(Q115),Q115&gt;0,OR(R115="verificata",R115="intervallo")),O115/Q115,"")</f>
        <v/>
      </c>
      <c r="V115" s="18" t="n"/>
      <c r="W115" s="11">
        <f>IF(AND(ISNUMBER(U115),ISNUMBER(V115)),U115*(1-V115),"")</f>
        <v/>
      </c>
      <c r="X115" s="10">
        <f>IF(AND(ISNUMBER(L115),L115&gt;0,ISNUMBER(U115)),L115/U115*30,"")</f>
        <v/>
      </c>
      <c r="Y115" s="10">
        <f>IF(AND(ISNUMBER(L115),L115&gt;0,ISNUMBER(W115)),L115/W115*30,"")</f>
        <v/>
      </c>
      <c r="Z115" s="16" t="n"/>
      <c r="AA115" s="16" t="n"/>
      <c r="AB115" s="15" t="n"/>
      <c r="AC115" s="15" t="n"/>
      <c r="AD115" s="15" t="n"/>
      <c r="AE115" s="17" t="n"/>
      <c r="AF115" s="15" t="n"/>
      <c r="AG115" s="15" t="n"/>
      <c r="AH115" s="17" t="n"/>
      <c r="AI115" s="15" t="n"/>
      <c r="AJ115" s="15" t="n"/>
      <c r="AK115" s="15" t="n"/>
      <c r="AL115" s="17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6" t="n"/>
      <c r="M116" s="16" t="n"/>
      <c r="N116" s="16" t="n"/>
      <c r="O116" s="15" t="n"/>
      <c r="P116" s="17" t="n"/>
      <c r="Q116" s="15" t="n"/>
      <c r="R116" s="15" t="n"/>
      <c r="S116" s="15" t="n"/>
      <c r="T116" s="10">
        <f>IF(AND(ISNUMBER(L116),L116&gt;0,ISNUMBER(O116),O116&gt;0),L116/O116,"")</f>
        <v/>
      </c>
      <c r="U116" s="11">
        <f>IF(AND(ISNUMBER(O116),O116&gt;0,ISNUMBER(Q116),Q116&gt;0,OR(R116="verificata",R116="intervallo")),O116/Q116,"")</f>
        <v/>
      </c>
      <c r="V116" s="18" t="n"/>
      <c r="W116" s="11">
        <f>IF(AND(ISNUMBER(U116),ISNUMBER(V116)),U116*(1-V116),"")</f>
        <v/>
      </c>
      <c r="X116" s="10">
        <f>IF(AND(ISNUMBER(L116),L116&gt;0,ISNUMBER(U116)),L116/U116*30,"")</f>
        <v/>
      </c>
      <c r="Y116" s="10">
        <f>IF(AND(ISNUMBER(L116),L116&gt;0,ISNUMBER(W116)),L116/W116*30,"")</f>
        <v/>
      </c>
      <c r="Z116" s="16" t="n"/>
      <c r="AA116" s="16" t="n"/>
      <c r="AB116" s="15" t="n"/>
      <c r="AC116" s="15" t="n"/>
      <c r="AD116" s="15" t="n"/>
      <c r="AE116" s="17" t="n"/>
      <c r="AF116" s="15" t="n"/>
      <c r="AG116" s="15" t="n"/>
      <c r="AH116" s="17" t="n"/>
      <c r="AI116" s="15" t="n"/>
      <c r="AJ116" s="15" t="n"/>
      <c r="AK116" s="15" t="n"/>
      <c r="AL116" s="17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6" t="n"/>
      <c r="M117" s="16" t="n"/>
      <c r="N117" s="16" t="n"/>
      <c r="O117" s="15" t="n"/>
      <c r="P117" s="17" t="n"/>
      <c r="Q117" s="15" t="n"/>
      <c r="R117" s="15" t="n"/>
      <c r="S117" s="15" t="n"/>
      <c r="T117" s="10">
        <f>IF(AND(ISNUMBER(L117),L117&gt;0,ISNUMBER(O117),O117&gt;0),L117/O117,"")</f>
        <v/>
      </c>
      <c r="U117" s="11">
        <f>IF(AND(ISNUMBER(O117),O117&gt;0,ISNUMBER(Q117),Q117&gt;0,OR(R117="verificata",R117="intervallo")),O117/Q117,"")</f>
        <v/>
      </c>
      <c r="V117" s="18" t="n"/>
      <c r="W117" s="11">
        <f>IF(AND(ISNUMBER(U117),ISNUMBER(V117)),U117*(1-V117),"")</f>
        <v/>
      </c>
      <c r="X117" s="10">
        <f>IF(AND(ISNUMBER(L117),L117&gt;0,ISNUMBER(U117)),L117/U117*30,"")</f>
        <v/>
      </c>
      <c r="Y117" s="10">
        <f>IF(AND(ISNUMBER(L117),L117&gt;0,ISNUMBER(W117)),L117/W117*30,"")</f>
        <v/>
      </c>
      <c r="Z117" s="16" t="n"/>
      <c r="AA117" s="16" t="n"/>
      <c r="AB117" s="15" t="n"/>
      <c r="AC117" s="15" t="n"/>
      <c r="AD117" s="15" t="n"/>
      <c r="AE117" s="17" t="n"/>
      <c r="AF117" s="15" t="n"/>
      <c r="AG117" s="15" t="n"/>
      <c r="AH117" s="17" t="n"/>
      <c r="AI117" s="15" t="n"/>
      <c r="AJ117" s="15" t="n"/>
      <c r="AK117" s="15" t="n"/>
      <c r="AL117" s="17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6" t="n"/>
      <c r="M118" s="16" t="n"/>
      <c r="N118" s="16" t="n"/>
      <c r="O118" s="15" t="n"/>
      <c r="P118" s="17" t="n"/>
      <c r="Q118" s="15" t="n"/>
      <c r="R118" s="15" t="n"/>
      <c r="S118" s="15" t="n"/>
      <c r="T118" s="10">
        <f>IF(AND(ISNUMBER(L118),L118&gt;0,ISNUMBER(O118),O118&gt;0),L118/O118,"")</f>
        <v/>
      </c>
      <c r="U118" s="11">
        <f>IF(AND(ISNUMBER(O118),O118&gt;0,ISNUMBER(Q118),Q118&gt;0,OR(R118="verificata",R118="intervallo")),O118/Q118,"")</f>
        <v/>
      </c>
      <c r="V118" s="18" t="n"/>
      <c r="W118" s="11">
        <f>IF(AND(ISNUMBER(U118),ISNUMBER(V118)),U118*(1-V118),"")</f>
        <v/>
      </c>
      <c r="X118" s="10">
        <f>IF(AND(ISNUMBER(L118),L118&gt;0,ISNUMBER(U118)),L118/U118*30,"")</f>
        <v/>
      </c>
      <c r="Y118" s="10">
        <f>IF(AND(ISNUMBER(L118),L118&gt;0,ISNUMBER(W118)),L118/W118*30,"")</f>
        <v/>
      </c>
      <c r="Z118" s="16" t="n"/>
      <c r="AA118" s="16" t="n"/>
      <c r="AB118" s="15" t="n"/>
      <c r="AC118" s="15" t="n"/>
      <c r="AD118" s="15" t="n"/>
      <c r="AE118" s="17" t="n"/>
      <c r="AF118" s="15" t="n"/>
      <c r="AG118" s="15" t="n"/>
      <c r="AH118" s="17" t="n"/>
      <c r="AI118" s="15" t="n"/>
      <c r="AJ118" s="15" t="n"/>
      <c r="AK118" s="15" t="n"/>
      <c r="AL118" s="17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6" t="n"/>
      <c r="M119" s="16" t="n"/>
      <c r="N119" s="16" t="n"/>
      <c r="O119" s="15" t="n"/>
      <c r="P119" s="17" t="n"/>
      <c r="Q119" s="15" t="n"/>
      <c r="R119" s="15" t="n"/>
      <c r="S119" s="15" t="n"/>
      <c r="T119" s="10">
        <f>IF(AND(ISNUMBER(L119),L119&gt;0,ISNUMBER(O119),O119&gt;0),L119/O119,"")</f>
        <v/>
      </c>
      <c r="U119" s="11">
        <f>IF(AND(ISNUMBER(O119),O119&gt;0,ISNUMBER(Q119),Q119&gt;0,OR(R119="verificata",R119="intervallo")),O119/Q119,"")</f>
        <v/>
      </c>
      <c r="V119" s="18" t="n"/>
      <c r="W119" s="11">
        <f>IF(AND(ISNUMBER(U119),ISNUMBER(V119)),U119*(1-V119),"")</f>
        <v/>
      </c>
      <c r="X119" s="10">
        <f>IF(AND(ISNUMBER(L119),L119&gt;0,ISNUMBER(U119)),L119/U119*30,"")</f>
        <v/>
      </c>
      <c r="Y119" s="10">
        <f>IF(AND(ISNUMBER(L119),L119&gt;0,ISNUMBER(W119)),L119/W119*30,"")</f>
        <v/>
      </c>
      <c r="Z119" s="16" t="n"/>
      <c r="AA119" s="16" t="n"/>
      <c r="AB119" s="15" t="n"/>
      <c r="AC119" s="15" t="n"/>
      <c r="AD119" s="15" t="n"/>
      <c r="AE119" s="17" t="n"/>
      <c r="AF119" s="15" t="n"/>
      <c r="AG119" s="15" t="n"/>
      <c r="AH119" s="17" t="n"/>
      <c r="AI119" s="15" t="n"/>
      <c r="AJ119" s="15" t="n"/>
      <c r="AK119" s="15" t="n"/>
      <c r="AL119" s="17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6" t="n"/>
      <c r="M120" s="16" t="n"/>
      <c r="N120" s="16" t="n"/>
      <c r="O120" s="15" t="n"/>
      <c r="P120" s="17" t="n"/>
      <c r="Q120" s="15" t="n"/>
      <c r="R120" s="15" t="n"/>
      <c r="S120" s="15" t="n"/>
      <c r="T120" s="10">
        <f>IF(AND(ISNUMBER(L120),L120&gt;0,ISNUMBER(O120),O120&gt;0),L120/O120,"")</f>
        <v/>
      </c>
      <c r="U120" s="11">
        <f>IF(AND(ISNUMBER(O120),O120&gt;0,ISNUMBER(Q120),Q120&gt;0,OR(R120="verificata",R120="intervallo")),O120/Q120,"")</f>
        <v/>
      </c>
      <c r="V120" s="18" t="n"/>
      <c r="W120" s="11">
        <f>IF(AND(ISNUMBER(U120),ISNUMBER(V120)),U120*(1-V120),"")</f>
        <v/>
      </c>
      <c r="X120" s="10">
        <f>IF(AND(ISNUMBER(L120),L120&gt;0,ISNUMBER(U120)),L120/U120*30,"")</f>
        <v/>
      </c>
      <c r="Y120" s="10">
        <f>IF(AND(ISNUMBER(L120),L120&gt;0,ISNUMBER(W120)),L120/W120*30,"")</f>
        <v/>
      </c>
      <c r="Z120" s="16" t="n"/>
      <c r="AA120" s="16" t="n"/>
      <c r="AB120" s="15" t="n"/>
      <c r="AC120" s="15" t="n"/>
      <c r="AD120" s="15" t="n"/>
      <c r="AE120" s="17" t="n"/>
      <c r="AF120" s="15" t="n"/>
      <c r="AG120" s="15" t="n"/>
      <c r="AH120" s="17" t="n"/>
      <c r="AI120" s="15" t="n"/>
      <c r="AJ120" s="15" t="n"/>
      <c r="AK120" s="15" t="n"/>
      <c r="AL120" s="17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6" t="n"/>
      <c r="M121" s="16" t="n"/>
      <c r="N121" s="16" t="n"/>
      <c r="O121" s="15" t="n"/>
      <c r="P121" s="17" t="n"/>
      <c r="Q121" s="15" t="n"/>
      <c r="R121" s="15" t="n"/>
      <c r="S121" s="15" t="n"/>
      <c r="T121" s="10">
        <f>IF(AND(ISNUMBER(L121),L121&gt;0,ISNUMBER(O121),O121&gt;0),L121/O121,"")</f>
        <v/>
      </c>
      <c r="U121" s="11">
        <f>IF(AND(ISNUMBER(O121),O121&gt;0,ISNUMBER(Q121),Q121&gt;0,OR(R121="verificata",R121="intervallo")),O121/Q121,"")</f>
        <v/>
      </c>
      <c r="V121" s="18" t="n"/>
      <c r="W121" s="11">
        <f>IF(AND(ISNUMBER(U121),ISNUMBER(V121)),U121*(1-V121),"")</f>
        <v/>
      </c>
      <c r="X121" s="10">
        <f>IF(AND(ISNUMBER(L121),L121&gt;0,ISNUMBER(U121)),L121/U121*30,"")</f>
        <v/>
      </c>
      <c r="Y121" s="10">
        <f>IF(AND(ISNUMBER(L121),L121&gt;0,ISNUMBER(W121)),L121/W121*30,"")</f>
        <v/>
      </c>
      <c r="Z121" s="16" t="n"/>
      <c r="AA121" s="16" t="n"/>
      <c r="AB121" s="15" t="n"/>
      <c r="AC121" s="15" t="n"/>
      <c r="AD121" s="15" t="n"/>
      <c r="AE121" s="17" t="n"/>
      <c r="AF121" s="15" t="n"/>
      <c r="AG121" s="15" t="n"/>
      <c r="AH121" s="17" t="n"/>
      <c r="AI121" s="15" t="n"/>
      <c r="AJ121" s="15" t="n"/>
      <c r="AK121" s="15" t="n"/>
      <c r="AL121" s="17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6" t="n"/>
      <c r="M122" s="16" t="n"/>
      <c r="N122" s="16" t="n"/>
      <c r="O122" s="15" t="n"/>
      <c r="P122" s="17" t="n"/>
      <c r="Q122" s="15" t="n"/>
      <c r="R122" s="15" t="n"/>
      <c r="S122" s="15" t="n"/>
      <c r="T122" s="10">
        <f>IF(AND(ISNUMBER(L122),L122&gt;0,ISNUMBER(O122),O122&gt;0),L122/O122,"")</f>
        <v/>
      </c>
      <c r="U122" s="11">
        <f>IF(AND(ISNUMBER(O122),O122&gt;0,ISNUMBER(Q122),Q122&gt;0,OR(R122="verificata",R122="intervallo")),O122/Q122,"")</f>
        <v/>
      </c>
      <c r="V122" s="18" t="n"/>
      <c r="W122" s="11">
        <f>IF(AND(ISNUMBER(U122),ISNUMBER(V122)),U122*(1-V122),"")</f>
        <v/>
      </c>
      <c r="X122" s="10">
        <f>IF(AND(ISNUMBER(L122),L122&gt;0,ISNUMBER(U122)),L122/U122*30,"")</f>
        <v/>
      </c>
      <c r="Y122" s="10">
        <f>IF(AND(ISNUMBER(L122),L122&gt;0,ISNUMBER(W122)),L122/W122*30,"")</f>
        <v/>
      </c>
      <c r="Z122" s="16" t="n"/>
      <c r="AA122" s="16" t="n"/>
      <c r="AB122" s="15" t="n"/>
      <c r="AC122" s="15" t="n"/>
      <c r="AD122" s="15" t="n"/>
      <c r="AE122" s="17" t="n"/>
      <c r="AF122" s="15" t="n"/>
      <c r="AG122" s="15" t="n"/>
      <c r="AH122" s="17" t="n"/>
      <c r="AI122" s="15" t="n"/>
      <c r="AJ122" s="15" t="n"/>
      <c r="AK122" s="15" t="n"/>
      <c r="AL122" s="17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6" t="n"/>
      <c r="M123" s="16" t="n"/>
      <c r="N123" s="16" t="n"/>
      <c r="O123" s="15" t="n"/>
      <c r="P123" s="17" t="n"/>
      <c r="Q123" s="15" t="n"/>
      <c r="R123" s="15" t="n"/>
      <c r="S123" s="15" t="n"/>
      <c r="T123" s="10">
        <f>IF(AND(ISNUMBER(L123),L123&gt;0,ISNUMBER(O123),O123&gt;0),L123/O123,"")</f>
        <v/>
      </c>
      <c r="U123" s="11">
        <f>IF(AND(ISNUMBER(O123),O123&gt;0,ISNUMBER(Q123),Q123&gt;0,OR(R123="verificata",R123="intervallo")),O123/Q123,"")</f>
        <v/>
      </c>
      <c r="V123" s="18" t="n"/>
      <c r="W123" s="11">
        <f>IF(AND(ISNUMBER(U123),ISNUMBER(V123)),U123*(1-V123),"")</f>
        <v/>
      </c>
      <c r="X123" s="10">
        <f>IF(AND(ISNUMBER(L123),L123&gt;0,ISNUMBER(U123)),L123/U123*30,"")</f>
        <v/>
      </c>
      <c r="Y123" s="10">
        <f>IF(AND(ISNUMBER(L123),L123&gt;0,ISNUMBER(W123)),L123/W123*30,"")</f>
        <v/>
      </c>
      <c r="Z123" s="16" t="n"/>
      <c r="AA123" s="16" t="n"/>
      <c r="AB123" s="15" t="n"/>
      <c r="AC123" s="15" t="n"/>
      <c r="AD123" s="15" t="n"/>
      <c r="AE123" s="17" t="n"/>
      <c r="AF123" s="15" t="n"/>
      <c r="AG123" s="15" t="n"/>
      <c r="AH123" s="17" t="n"/>
      <c r="AI123" s="15" t="n"/>
      <c r="AJ123" s="15" t="n"/>
      <c r="AK123" s="15" t="n"/>
      <c r="AL123" s="17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6" t="n"/>
      <c r="M124" s="16" t="n"/>
      <c r="N124" s="16" t="n"/>
      <c r="O124" s="15" t="n"/>
      <c r="P124" s="17" t="n"/>
      <c r="Q124" s="15" t="n"/>
      <c r="R124" s="15" t="n"/>
      <c r="S124" s="15" t="n"/>
      <c r="T124" s="10">
        <f>IF(AND(ISNUMBER(L124),L124&gt;0,ISNUMBER(O124),O124&gt;0),L124/O124,"")</f>
        <v/>
      </c>
      <c r="U124" s="11">
        <f>IF(AND(ISNUMBER(O124),O124&gt;0,ISNUMBER(Q124),Q124&gt;0,OR(R124="verificata",R124="intervallo")),O124/Q124,"")</f>
        <v/>
      </c>
      <c r="V124" s="18" t="n"/>
      <c r="W124" s="11">
        <f>IF(AND(ISNUMBER(U124),ISNUMBER(V124)),U124*(1-V124),"")</f>
        <v/>
      </c>
      <c r="X124" s="10">
        <f>IF(AND(ISNUMBER(L124),L124&gt;0,ISNUMBER(U124)),L124/U124*30,"")</f>
        <v/>
      </c>
      <c r="Y124" s="10">
        <f>IF(AND(ISNUMBER(L124),L124&gt;0,ISNUMBER(W124)),L124/W124*30,"")</f>
        <v/>
      </c>
      <c r="Z124" s="16" t="n"/>
      <c r="AA124" s="16" t="n"/>
      <c r="AB124" s="15" t="n"/>
      <c r="AC124" s="15" t="n"/>
      <c r="AD124" s="15" t="n"/>
      <c r="AE124" s="17" t="n"/>
      <c r="AF124" s="15" t="n"/>
      <c r="AG124" s="15" t="n"/>
      <c r="AH124" s="17" t="n"/>
      <c r="AI124" s="15" t="n"/>
      <c r="AJ124" s="15" t="n"/>
      <c r="AK124" s="15" t="n"/>
      <c r="AL124" s="17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6" t="n"/>
      <c r="M125" s="16" t="n"/>
      <c r="N125" s="16" t="n"/>
      <c r="O125" s="15" t="n"/>
      <c r="P125" s="17" t="n"/>
      <c r="Q125" s="15" t="n"/>
      <c r="R125" s="15" t="n"/>
      <c r="S125" s="15" t="n"/>
      <c r="T125" s="10">
        <f>IF(AND(ISNUMBER(L125),L125&gt;0,ISNUMBER(O125),O125&gt;0),L125/O125,"")</f>
        <v/>
      </c>
      <c r="U125" s="11">
        <f>IF(AND(ISNUMBER(O125),O125&gt;0,ISNUMBER(Q125),Q125&gt;0,OR(R125="verificata",R125="intervallo")),O125/Q125,"")</f>
        <v/>
      </c>
      <c r="V125" s="18" t="n"/>
      <c r="W125" s="11">
        <f>IF(AND(ISNUMBER(U125),ISNUMBER(V125)),U125*(1-V125),"")</f>
        <v/>
      </c>
      <c r="X125" s="10">
        <f>IF(AND(ISNUMBER(L125),L125&gt;0,ISNUMBER(U125)),L125/U125*30,"")</f>
        <v/>
      </c>
      <c r="Y125" s="10">
        <f>IF(AND(ISNUMBER(L125),L125&gt;0,ISNUMBER(W125)),L125/W125*30,"")</f>
        <v/>
      </c>
      <c r="Z125" s="16" t="n"/>
      <c r="AA125" s="16" t="n"/>
      <c r="AB125" s="15" t="n"/>
      <c r="AC125" s="15" t="n"/>
      <c r="AD125" s="15" t="n"/>
      <c r="AE125" s="17" t="n"/>
      <c r="AF125" s="15" t="n"/>
      <c r="AG125" s="15" t="n"/>
      <c r="AH125" s="17" t="n"/>
      <c r="AI125" s="15" t="n"/>
      <c r="AJ125" s="15" t="n"/>
      <c r="AK125" s="15" t="n"/>
      <c r="AL125" s="17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6" t="n"/>
      <c r="M126" s="16" t="n"/>
      <c r="N126" s="16" t="n"/>
      <c r="O126" s="15" t="n"/>
      <c r="P126" s="17" t="n"/>
      <c r="Q126" s="15" t="n"/>
      <c r="R126" s="15" t="n"/>
      <c r="S126" s="15" t="n"/>
      <c r="T126" s="10">
        <f>IF(AND(ISNUMBER(L126),L126&gt;0,ISNUMBER(O126),O126&gt;0),L126/O126,"")</f>
        <v/>
      </c>
      <c r="U126" s="11">
        <f>IF(AND(ISNUMBER(O126),O126&gt;0,ISNUMBER(Q126),Q126&gt;0,OR(R126="verificata",R126="intervallo")),O126/Q126,"")</f>
        <v/>
      </c>
      <c r="V126" s="18" t="n"/>
      <c r="W126" s="11">
        <f>IF(AND(ISNUMBER(U126),ISNUMBER(V126)),U126*(1-V126),"")</f>
        <v/>
      </c>
      <c r="X126" s="10">
        <f>IF(AND(ISNUMBER(L126),L126&gt;0,ISNUMBER(U126)),L126/U126*30,"")</f>
        <v/>
      </c>
      <c r="Y126" s="10">
        <f>IF(AND(ISNUMBER(L126),L126&gt;0,ISNUMBER(W126)),L126/W126*30,"")</f>
        <v/>
      </c>
      <c r="Z126" s="16" t="n"/>
      <c r="AA126" s="16" t="n"/>
      <c r="AB126" s="15" t="n"/>
      <c r="AC126" s="15" t="n"/>
      <c r="AD126" s="15" t="n"/>
      <c r="AE126" s="17" t="n"/>
      <c r="AF126" s="15" t="n"/>
      <c r="AG126" s="15" t="n"/>
      <c r="AH126" s="17" t="n"/>
      <c r="AI126" s="15" t="n"/>
      <c r="AJ126" s="15" t="n"/>
      <c r="AK126" s="15" t="n"/>
      <c r="AL126" s="17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6" t="n"/>
      <c r="M127" s="16" t="n"/>
      <c r="N127" s="16" t="n"/>
      <c r="O127" s="15" t="n"/>
      <c r="P127" s="17" t="n"/>
      <c r="Q127" s="15" t="n"/>
      <c r="R127" s="15" t="n"/>
      <c r="S127" s="15" t="n"/>
      <c r="T127" s="10">
        <f>IF(AND(ISNUMBER(L127),L127&gt;0,ISNUMBER(O127),O127&gt;0),L127/O127,"")</f>
        <v/>
      </c>
      <c r="U127" s="11">
        <f>IF(AND(ISNUMBER(O127),O127&gt;0,ISNUMBER(Q127),Q127&gt;0,OR(R127="verificata",R127="intervallo")),O127/Q127,"")</f>
        <v/>
      </c>
      <c r="V127" s="18" t="n"/>
      <c r="W127" s="11">
        <f>IF(AND(ISNUMBER(U127),ISNUMBER(V127)),U127*(1-V127),"")</f>
        <v/>
      </c>
      <c r="X127" s="10">
        <f>IF(AND(ISNUMBER(L127),L127&gt;0,ISNUMBER(U127)),L127/U127*30,"")</f>
        <v/>
      </c>
      <c r="Y127" s="10">
        <f>IF(AND(ISNUMBER(L127),L127&gt;0,ISNUMBER(W127)),L127/W127*30,"")</f>
        <v/>
      </c>
      <c r="Z127" s="16" t="n"/>
      <c r="AA127" s="16" t="n"/>
      <c r="AB127" s="15" t="n"/>
      <c r="AC127" s="15" t="n"/>
      <c r="AD127" s="15" t="n"/>
      <c r="AE127" s="17" t="n"/>
      <c r="AF127" s="15" t="n"/>
      <c r="AG127" s="15" t="n"/>
      <c r="AH127" s="17" t="n"/>
      <c r="AI127" s="15" t="n"/>
      <c r="AJ127" s="15" t="n"/>
      <c r="AK127" s="15" t="n"/>
      <c r="AL127" s="17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6" t="n"/>
      <c r="M128" s="16" t="n"/>
      <c r="N128" s="16" t="n"/>
      <c r="O128" s="15" t="n"/>
      <c r="P128" s="17" t="n"/>
      <c r="Q128" s="15" t="n"/>
      <c r="R128" s="15" t="n"/>
      <c r="S128" s="15" t="n"/>
      <c r="T128" s="10">
        <f>IF(AND(ISNUMBER(L128),L128&gt;0,ISNUMBER(O128),O128&gt;0),L128/O128,"")</f>
        <v/>
      </c>
      <c r="U128" s="11">
        <f>IF(AND(ISNUMBER(O128),O128&gt;0,ISNUMBER(Q128),Q128&gt;0,OR(R128="verificata",R128="intervallo")),O128/Q128,"")</f>
        <v/>
      </c>
      <c r="V128" s="18" t="n"/>
      <c r="W128" s="11">
        <f>IF(AND(ISNUMBER(U128),ISNUMBER(V128)),U128*(1-V128),"")</f>
        <v/>
      </c>
      <c r="X128" s="10">
        <f>IF(AND(ISNUMBER(L128),L128&gt;0,ISNUMBER(U128)),L128/U128*30,"")</f>
        <v/>
      </c>
      <c r="Y128" s="10">
        <f>IF(AND(ISNUMBER(L128),L128&gt;0,ISNUMBER(W128)),L128/W128*30,"")</f>
        <v/>
      </c>
      <c r="Z128" s="16" t="n"/>
      <c r="AA128" s="16" t="n"/>
      <c r="AB128" s="15" t="n"/>
      <c r="AC128" s="15" t="n"/>
      <c r="AD128" s="15" t="n"/>
      <c r="AE128" s="17" t="n"/>
      <c r="AF128" s="15" t="n"/>
      <c r="AG128" s="15" t="n"/>
      <c r="AH128" s="17" t="n"/>
      <c r="AI128" s="15" t="n"/>
      <c r="AJ128" s="15" t="n"/>
      <c r="AK128" s="15" t="n"/>
      <c r="AL128" s="17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6" t="n"/>
      <c r="M129" s="16" t="n"/>
      <c r="N129" s="16" t="n"/>
      <c r="O129" s="15" t="n"/>
      <c r="P129" s="17" t="n"/>
      <c r="Q129" s="15" t="n"/>
      <c r="R129" s="15" t="n"/>
      <c r="S129" s="15" t="n"/>
      <c r="T129" s="10">
        <f>IF(AND(ISNUMBER(L129),L129&gt;0,ISNUMBER(O129),O129&gt;0),L129/O129,"")</f>
        <v/>
      </c>
      <c r="U129" s="11">
        <f>IF(AND(ISNUMBER(O129),O129&gt;0,ISNUMBER(Q129),Q129&gt;0,OR(R129="verificata",R129="intervallo")),O129/Q129,"")</f>
        <v/>
      </c>
      <c r="V129" s="18" t="n"/>
      <c r="W129" s="11">
        <f>IF(AND(ISNUMBER(U129),ISNUMBER(V129)),U129*(1-V129),"")</f>
        <v/>
      </c>
      <c r="X129" s="10">
        <f>IF(AND(ISNUMBER(L129),L129&gt;0,ISNUMBER(U129)),L129/U129*30,"")</f>
        <v/>
      </c>
      <c r="Y129" s="10">
        <f>IF(AND(ISNUMBER(L129),L129&gt;0,ISNUMBER(W129)),L129/W129*30,"")</f>
        <v/>
      </c>
      <c r="Z129" s="16" t="n"/>
      <c r="AA129" s="16" t="n"/>
      <c r="AB129" s="15" t="n"/>
      <c r="AC129" s="15" t="n"/>
      <c r="AD129" s="15" t="n"/>
      <c r="AE129" s="17" t="n"/>
      <c r="AF129" s="15" t="n"/>
      <c r="AG129" s="15" t="n"/>
      <c r="AH129" s="17" t="n"/>
      <c r="AI129" s="15" t="n"/>
      <c r="AJ129" s="15" t="n"/>
      <c r="AK129" s="15" t="n"/>
      <c r="AL129" s="17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6" t="n"/>
      <c r="M130" s="16" t="n"/>
      <c r="N130" s="16" t="n"/>
      <c r="O130" s="15" t="n"/>
      <c r="P130" s="17" t="n"/>
      <c r="Q130" s="15" t="n"/>
      <c r="R130" s="15" t="n"/>
      <c r="S130" s="15" t="n"/>
      <c r="T130" s="10">
        <f>IF(AND(ISNUMBER(L130),L130&gt;0,ISNUMBER(O130),O130&gt;0),L130/O130,"")</f>
        <v/>
      </c>
      <c r="U130" s="11">
        <f>IF(AND(ISNUMBER(O130),O130&gt;0,ISNUMBER(Q130),Q130&gt;0,OR(R130="verificata",R130="intervallo")),O130/Q130,"")</f>
        <v/>
      </c>
      <c r="V130" s="18" t="n"/>
      <c r="W130" s="11">
        <f>IF(AND(ISNUMBER(U130),ISNUMBER(V130)),U130*(1-V130),"")</f>
        <v/>
      </c>
      <c r="X130" s="10">
        <f>IF(AND(ISNUMBER(L130),L130&gt;0,ISNUMBER(U130)),L130/U130*30,"")</f>
        <v/>
      </c>
      <c r="Y130" s="10">
        <f>IF(AND(ISNUMBER(L130),L130&gt;0,ISNUMBER(W130)),L130/W130*30,"")</f>
        <v/>
      </c>
      <c r="Z130" s="16" t="n"/>
      <c r="AA130" s="16" t="n"/>
      <c r="AB130" s="15" t="n"/>
      <c r="AC130" s="15" t="n"/>
      <c r="AD130" s="15" t="n"/>
      <c r="AE130" s="17" t="n"/>
      <c r="AF130" s="15" t="n"/>
      <c r="AG130" s="15" t="n"/>
      <c r="AH130" s="17" t="n"/>
      <c r="AI130" s="15" t="n"/>
      <c r="AJ130" s="15" t="n"/>
      <c r="AK130" s="15" t="n"/>
      <c r="AL130" s="17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6" t="n"/>
      <c r="M131" s="16" t="n"/>
      <c r="N131" s="16" t="n"/>
      <c r="O131" s="15" t="n"/>
      <c r="P131" s="17" t="n"/>
      <c r="Q131" s="15" t="n"/>
      <c r="R131" s="15" t="n"/>
      <c r="S131" s="15" t="n"/>
      <c r="T131" s="10">
        <f>IF(AND(ISNUMBER(L131),L131&gt;0,ISNUMBER(O131),O131&gt;0),L131/O131,"")</f>
        <v/>
      </c>
      <c r="U131" s="11">
        <f>IF(AND(ISNUMBER(O131),O131&gt;0,ISNUMBER(Q131),Q131&gt;0,OR(R131="verificata",R131="intervallo")),O131/Q131,"")</f>
        <v/>
      </c>
      <c r="V131" s="18" t="n"/>
      <c r="W131" s="11">
        <f>IF(AND(ISNUMBER(U131),ISNUMBER(V131)),U131*(1-V131),"")</f>
        <v/>
      </c>
      <c r="X131" s="10">
        <f>IF(AND(ISNUMBER(L131),L131&gt;0,ISNUMBER(U131)),L131/U131*30,"")</f>
        <v/>
      </c>
      <c r="Y131" s="10">
        <f>IF(AND(ISNUMBER(L131),L131&gt;0,ISNUMBER(W131)),L131/W131*30,"")</f>
        <v/>
      </c>
      <c r="Z131" s="16" t="n"/>
      <c r="AA131" s="16" t="n"/>
      <c r="AB131" s="15" t="n"/>
      <c r="AC131" s="15" t="n"/>
      <c r="AD131" s="15" t="n"/>
      <c r="AE131" s="17" t="n"/>
      <c r="AF131" s="15" t="n"/>
      <c r="AG131" s="15" t="n"/>
      <c r="AH131" s="17" t="n"/>
      <c r="AI131" s="15" t="n"/>
      <c r="AJ131" s="15" t="n"/>
      <c r="AK131" s="15" t="n"/>
      <c r="AL131" s="17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6" t="n"/>
      <c r="M132" s="16" t="n"/>
      <c r="N132" s="16" t="n"/>
      <c r="O132" s="15" t="n"/>
      <c r="P132" s="17" t="n"/>
      <c r="Q132" s="15" t="n"/>
      <c r="R132" s="15" t="n"/>
      <c r="S132" s="15" t="n"/>
      <c r="T132" s="10">
        <f>IF(AND(ISNUMBER(L132),L132&gt;0,ISNUMBER(O132),O132&gt;0),L132/O132,"")</f>
        <v/>
      </c>
      <c r="U132" s="11">
        <f>IF(AND(ISNUMBER(O132),O132&gt;0,ISNUMBER(Q132),Q132&gt;0,OR(R132="verificata",R132="intervallo")),O132/Q132,"")</f>
        <v/>
      </c>
      <c r="V132" s="18" t="n"/>
      <c r="W132" s="11">
        <f>IF(AND(ISNUMBER(U132),ISNUMBER(V132)),U132*(1-V132),"")</f>
        <v/>
      </c>
      <c r="X132" s="10">
        <f>IF(AND(ISNUMBER(L132),L132&gt;0,ISNUMBER(U132)),L132/U132*30,"")</f>
        <v/>
      </c>
      <c r="Y132" s="10">
        <f>IF(AND(ISNUMBER(L132),L132&gt;0,ISNUMBER(W132)),L132/W132*30,"")</f>
        <v/>
      </c>
      <c r="Z132" s="16" t="n"/>
      <c r="AA132" s="16" t="n"/>
      <c r="AB132" s="15" t="n"/>
      <c r="AC132" s="15" t="n"/>
      <c r="AD132" s="15" t="n"/>
      <c r="AE132" s="17" t="n"/>
      <c r="AF132" s="15" t="n"/>
      <c r="AG132" s="15" t="n"/>
      <c r="AH132" s="17" t="n"/>
      <c r="AI132" s="15" t="n"/>
      <c r="AJ132" s="15" t="n"/>
      <c r="AK132" s="15" t="n"/>
      <c r="AL132" s="17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6" t="n"/>
      <c r="M133" s="16" t="n"/>
      <c r="N133" s="16" t="n"/>
      <c r="O133" s="15" t="n"/>
      <c r="P133" s="17" t="n"/>
      <c r="Q133" s="15" t="n"/>
      <c r="R133" s="15" t="n"/>
      <c r="S133" s="15" t="n"/>
      <c r="T133" s="10">
        <f>IF(AND(ISNUMBER(L133),L133&gt;0,ISNUMBER(O133),O133&gt;0),L133/O133,"")</f>
        <v/>
      </c>
      <c r="U133" s="11">
        <f>IF(AND(ISNUMBER(O133),O133&gt;0,ISNUMBER(Q133),Q133&gt;0,OR(R133="verificata",R133="intervallo")),O133/Q133,"")</f>
        <v/>
      </c>
      <c r="V133" s="18" t="n"/>
      <c r="W133" s="11">
        <f>IF(AND(ISNUMBER(U133),ISNUMBER(V133)),U133*(1-V133),"")</f>
        <v/>
      </c>
      <c r="X133" s="10">
        <f>IF(AND(ISNUMBER(L133),L133&gt;0,ISNUMBER(U133)),L133/U133*30,"")</f>
        <v/>
      </c>
      <c r="Y133" s="10">
        <f>IF(AND(ISNUMBER(L133),L133&gt;0,ISNUMBER(W133)),L133/W133*30,"")</f>
        <v/>
      </c>
      <c r="Z133" s="16" t="n"/>
      <c r="AA133" s="16" t="n"/>
      <c r="AB133" s="15" t="n"/>
      <c r="AC133" s="15" t="n"/>
      <c r="AD133" s="15" t="n"/>
      <c r="AE133" s="17" t="n"/>
      <c r="AF133" s="15" t="n"/>
      <c r="AG133" s="15" t="n"/>
      <c r="AH133" s="17" t="n"/>
      <c r="AI133" s="15" t="n"/>
      <c r="AJ133" s="15" t="n"/>
      <c r="AK133" s="15" t="n"/>
      <c r="AL133" s="17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6" t="n"/>
      <c r="M134" s="16" t="n"/>
      <c r="N134" s="16" t="n"/>
      <c r="O134" s="15" t="n"/>
      <c r="P134" s="17" t="n"/>
      <c r="Q134" s="15" t="n"/>
      <c r="R134" s="15" t="n"/>
      <c r="S134" s="15" t="n"/>
      <c r="T134" s="10">
        <f>IF(AND(ISNUMBER(L134),L134&gt;0,ISNUMBER(O134),O134&gt;0),L134/O134,"")</f>
        <v/>
      </c>
      <c r="U134" s="11">
        <f>IF(AND(ISNUMBER(O134),O134&gt;0,ISNUMBER(Q134),Q134&gt;0,OR(R134="verificata",R134="intervallo")),O134/Q134,"")</f>
        <v/>
      </c>
      <c r="V134" s="18" t="n"/>
      <c r="W134" s="11">
        <f>IF(AND(ISNUMBER(U134),ISNUMBER(V134)),U134*(1-V134),"")</f>
        <v/>
      </c>
      <c r="X134" s="10">
        <f>IF(AND(ISNUMBER(L134),L134&gt;0,ISNUMBER(U134)),L134/U134*30,"")</f>
        <v/>
      </c>
      <c r="Y134" s="10">
        <f>IF(AND(ISNUMBER(L134),L134&gt;0,ISNUMBER(W134)),L134/W134*30,"")</f>
        <v/>
      </c>
      <c r="Z134" s="16" t="n"/>
      <c r="AA134" s="16" t="n"/>
      <c r="AB134" s="15" t="n"/>
      <c r="AC134" s="15" t="n"/>
      <c r="AD134" s="15" t="n"/>
      <c r="AE134" s="17" t="n"/>
      <c r="AF134" s="15" t="n"/>
      <c r="AG134" s="15" t="n"/>
      <c r="AH134" s="17" t="n"/>
      <c r="AI134" s="15" t="n"/>
      <c r="AJ134" s="15" t="n"/>
      <c r="AK134" s="15" t="n"/>
      <c r="AL134" s="17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6" t="n"/>
      <c r="M135" s="16" t="n"/>
      <c r="N135" s="16" t="n"/>
      <c r="O135" s="15" t="n"/>
      <c r="P135" s="17" t="n"/>
      <c r="Q135" s="15" t="n"/>
      <c r="R135" s="15" t="n"/>
      <c r="S135" s="15" t="n"/>
      <c r="T135" s="10">
        <f>IF(AND(ISNUMBER(L135),L135&gt;0,ISNUMBER(O135),O135&gt;0),L135/O135,"")</f>
        <v/>
      </c>
      <c r="U135" s="11">
        <f>IF(AND(ISNUMBER(O135),O135&gt;0,ISNUMBER(Q135),Q135&gt;0,OR(R135="verificata",R135="intervallo")),O135/Q135,"")</f>
        <v/>
      </c>
      <c r="V135" s="18" t="n"/>
      <c r="W135" s="11">
        <f>IF(AND(ISNUMBER(U135),ISNUMBER(V135)),U135*(1-V135),"")</f>
        <v/>
      </c>
      <c r="X135" s="10">
        <f>IF(AND(ISNUMBER(L135),L135&gt;0,ISNUMBER(U135)),L135/U135*30,"")</f>
        <v/>
      </c>
      <c r="Y135" s="10">
        <f>IF(AND(ISNUMBER(L135),L135&gt;0,ISNUMBER(W135)),L135/W135*30,"")</f>
        <v/>
      </c>
      <c r="Z135" s="16" t="n"/>
      <c r="AA135" s="16" t="n"/>
      <c r="AB135" s="15" t="n"/>
      <c r="AC135" s="15" t="n"/>
      <c r="AD135" s="15" t="n"/>
      <c r="AE135" s="17" t="n"/>
      <c r="AF135" s="15" t="n"/>
      <c r="AG135" s="15" t="n"/>
      <c r="AH135" s="17" t="n"/>
      <c r="AI135" s="15" t="n"/>
      <c r="AJ135" s="15" t="n"/>
      <c r="AK135" s="15" t="n"/>
      <c r="AL135" s="17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6" t="n"/>
      <c r="M136" s="16" t="n"/>
      <c r="N136" s="16" t="n"/>
      <c r="O136" s="15" t="n"/>
      <c r="P136" s="17" t="n"/>
      <c r="Q136" s="15" t="n"/>
      <c r="R136" s="15" t="n"/>
      <c r="S136" s="15" t="n"/>
      <c r="T136" s="10">
        <f>IF(AND(ISNUMBER(L136),L136&gt;0,ISNUMBER(O136),O136&gt;0),L136/O136,"")</f>
        <v/>
      </c>
      <c r="U136" s="11">
        <f>IF(AND(ISNUMBER(O136),O136&gt;0,ISNUMBER(Q136),Q136&gt;0,OR(R136="verificata",R136="intervallo")),O136/Q136,"")</f>
        <v/>
      </c>
      <c r="V136" s="18" t="n"/>
      <c r="W136" s="11">
        <f>IF(AND(ISNUMBER(U136),ISNUMBER(V136)),U136*(1-V136),"")</f>
        <v/>
      </c>
      <c r="X136" s="10">
        <f>IF(AND(ISNUMBER(L136),L136&gt;0,ISNUMBER(U136)),L136/U136*30,"")</f>
        <v/>
      </c>
      <c r="Y136" s="10">
        <f>IF(AND(ISNUMBER(L136),L136&gt;0,ISNUMBER(W136)),L136/W136*30,"")</f>
        <v/>
      </c>
      <c r="Z136" s="16" t="n"/>
      <c r="AA136" s="16" t="n"/>
      <c r="AB136" s="15" t="n"/>
      <c r="AC136" s="15" t="n"/>
      <c r="AD136" s="15" t="n"/>
      <c r="AE136" s="17" t="n"/>
      <c r="AF136" s="15" t="n"/>
      <c r="AG136" s="15" t="n"/>
      <c r="AH136" s="17" t="n"/>
      <c r="AI136" s="15" t="n"/>
      <c r="AJ136" s="15" t="n"/>
      <c r="AK136" s="15" t="n"/>
      <c r="AL136" s="17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6" t="n"/>
      <c r="M137" s="16" t="n"/>
      <c r="N137" s="16" t="n"/>
      <c r="O137" s="15" t="n"/>
      <c r="P137" s="17" t="n"/>
      <c r="Q137" s="15" t="n"/>
      <c r="R137" s="15" t="n"/>
      <c r="S137" s="15" t="n"/>
      <c r="T137" s="10">
        <f>IF(AND(ISNUMBER(L137),L137&gt;0,ISNUMBER(O137),O137&gt;0),L137/O137,"")</f>
        <v/>
      </c>
      <c r="U137" s="11">
        <f>IF(AND(ISNUMBER(O137),O137&gt;0,ISNUMBER(Q137),Q137&gt;0,OR(R137="verificata",R137="intervallo")),O137/Q137,"")</f>
        <v/>
      </c>
      <c r="V137" s="18" t="n"/>
      <c r="W137" s="11">
        <f>IF(AND(ISNUMBER(U137),ISNUMBER(V137)),U137*(1-V137),"")</f>
        <v/>
      </c>
      <c r="X137" s="10">
        <f>IF(AND(ISNUMBER(L137),L137&gt;0,ISNUMBER(U137)),L137/U137*30,"")</f>
        <v/>
      </c>
      <c r="Y137" s="10">
        <f>IF(AND(ISNUMBER(L137),L137&gt;0,ISNUMBER(W137)),L137/W137*30,"")</f>
        <v/>
      </c>
      <c r="Z137" s="16" t="n"/>
      <c r="AA137" s="16" t="n"/>
      <c r="AB137" s="15" t="n"/>
      <c r="AC137" s="15" t="n"/>
      <c r="AD137" s="15" t="n"/>
      <c r="AE137" s="17" t="n"/>
      <c r="AF137" s="15" t="n"/>
      <c r="AG137" s="15" t="n"/>
      <c r="AH137" s="17" t="n"/>
      <c r="AI137" s="15" t="n"/>
      <c r="AJ137" s="15" t="n"/>
      <c r="AK137" s="15" t="n"/>
      <c r="AL137" s="17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6" t="n"/>
      <c r="M138" s="16" t="n"/>
      <c r="N138" s="16" t="n"/>
      <c r="O138" s="15" t="n"/>
      <c r="P138" s="17" t="n"/>
      <c r="Q138" s="15" t="n"/>
      <c r="R138" s="15" t="n"/>
      <c r="S138" s="15" t="n"/>
      <c r="T138" s="10">
        <f>IF(AND(ISNUMBER(L138),L138&gt;0,ISNUMBER(O138),O138&gt;0),L138/O138,"")</f>
        <v/>
      </c>
      <c r="U138" s="11">
        <f>IF(AND(ISNUMBER(O138),O138&gt;0,ISNUMBER(Q138),Q138&gt;0,OR(R138="verificata",R138="intervallo")),O138/Q138,"")</f>
        <v/>
      </c>
      <c r="V138" s="18" t="n"/>
      <c r="W138" s="11">
        <f>IF(AND(ISNUMBER(U138),ISNUMBER(V138)),U138*(1-V138),"")</f>
        <v/>
      </c>
      <c r="X138" s="10">
        <f>IF(AND(ISNUMBER(L138),L138&gt;0,ISNUMBER(U138)),L138/U138*30,"")</f>
        <v/>
      </c>
      <c r="Y138" s="10">
        <f>IF(AND(ISNUMBER(L138),L138&gt;0,ISNUMBER(W138)),L138/W138*30,"")</f>
        <v/>
      </c>
      <c r="Z138" s="16" t="n"/>
      <c r="AA138" s="16" t="n"/>
      <c r="AB138" s="15" t="n"/>
      <c r="AC138" s="15" t="n"/>
      <c r="AD138" s="15" t="n"/>
      <c r="AE138" s="17" t="n"/>
      <c r="AF138" s="15" t="n"/>
      <c r="AG138" s="15" t="n"/>
      <c r="AH138" s="17" t="n"/>
      <c r="AI138" s="15" t="n"/>
      <c r="AJ138" s="15" t="n"/>
      <c r="AK138" s="15" t="n"/>
      <c r="AL138" s="17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6" t="n"/>
      <c r="M139" s="16" t="n"/>
      <c r="N139" s="16" t="n"/>
      <c r="O139" s="15" t="n"/>
      <c r="P139" s="17" t="n"/>
      <c r="Q139" s="15" t="n"/>
      <c r="R139" s="15" t="n"/>
      <c r="S139" s="15" t="n"/>
      <c r="T139" s="10">
        <f>IF(AND(ISNUMBER(L139),L139&gt;0,ISNUMBER(O139),O139&gt;0),L139/O139,"")</f>
        <v/>
      </c>
      <c r="U139" s="11">
        <f>IF(AND(ISNUMBER(O139),O139&gt;0,ISNUMBER(Q139),Q139&gt;0,OR(R139="verificata",R139="intervallo")),O139/Q139,"")</f>
        <v/>
      </c>
      <c r="V139" s="18" t="n"/>
      <c r="W139" s="11">
        <f>IF(AND(ISNUMBER(U139),ISNUMBER(V139)),U139*(1-V139),"")</f>
        <v/>
      </c>
      <c r="X139" s="10">
        <f>IF(AND(ISNUMBER(L139),L139&gt;0,ISNUMBER(U139)),L139/U139*30,"")</f>
        <v/>
      </c>
      <c r="Y139" s="10">
        <f>IF(AND(ISNUMBER(L139),L139&gt;0,ISNUMBER(W139)),L139/W139*30,"")</f>
        <v/>
      </c>
      <c r="Z139" s="16" t="n"/>
      <c r="AA139" s="16" t="n"/>
      <c r="AB139" s="15" t="n"/>
      <c r="AC139" s="15" t="n"/>
      <c r="AD139" s="15" t="n"/>
      <c r="AE139" s="17" t="n"/>
      <c r="AF139" s="15" t="n"/>
      <c r="AG139" s="15" t="n"/>
      <c r="AH139" s="17" t="n"/>
      <c r="AI139" s="15" t="n"/>
      <c r="AJ139" s="15" t="n"/>
      <c r="AK139" s="15" t="n"/>
      <c r="AL139" s="17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6" t="n"/>
      <c r="M140" s="16" t="n"/>
      <c r="N140" s="16" t="n"/>
      <c r="O140" s="15" t="n"/>
      <c r="P140" s="17" t="n"/>
      <c r="Q140" s="15" t="n"/>
      <c r="R140" s="15" t="n"/>
      <c r="S140" s="15" t="n"/>
      <c r="T140" s="10">
        <f>IF(AND(ISNUMBER(L140),L140&gt;0,ISNUMBER(O140),O140&gt;0),L140/O140,"")</f>
        <v/>
      </c>
      <c r="U140" s="11">
        <f>IF(AND(ISNUMBER(O140),O140&gt;0,ISNUMBER(Q140),Q140&gt;0,OR(R140="verificata",R140="intervallo")),O140/Q140,"")</f>
        <v/>
      </c>
      <c r="V140" s="18" t="n"/>
      <c r="W140" s="11">
        <f>IF(AND(ISNUMBER(U140),ISNUMBER(V140)),U140*(1-V140),"")</f>
        <v/>
      </c>
      <c r="X140" s="10">
        <f>IF(AND(ISNUMBER(L140),L140&gt;0,ISNUMBER(U140)),L140/U140*30,"")</f>
        <v/>
      </c>
      <c r="Y140" s="10">
        <f>IF(AND(ISNUMBER(L140),L140&gt;0,ISNUMBER(W140)),L140/W140*30,"")</f>
        <v/>
      </c>
      <c r="Z140" s="16" t="n"/>
      <c r="AA140" s="16" t="n"/>
      <c r="AB140" s="15" t="n"/>
      <c r="AC140" s="15" t="n"/>
      <c r="AD140" s="15" t="n"/>
      <c r="AE140" s="17" t="n"/>
      <c r="AF140" s="15" t="n"/>
      <c r="AG140" s="15" t="n"/>
      <c r="AH140" s="17" t="n"/>
      <c r="AI140" s="15" t="n"/>
      <c r="AJ140" s="15" t="n"/>
      <c r="AK140" s="15" t="n"/>
      <c r="AL140" s="17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6" t="n"/>
      <c r="M141" s="16" t="n"/>
      <c r="N141" s="16" t="n"/>
      <c r="O141" s="15" t="n"/>
      <c r="P141" s="17" t="n"/>
      <c r="Q141" s="15" t="n"/>
      <c r="R141" s="15" t="n"/>
      <c r="S141" s="15" t="n"/>
      <c r="T141" s="10">
        <f>IF(AND(ISNUMBER(L141),L141&gt;0,ISNUMBER(O141),O141&gt;0),L141/O141,"")</f>
        <v/>
      </c>
      <c r="U141" s="11">
        <f>IF(AND(ISNUMBER(O141),O141&gt;0,ISNUMBER(Q141),Q141&gt;0,OR(R141="verificata",R141="intervallo")),O141/Q141,"")</f>
        <v/>
      </c>
      <c r="V141" s="18" t="n"/>
      <c r="W141" s="11">
        <f>IF(AND(ISNUMBER(U141),ISNUMBER(V141)),U141*(1-V141),"")</f>
        <v/>
      </c>
      <c r="X141" s="10">
        <f>IF(AND(ISNUMBER(L141),L141&gt;0,ISNUMBER(U141)),L141/U141*30,"")</f>
        <v/>
      </c>
      <c r="Y141" s="10">
        <f>IF(AND(ISNUMBER(L141),L141&gt;0,ISNUMBER(W141)),L141/W141*30,"")</f>
        <v/>
      </c>
      <c r="Z141" s="16" t="n"/>
      <c r="AA141" s="16" t="n"/>
      <c r="AB141" s="15" t="n"/>
      <c r="AC141" s="15" t="n"/>
      <c r="AD141" s="15" t="n"/>
      <c r="AE141" s="17" t="n"/>
      <c r="AF141" s="15" t="n"/>
      <c r="AG141" s="15" t="n"/>
      <c r="AH141" s="17" t="n"/>
      <c r="AI141" s="15" t="n"/>
      <c r="AJ141" s="15" t="n"/>
      <c r="AK141" s="15" t="n"/>
      <c r="AL141" s="17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6" t="n"/>
      <c r="M142" s="16" t="n"/>
      <c r="N142" s="16" t="n"/>
      <c r="O142" s="15" t="n"/>
      <c r="P142" s="17" t="n"/>
      <c r="Q142" s="15" t="n"/>
      <c r="R142" s="15" t="n"/>
      <c r="S142" s="15" t="n"/>
      <c r="T142" s="10">
        <f>IF(AND(ISNUMBER(L142),L142&gt;0,ISNUMBER(O142),O142&gt;0),L142/O142,"")</f>
        <v/>
      </c>
      <c r="U142" s="11">
        <f>IF(AND(ISNUMBER(O142),O142&gt;0,ISNUMBER(Q142),Q142&gt;0,OR(R142="verificata",R142="intervallo")),O142/Q142,"")</f>
        <v/>
      </c>
      <c r="V142" s="18" t="n"/>
      <c r="W142" s="11">
        <f>IF(AND(ISNUMBER(U142),ISNUMBER(V142)),U142*(1-V142),"")</f>
        <v/>
      </c>
      <c r="X142" s="10">
        <f>IF(AND(ISNUMBER(L142),L142&gt;0,ISNUMBER(U142)),L142/U142*30,"")</f>
        <v/>
      </c>
      <c r="Y142" s="10">
        <f>IF(AND(ISNUMBER(L142),L142&gt;0,ISNUMBER(W142)),L142/W142*30,"")</f>
        <v/>
      </c>
      <c r="Z142" s="16" t="n"/>
      <c r="AA142" s="16" t="n"/>
      <c r="AB142" s="15" t="n"/>
      <c r="AC142" s="15" t="n"/>
      <c r="AD142" s="15" t="n"/>
      <c r="AE142" s="17" t="n"/>
      <c r="AF142" s="15" t="n"/>
      <c r="AG142" s="15" t="n"/>
      <c r="AH142" s="17" t="n"/>
      <c r="AI142" s="15" t="n"/>
      <c r="AJ142" s="15" t="n"/>
      <c r="AK142" s="15" t="n"/>
      <c r="AL142" s="17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6" t="n"/>
      <c r="M143" s="16" t="n"/>
      <c r="N143" s="16" t="n"/>
      <c r="O143" s="15" t="n"/>
      <c r="P143" s="17" t="n"/>
      <c r="Q143" s="15" t="n"/>
      <c r="R143" s="15" t="n"/>
      <c r="S143" s="15" t="n"/>
      <c r="T143" s="10">
        <f>IF(AND(ISNUMBER(L143),L143&gt;0,ISNUMBER(O143),O143&gt;0),L143/O143,"")</f>
        <v/>
      </c>
      <c r="U143" s="11">
        <f>IF(AND(ISNUMBER(O143),O143&gt;0,ISNUMBER(Q143),Q143&gt;0,OR(R143="verificata",R143="intervallo")),O143/Q143,"")</f>
        <v/>
      </c>
      <c r="V143" s="18" t="n"/>
      <c r="W143" s="11">
        <f>IF(AND(ISNUMBER(U143),ISNUMBER(V143)),U143*(1-V143),"")</f>
        <v/>
      </c>
      <c r="X143" s="10">
        <f>IF(AND(ISNUMBER(L143),L143&gt;0,ISNUMBER(U143)),L143/U143*30,"")</f>
        <v/>
      </c>
      <c r="Y143" s="10">
        <f>IF(AND(ISNUMBER(L143),L143&gt;0,ISNUMBER(W143)),L143/W143*30,"")</f>
        <v/>
      </c>
      <c r="Z143" s="16" t="n"/>
      <c r="AA143" s="16" t="n"/>
      <c r="AB143" s="15" t="n"/>
      <c r="AC143" s="15" t="n"/>
      <c r="AD143" s="15" t="n"/>
      <c r="AE143" s="17" t="n"/>
      <c r="AF143" s="15" t="n"/>
      <c r="AG143" s="15" t="n"/>
      <c r="AH143" s="17" t="n"/>
      <c r="AI143" s="15" t="n"/>
      <c r="AJ143" s="15" t="n"/>
      <c r="AK143" s="15" t="n"/>
      <c r="AL143" s="17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6" t="n"/>
      <c r="M144" s="16" t="n"/>
      <c r="N144" s="16" t="n"/>
      <c r="O144" s="15" t="n"/>
      <c r="P144" s="17" t="n"/>
      <c r="Q144" s="15" t="n"/>
      <c r="R144" s="15" t="n"/>
      <c r="S144" s="15" t="n"/>
      <c r="T144" s="10">
        <f>IF(AND(ISNUMBER(L144),L144&gt;0,ISNUMBER(O144),O144&gt;0),L144/O144,"")</f>
        <v/>
      </c>
      <c r="U144" s="11">
        <f>IF(AND(ISNUMBER(O144),O144&gt;0,ISNUMBER(Q144),Q144&gt;0,OR(R144="verificata",R144="intervallo")),O144/Q144,"")</f>
        <v/>
      </c>
      <c r="V144" s="18" t="n"/>
      <c r="W144" s="11">
        <f>IF(AND(ISNUMBER(U144),ISNUMBER(V144)),U144*(1-V144),"")</f>
        <v/>
      </c>
      <c r="X144" s="10">
        <f>IF(AND(ISNUMBER(L144),L144&gt;0,ISNUMBER(U144)),L144/U144*30,"")</f>
        <v/>
      </c>
      <c r="Y144" s="10">
        <f>IF(AND(ISNUMBER(L144),L144&gt;0,ISNUMBER(W144)),L144/W144*30,"")</f>
        <v/>
      </c>
      <c r="Z144" s="16" t="n"/>
      <c r="AA144" s="16" t="n"/>
      <c r="AB144" s="15" t="n"/>
      <c r="AC144" s="15" t="n"/>
      <c r="AD144" s="15" t="n"/>
      <c r="AE144" s="17" t="n"/>
      <c r="AF144" s="15" t="n"/>
      <c r="AG144" s="15" t="n"/>
      <c r="AH144" s="17" t="n"/>
      <c r="AI144" s="15" t="n"/>
      <c r="AJ144" s="15" t="n"/>
      <c r="AK144" s="15" t="n"/>
      <c r="AL144" s="17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6" t="n"/>
      <c r="M145" s="16" t="n"/>
      <c r="N145" s="16" t="n"/>
      <c r="O145" s="15" t="n"/>
      <c r="P145" s="17" t="n"/>
      <c r="Q145" s="15" t="n"/>
      <c r="R145" s="15" t="n"/>
      <c r="S145" s="15" t="n"/>
      <c r="T145" s="10">
        <f>IF(AND(ISNUMBER(L145),L145&gt;0,ISNUMBER(O145),O145&gt;0),L145/O145,"")</f>
        <v/>
      </c>
      <c r="U145" s="11">
        <f>IF(AND(ISNUMBER(O145),O145&gt;0,ISNUMBER(Q145),Q145&gt;0,OR(R145="verificata",R145="intervallo")),O145/Q145,"")</f>
        <v/>
      </c>
      <c r="V145" s="18" t="n"/>
      <c r="W145" s="11">
        <f>IF(AND(ISNUMBER(U145),ISNUMBER(V145)),U145*(1-V145),"")</f>
        <v/>
      </c>
      <c r="X145" s="10">
        <f>IF(AND(ISNUMBER(L145),L145&gt;0,ISNUMBER(U145)),L145/U145*30,"")</f>
        <v/>
      </c>
      <c r="Y145" s="10">
        <f>IF(AND(ISNUMBER(L145),L145&gt;0,ISNUMBER(W145)),L145/W145*30,"")</f>
        <v/>
      </c>
      <c r="Z145" s="16" t="n"/>
      <c r="AA145" s="16" t="n"/>
      <c r="AB145" s="15" t="n"/>
      <c r="AC145" s="15" t="n"/>
      <c r="AD145" s="15" t="n"/>
      <c r="AE145" s="17" t="n"/>
      <c r="AF145" s="15" t="n"/>
      <c r="AG145" s="15" t="n"/>
      <c r="AH145" s="17" t="n"/>
      <c r="AI145" s="15" t="n"/>
      <c r="AJ145" s="15" t="n"/>
      <c r="AK145" s="15" t="n"/>
      <c r="AL145" s="17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6" t="n"/>
      <c r="M146" s="16" t="n"/>
      <c r="N146" s="16" t="n"/>
      <c r="O146" s="15" t="n"/>
      <c r="P146" s="17" t="n"/>
      <c r="Q146" s="15" t="n"/>
      <c r="R146" s="15" t="n"/>
      <c r="S146" s="15" t="n"/>
      <c r="T146" s="10">
        <f>IF(AND(ISNUMBER(L146),L146&gt;0,ISNUMBER(O146),O146&gt;0),L146/O146,"")</f>
        <v/>
      </c>
      <c r="U146" s="11">
        <f>IF(AND(ISNUMBER(O146),O146&gt;0,ISNUMBER(Q146),Q146&gt;0,OR(R146="verificata",R146="intervallo")),O146/Q146,"")</f>
        <v/>
      </c>
      <c r="V146" s="18" t="n"/>
      <c r="W146" s="11">
        <f>IF(AND(ISNUMBER(U146),ISNUMBER(V146)),U146*(1-V146),"")</f>
        <v/>
      </c>
      <c r="X146" s="10">
        <f>IF(AND(ISNUMBER(L146),L146&gt;0,ISNUMBER(U146)),L146/U146*30,"")</f>
        <v/>
      </c>
      <c r="Y146" s="10">
        <f>IF(AND(ISNUMBER(L146),L146&gt;0,ISNUMBER(W146)),L146/W146*30,"")</f>
        <v/>
      </c>
      <c r="Z146" s="16" t="n"/>
      <c r="AA146" s="16" t="n"/>
      <c r="AB146" s="15" t="n"/>
      <c r="AC146" s="15" t="n"/>
      <c r="AD146" s="15" t="n"/>
      <c r="AE146" s="17" t="n"/>
      <c r="AF146" s="15" t="n"/>
      <c r="AG146" s="15" t="n"/>
      <c r="AH146" s="17" t="n"/>
      <c r="AI146" s="15" t="n"/>
      <c r="AJ146" s="15" t="n"/>
      <c r="AK146" s="15" t="n"/>
      <c r="AL146" s="17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6" t="n"/>
      <c r="M147" s="16" t="n"/>
      <c r="N147" s="16" t="n"/>
      <c r="O147" s="15" t="n"/>
      <c r="P147" s="17" t="n"/>
      <c r="Q147" s="15" t="n"/>
      <c r="R147" s="15" t="n"/>
      <c r="S147" s="15" t="n"/>
      <c r="T147" s="10">
        <f>IF(AND(ISNUMBER(L147),L147&gt;0,ISNUMBER(O147),O147&gt;0),L147/O147,"")</f>
        <v/>
      </c>
      <c r="U147" s="11">
        <f>IF(AND(ISNUMBER(O147),O147&gt;0,ISNUMBER(Q147),Q147&gt;0,OR(R147="verificata",R147="intervallo")),O147/Q147,"")</f>
        <v/>
      </c>
      <c r="V147" s="18" t="n"/>
      <c r="W147" s="11">
        <f>IF(AND(ISNUMBER(U147),ISNUMBER(V147)),U147*(1-V147),"")</f>
        <v/>
      </c>
      <c r="X147" s="10">
        <f>IF(AND(ISNUMBER(L147),L147&gt;0,ISNUMBER(U147)),L147/U147*30,"")</f>
        <v/>
      </c>
      <c r="Y147" s="10">
        <f>IF(AND(ISNUMBER(L147),L147&gt;0,ISNUMBER(W147)),L147/W147*30,"")</f>
        <v/>
      </c>
      <c r="Z147" s="16" t="n"/>
      <c r="AA147" s="16" t="n"/>
      <c r="AB147" s="15" t="n"/>
      <c r="AC147" s="15" t="n"/>
      <c r="AD147" s="15" t="n"/>
      <c r="AE147" s="17" t="n"/>
      <c r="AF147" s="15" t="n"/>
      <c r="AG147" s="15" t="n"/>
      <c r="AH147" s="17" t="n"/>
      <c r="AI147" s="15" t="n"/>
      <c r="AJ147" s="15" t="n"/>
      <c r="AK147" s="15" t="n"/>
      <c r="AL147" s="17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6" t="n"/>
      <c r="M148" s="16" t="n"/>
      <c r="N148" s="16" t="n"/>
      <c r="O148" s="15" t="n"/>
      <c r="P148" s="17" t="n"/>
      <c r="Q148" s="15" t="n"/>
      <c r="R148" s="15" t="n"/>
      <c r="S148" s="15" t="n"/>
      <c r="T148" s="10">
        <f>IF(AND(ISNUMBER(L148),L148&gt;0,ISNUMBER(O148),O148&gt;0),L148/O148,"")</f>
        <v/>
      </c>
      <c r="U148" s="11">
        <f>IF(AND(ISNUMBER(O148),O148&gt;0,ISNUMBER(Q148),Q148&gt;0,OR(R148="verificata",R148="intervallo")),O148/Q148,"")</f>
        <v/>
      </c>
      <c r="V148" s="18" t="n"/>
      <c r="W148" s="11">
        <f>IF(AND(ISNUMBER(U148),ISNUMBER(V148)),U148*(1-V148),"")</f>
        <v/>
      </c>
      <c r="X148" s="10">
        <f>IF(AND(ISNUMBER(L148),L148&gt;0,ISNUMBER(U148)),L148/U148*30,"")</f>
        <v/>
      </c>
      <c r="Y148" s="10">
        <f>IF(AND(ISNUMBER(L148),L148&gt;0,ISNUMBER(W148)),L148/W148*30,"")</f>
        <v/>
      </c>
      <c r="Z148" s="16" t="n"/>
      <c r="AA148" s="16" t="n"/>
      <c r="AB148" s="15" t="n"/>
      <c r="AC148" s="15" t="n"/>
      <c r="AD148" s="15" t="n"/>
      <c r="AE148" s="17" t="n"/>
      <c r="AF148" s="15" t="n"/>
      <c r="AG148" s="15" t="n"/>
      <c r="AH148" s="17" t="n"/>
      <c r="AI148" s="15" t="n"/>
      <c r="AJ148" s="15" t="n"/>
      <c r="AK148" s="15" t="n"/>
      <c r="AL148" s="17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6" t="n"/>
      <c r="M149" s="16" t="n"/>
      <c r="N149" s="16" t="n"/>
      <c r="O149" s="15" t="n"/>
      <c r="P149" s="17" t="n"/>
      <c r="Q149" s="15" t="n"/>
      <c r="R149" s="15" t="n"/>
      <c r="S149" s="15" t="n"/>
      <c r="T149" s="10">
        <f>IF(AND(ISNUMBER(L149),L149&gt;0,ISNUMBER(O149),O149&gt;0),L149/O149,"")</f>
        <v/>
      </c>
      <c r="U149" s="11">
        <f>IF(AND(ISNUMBER(O149),O149&gt;0,ISNUMBER(Q149),Q149&gt;0,OR(R149="verificata",R149="intervallo")),O149/Q149,"")</f>
        <v/>
      </c>
      <c r="V149" s="18" t="n"/>
      <c r="W149" s="11">
        <f>IF(AND(ISNUMBER(U149),ISNUMBER(V149)),U149*(1-V149),"")</f>
        <v/>
      </c>
      <c r="X149" s="10">
        <f>IF(AND(ISNUMBER(L149),L149&gt;0,ISNUMBER(U149)),L149/U149*30,"")</f>
        <v/>
      </c>
      <c r="Y149" s="10">
        <f>IF(AND(ISNUMBER(L149),L149&gt;0,ISNUMBER(W149)),L149/W149*30,"")</f>
        <v/>
      </c>
      <c r="Z149" s="16" t="n"/>
      <c r="AA149" s="16" t="n"/>
      <c r="AB149" s="15" t="n"/>
      <c r="AC149" s="15" t="n"/>
      <c r="AD149" s="15" t="n"/>
      <c r="AE149" s="17" t="n"/>
      <c r="AF149" s="15" t="n"/>
      <c r="AG149" s="15" t="n"/>
      <c r="AH149" s="17" t="n"/>
      <c r="AI149" s="15" t="n"/>
      <c r="AJ149" s="15" t="n"/>
      <c r="AK149" s="15" t="n"/>
      <c r="AL149" s="17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6" t="n"/>
      <c r="M150" s="16" t="n"/>
      <c r="N150" s="16" t="n"/>
      <c r="O150" s="15" t="n"/>
      <c r="P150" s="17" t="n"/>
      <c r="Q150" s="15" t="n"/>
      <c r="R150" s="15" t="n"/>
      <c r="S150" s="15" t="n"/>
      <c r="T150" s="10">
        <f>IF(AND(ISNUMBER(L150),L150&gt;0,ISNUMBER(O150),O150&gt;0),L150/O150,"")</f>
        <v/>
      </c>
      <c r="U150" s="11">
        <f>IF(AND(ISNUMBER(O150),O150&gt;0,ISNUMBER(Q150),Q150&gt;0,OR(R150="verificata",R150="intervallo")),O150/Q150,"")</f>
        <v/>
      </c>
      <c r="V150" s="18" t="n"/>
      <c r="W150" s="11">
        <f>IF(AND(ISNUMBER(U150),ISNUMBER(V150)),U150*(1-V150),"")</f>
        <v/>
      </c>
      <c r="X150" s="10">
        <f>IF(AND(ISNUMBER(L150),L150&gt;0,ISNUMBER(U150)),L150/U150*30,"")</f>
        <v/>
      </c>
      <c r="Y150" s="10">
        <f>IF(AND(ISNUMBER(L150),L150&gt;0,ISNUMBER(W150)),L150/W150*30,"")</f>
        <v/>
      </c>
      <c r="Z150" s="16" t="n"/>
      <c r="AA150" s="16" t="n"/>
      <c r="AB150" s="15" t="n"/>
      <c r="AC150" s="15" t="n"/>
      <c r="AD150" s="15" t="n"/>
      <c r="AE150" s="17" t="n"/>
      <c r="AF150" s="15" t="n"/>
      <c r="AG150" s="15" t="n"/>
      <c r="AH150" s="17" t="n"/>
      <c r="AI150" s="15" t="n"/>
      <c r="AJ150" s="15" t="n"/>
      <c r="AK150" s="15" t="n"/>
      <c r="AL150" s="17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6" t="n"/>
      <c r="M151" s="16" t="n"/>
      <c r="N151" s="16" t="n"/>
      <c r="O151" s="15" t="n"/>
      <c r="P151" s="17" t="n"/>
      <c r="Q151" s="15" t="n"/>
      <c r="R151" s="15" t="n"/>
      <c r="S151" s="15" t="n"/>
      <c r="T151" s="10">
        <f>IF(AND(ISNUMBER(L151),L151&gt;0,ISNUMBER(O151),O151&gt;0),L151/O151,"")</f>
        <v/>
      </c>
      <c r="U151" s="11">
        <f>IF(AND(ISNUMBER(O151),O151&gt;0,ISNUMBER(Q151),Q151&gt;0,OR(R151="verificata",R151="intervallo")),O151/Q151,"")</f>
        <v/>
      </c>
      <c r="V151" s="18" t="n"/>
      <c r="W151" s="11">
        <f>IF(AND(ISNUMBER(U151),ISNUMBER(V151)),U151*(1-V151),"")</f>
        <v/>
      </c>
      <c r="X151" s="10">
        <f>IF(AND(ISNUMBER(L151),L151&gt;0,ISNUMBER(U151)),L151/U151*30,"")</f>
        <v/>
      </c>
      <c r="Y151" s="10">
        <f>IF(AND(ISNUMBER(L151),L151&gt;0,ISNUMBER(W151)),L151/W151*30,"")</f>
        <v/>
      </c>
      <c r="Z151" s="16" t="n"/>
      <c r="AA151" s="16" t="n"/>
      <c r="AB151" s="15" t="n"/>
      <c r="AC151" s="15" t="n"/>
      <c r="AD151" s="15" t="n"/>
      <c r="AE151" s="17" t="n"/>
      <c r="AF151" s="15" t="n"/>
      <c r="AG151" s="15" t="n"/>
      <c r="AH151" s="17" t="n"/>
      <c r="AI151" s="15" t="n"/>
      <c r="AJ151" s="15" t="n"/>
      <c r="AK151" s="15" t="n"/>
      <c r="AL151" s="17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6" t="n"/>
      <c r="M152" s="16" t="n"/>
      <c r="N152" s="16" t="n"/>
      <c r="O152" s="15" t="n"/>
      <c r="P152" s="17" t="n"/>
      <c r="Q152" s="15" t="n"/>
      <c r="R152" s="15" t="n"/>
      <c r="S152" s="15" t="n"/>
      <c r="T152" s="10">
        <f>IF(AND(ISNUMBER(L152),L152&gt;0,ISNUMBER(O152),O152&gt;0),L152/O152,"")</f>
        <v/>
      </c>
      <c r="U152" s="11">
        <f>IF(AND(ISNUMBER(O152),O152&gt;0,ISNUMBER(Q152),Q152&gt;0,OR(R152="verificata",R152="intervallo")),O152/Q152,"")</f>
        <v/>
      </c>
      <c r="V152" s="18" t="n"/>
      <c r="W152" s="11">
        <f>IF(AND(ISNUMBER(U152),ISNUMBER(V152)),U152*(1-V152),"")</f>
        <v/>
      </c>
      <c r="X152" s="10">
        <f>IF(AND(ISNUMBER(L152),L152&gt;0,ISNUMBER(U152)),L152/U152*30,"")</f>
        <v/>
      </c>
      <c r="Y152" s="10">
        <f>IF(AND(ISNUMBER(L152),L152&gt;0,ISNUMBER(W152)),L152/W152*30,"")</f>
        <v/>
      </c>
      <c r="Z152" s="16" t="n"/>
      <c r="AA152" s="16" t="n"/>
      <c r="AB152" s="15" t="n"/>
      <c r="AC152" s="15" t="n"/>
      <c r="AD152" s="15" t="n"/>
      <c r="AE152" s="17" t="n"/>
      <c r="AF152" s="15" t="n"/>
      <c r="AG152" s="15" t="n"/>
      <c r="AH152" s="17" t="n"/>
      <c r="AI152" s="15" t="n"/>
      <c r="AJ152" s="15" t="n"/>
      <c r="AK152" s="15" t="n"/>
      <c r="AL152" s="17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6" t="n"/>
      <c r="M153" s="16" t="n"/>
      <c r="N153" s="16" t="n"/>
      <c r="O153" s="15" t="n"/>
      <c r="P153" s="17" t="n"/>
      <c r="Q153" s="15" t="n"/>
      <c r="R153" s="15" t="n"/>
      <c r="S153" s="15" t="n"/>
      <c r="T153" s="10">
        <f>IF(AND(ISNUMBER(L153),L153&gt;0,ISNUMBER(O153),O153&gt;0),L153/O153,"")</f>
        <v/>
      </c>
      <c r="U153" s="11">
        <f>IF(AND(ISNUMBER(O153),O153&gt;0,ISNUMBER(Q153),Q153&gt;0,OR(R153="verificata",R153="intervallo")),O153/Q153,"")</f>
        <v/>
      </c>
      <c r="V153" s="18" t="n"/>
      <c r="W153" s="11">
        <f>IF(AND(ISNUMBER(U153),ISNUMBER(V153)),U153*(1-V153),"")</f>
        <v/>
      </c>
      <c r="X153" s="10">
        <f>IF(AND(ISNUMBER(L153),L153&gt;0,ISNUMBER(U153)),L153/U153*30,"")</f>
        <v/>
      </c>
      <c r="Y153" s="10">
        <f>IF(AND(ISNUMBER(L153),L153&gt;0,ISNUMBER(W153)),L153/W153*30,"")</f>
        <v/>
      </c>
      <c r="Z153" s="16" t="n"/>
      <c r="AA153" s="16" t="n"/>
      <c r="AB153" s="15" t="n"/>
      <c r="AC153" s="15" t="n"/>
      <c r="AD153" s="15" t="n"/>
      <c r="AE153" s="17" t="n"/>
      <c r="AF153" s="15" t="n"/>
      <c r="AG153" s="15" t="n"/>
      <c r="AH153" s="17" t="n"/>
      <c r="AI153" s="15" t="n"/>
      <c r="AJ153" s="15" t="n"/>
      <c r="AK153" s="15" t="n"/>
      <c r="AL153" s="17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6" t="n"/>
      <c r="M154" s="16" t="n"/>
      <c r="N154" s="16" t="n"/>
      <c r="O154" s="15" t="n"/>
      <c r="P154" s="17" t="n"/>
      <c r="Q154" s="15" t="n"/>
      <c r="R154" s="15" t="n"/>
      <c r="S154" s="15" t="n"/>
      <c r="T154" s="10">
        <f>IF(AND(ISNUMBER(L154),L154&gt;0,ISNUMBER(O154),O154&gt;0),L154/O154,"")</f>
        <v/>
      </c>
      <c r="U154" s="11">
        <f>IF(AND(ISNUMBER(O154),O154&gt;0,ISNUMBER(Q154),Q154&gt;0,OR(R154="verificata",R154="intervallo")),O154/Q154,"")</f>
        <v/>
      </c>
      <c r="V154" s="18" t="n"/>
      <c r="W154" s="11">
        <f>IF(AND(ISNUMBER(U154),ISNUMBER(V154)),U154*(1-V154),"")</f>
        <v/>
      </c>
      <c r="X154" s="10">
        <f>IF(AND(ISNUMBER(L154),L154&gt;0,ISNUMBER(U154)),L154/U154*30,"")</f>
        <v/>
      </c>
      <c r="Y154" s="10">
        <f>IF(AND(ISNUMBER(L154),L154&gt;0,ISNUMBER(W154)),L154/W154*30,"")</f>
        <v/>
      </c>
      <c r="Z154" s="16" t="n"/>
      <c r="AA154" s="16" t="n"/>
      <c r="AB154" s="15" t="n"/>
      <c r="AC154" s="15" t="n"/>
      <c r="AD154" s="15" t="n"/>
      <c r="AE154" s="17" t="n"/>
      <c r="AF154" s="15" t="n"/>
      <c r="AG154" s="15" t="n"/>
      <c r="AH154" s="17" t="n"/>
      <c r="AI154" s="15" t="n"/>
      <c r="AJ154" s="15" t="n"/>
      <c r="AK154" s="15" t="n"/>
      <c r="AL154" s="17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6" t="n"/>
      <c r="M155" s="16" t="n"/>
      <c r="N155" s="16" t="n"/>
      <c r="O155" s="15" t="n"/>
      <c r="P155" s="17" t="n"/>
      <c r="Q155" s="15" t="n"/>
      <c r="R155" s="15" t="n"/>
      <c r="S155" s="15" t="n"/>
      <c r="T155" s="10">
        <f>IF(AND(ISNUMBER(L155),L155&gt;0,ISNUMBER(O155),O155&gt;0),L155/O155,"")</f>
        <v/>
      </c>
      <c r="U155" s="11">
        <f>IF(AND(ISNUMBER(O155),O155&gt;0,ISNUMBER(Q155),Q155&gt;0,OR(R155="verificata",R155="intervallo")),O155/Q155,"")</f>
        <v/>
      </c>
      <c r="V155" s="18" t="n"/>
      <c r="W155" s="11">
        <f>IF(AND(ISNUMBER(U155),ISNUMBER(V155)),U155*(1-V155),"")</f>
        <v/>
      </c>
      <c r="X155" s="10">
        <f>IF(AND(ISNUMBER(L155),L155&gt;0,ISNUMBER(U155)),L155/U155*30,"")</f>
        <v/>
      </c>
      <c r="Y155" s="10">
        <f>IF(AND(ISNUMBER(L155),L155&gt;0,ISNUMBER(W155)),L155/W155*30,"")</f>
        <v/>
      </c>
      <c r="Z155" s="16" t="n"/>
      <c r="AA155" s="16" t="n"/>
      <c r="AB155" s="15" t="n"/>
      <c r="AC155" s="15" t="n"/>
      <c r="AD155" s="15" t="n"/>
      <c r="AE155" s="17" t="n"/>
      <c r="AF155" s="15" t="n"/>
      <c r="AG155" s="15" t="n"/>
      <c r="AH155" s="17" t="n"/>
      <c r="AI155" s="15" t="n"/>
      <c r="AJ155" s="15" t="n"/>
      <c r="AK155" s="15" t="n"/>
      <c r="AL155" s="17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6" t="n"/>
      <c r="M156" s="16" t="n"/>
      <c r="N156" s="16" t="n"/>
      <c r="O156" s="15" t="n"/>
      <c r="P156" s="17" t="n"/>
      <c r="Q156" s="15" t="n"/>
      <c r="R156" s="15" t="n"/>
      <c r="S156" s="15" t="n"/>
      <c r="T156" s="10">
        <f>IF(AND(ISNUMBER(L156),L156&gt;0,ISNUMBER(O156),O156&gt;0),L156/O156,"")</f>
        <v/>
      </c>
      <c r="U156" s="11">
        <f>IF(AND(ISNUMBER(O156),O156&gt;0,ISNUMBER(Q156),Q156&gt;0,OR(R156="verificata",R156="intervallo")),O156/Q156,"")</f>
        <v/>
      </c>
      <c r="V156" s="18" t="n"/>
      <c r="W156" s="11">
        <f>IF(AND(ISNUMBER(U156),ISNUMBER(V156)),U156*(1-V156),"")</f>
        <v/>
      </c>
      <c r="X156" s="10">
        <f>IF(AND(ISNUMBER(L156),L156&gt;0,ISNUMBER(U156)),L156/U156*30,"")</f>
        <v/>
      </c>
      <c r="Y156" s="10">
        <f>IF(AND(ISNUMBER(L156),L156&gt;0,ISNUMBER(W156)),L156/W156*30,"")</f>
        <v/>
      </c>
      <c r="Z156" s="16" t="n"/>
      <c r="AA156" s="16" t="n"/>
      <c r="AB156" s="15" t="n"/>
      <c r="AC156" s="15" t="n"/>
      <c r="AD156" s="15" t="n"/>
      <c r="AE156" s="17" t="n"/>
      <c r="AF156" s="15" t="n"/>
      <c r="AG156" s="15" t="n"/>
      <c r="AH156" s="17" t="n"/>
      <c r="AI156" s="15" t="n"/>
      <c r="AJ156" s="15" t="n"/>
      <c r="AK156" s="15" t="n"/>
      <c r="AL156" s="17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6" t="n"/>
      <c r="M157" s="16" t="n"/>
      <c r="N157" s="16" t="n"/>
      <c r="O157" s="15" t="n"/>
      <c r="P157" s="17" t="n"/>
      <c r="Q157" s="15" t="n"/>
      <c r="R157" s="15" t="n"/>
      <c r="S157" s="15" t="n"/>
      <c r="T157" s="10">
        <f>IF(AND(ISNUMBER(L157),L157&gt;0,ISNUMBER(O157),O157&gt;0),L157/O157,"")</f>
        <v/>
      </c>
      <c r="U157" s="11">
        <f>IF(AND(ISNUMBER(O157),O157&gt;0,ISNUMBER(Q157),Q157&gt;0,OR(R157="verificata",R157="intervallo")),O157/Q157,"")</f>
        <v/>
      </c>
      <c r="V157" s="18" t="n"/>
      <c r="W157" s="11">
        <f>IF(AND(ISNUMBER(U157),ISNUMBER(V157)),U157*(1-V157),"")</f>
        <v/>
      </c>
      <c r="X157" s="10">
        <f>IF(AND(ISNUMBER(L157),L157&gt;0,ISNUMBER(U157)),L157/U157*30,"")</f>
        <v/>
      </c>
      <c r="Y157" s="10">
        <f>IF(AND(ISNUMBER(L157),L157&gt;0,ISNUMBER(W157)),L157/W157*30,"")</f>
        <v/>
      </c>
      <c r="Z157" s="16" t="n"/>
      <c r="AA157" s="16" t="n"/>
      <c r="AB157" s="15" t="n"/>
      <c r="AC157" s="15" t="n"/>
      <c r="AD157" s="15" t="n"/>
      <c r="AE157" s="17" t="n"/>
      <c r="AF157" s="15" t="n"/>
      <c r="AG157" s="15" t="n"/>
      <c r="AH157" s="17" t="n"/>
      <c r="AI157" s="15" t="n"/>
      <c r="AJ157" s="15" t="n"/>
      <c r="AK157" s="15" t="n"/>
      <c r="AL157" s="17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6" t="n"/>
      <c r="M158" s="16" t="n"/>
      <c r="N158" s="16" t="n"/>
      <c r="O158" s="15" t="n"/>
      <c r="P158" s="17" t="n"/>
      <c r="Q158" s="15" t="n"/>
      <c r="R158" s="15" t="n"/>
      <c r="S158" s="15" t="n"/>
      <c r="T158" s="10">
        <f>IF(AND(ISNUMBER(L158),L158&gt;0,ISNUMBER(O158),O158&gt;0),L158/O158,"")</f>
        <v/>
      </c>
      <c r="U158" s="11">
        <f>IF(AND(ISNUMBER(O158),O158&gt;0,ISNUMBER(Q158),Q158&gt;0,OR(R158="verificata",R158="intervallo")),O158/Q158,"")</f>
        <v/>
      </c>
      <c r="V158" s="18" t="n"/>
      <c r="W158" s="11">
        <f>IF(AND(ISNUMBER(U158),ISNUMBER(V158)),U158*(1-V158),"")</f>
        <v/>
      </c>
      <c r="X158" s="10">
        <f>IF(AND(ISNUMBER(L158),L158&gt;0,ISNUMBER(U158)),L158/U158*30,"")</f>
        <v/>
      </c>
      <c r="Y158" s="10">
        <f>IF(AND(ISNUMBER(L158),L158&gt;0,ISNUMBER(W158)),L158/W158*30,"")</f>
        <v/>
      </c>
      <c r="Z158" s="16" t="n"/>
      <c r="AA158" s="16" t="n"/>
      <c r="AB158" s="15" t="n"/>
      <c r="AC158" s="15" t="n"/>
      <c r="AD158" s="15" t="n"/>
      <c r="AE158" s="17" t="n"/>
      <c r="AF158" s="15" t="n"/>
      <c r="AG158" s="15" t="n"/>
      <c r="AH158" s="17" t="n"/>
      <c r="AI158" s="15" t="n"/>
      <c r="AJ158" s="15" t="n"/>
      <c r="AK158" s="15" t="n"/>
      <c r="AL158" s="17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6" t="n"/>
      <c r="M159" s="16" t="n"/>
      <c r="N159" s="16" t="n"/>
      <c r="O159" s="15" t="n"/>
      <c r="P159" s="17" t="n"/>
      <c r="Q159" s="15" t="n"/>
      <c r="R159" s="15" t="n"/>
      <c r="S159" s="15" t="n"/>
      <c r="T159" s="10">
        <f>IF(AND(ISNUMBER(L159),L159&gt;0,ISNUMBER(O159),O159&gt;0),L159/O159,"")</f>
        <v/>
      </c>
      <c r="U159" s="11">
        <f>IF(AND(ISNUMBER(O159),O159&gt;0,ISNUMBER(Q159),Q159&gt;0,OR(R159="verificata",R159="intervallo")),O159/Q159,"")</f>
        <v/>
      </c>
      <c r="V159" s="18" t="n"/>
      <c r="W159" s="11">
        <f>IF(AND(ISNUMBER(U159),ISNUMBER(V159)),U159*(1-V159),"")</f>
        <v/>
      </c>
      <c r="X159" s="10">
        <f>IF(AND(ISNUMBER(L159),L159&gt;0,ISNUMBER(U159)),L159/U159*30,"")</f>
        <v/>
      </c>
      <c r="Y159" s="10">
        <f>IF(AND(ISNUMBER(L159),L159&gt;0,ISNUMBER(W159)),L159/W159*30,"")</f>
        <v/>
      </c>
      <c r="Z159" s="16" t="n"/>
      <c r="AA159" s="16" t="n"/>
      <c r="AB159" s="15" t="n"/>
      <c r="AC159" s="15" t="n"/>
      <c r="AD159" s="15" t="n"/>
      <c r="AE159" s="17" t="n"/>
      <c r="AF159" s="15" t="n"/>
      <c r="AG159" s="15" t="n"/>
      <c r="AH159" s="17" t="n"/>
      <c r="AI159" s="15" t="n"/>
      <c r="AJ159" s="15" t="n"/>
      <c r="AK159" s="15" t="n"/>
      <c r="AL159" s="17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6" t="n"/>
      <c r="M160" s="16" t="n"/>
      <c r="N160" s="16" t="n"/>
      <c r="O160" s="15" t="n"/>
      <c r="P160" s="17" t="n"/>
      <c r="Q160" s="15" t="n"/>
      <c r="R160" s="15" t="n"/>
      <c r="S160" s="15" t="n"/>
      <c r="T160" s="10">
        <f>IF(AND(ISNUMBER(L160),L160&gt;0,ISNUMBER(O160),O160&gt;0),L160/O160,"")</f>
        <v/>
      </c>
      <c r="U160" s="11">
        <f>IF(AND(ISNUMBER(O160),O160&gt;0,ISNUMBER(Q160),Q160&gt;0,OR(R160="verificata",R160="intervallo")),O160/Q160,"")</f>
        <v/>
      </c>
      <c r="V160" s="18" t="n"/>
      <c r="W160" s="11">
        <f>IF(AND(ISNUMBER(U160),ISNUMBER(V160)),U160*(1-V160),"")</f>
        <v/>
      </c>
      <c r="X160" s="10">
        <f>IF(AND(ISNUMBER(L160),L160&gt;0,ISNUMBER(U160)),L160/U160*30,"")</f>
        <v/>
      </c>
      <c r="Y160" s="10">
        <f>IF(AND(ISNUMBER(L160),L160&gt;0,ISNUMBER(W160)),L160/W160*30,"")</f>
        <v/>
      </c>
      <c r="Z160" s="16" t="n"/>
      <c r="AA160" s="16" t="n"/>
      <c r="AB160" s="15" t="n"/>
      <c r="AC160" s="15" t="n"/>
      <c r="AD160" s="15" t="n"/>
      <c r="AE160" s="17" t="n"/>
      <c r="AF160" s="15" t="n"/>
      <c r="AG160" s="15" t="n"/>
      <c r="AH160" s="17" t="n"/>
      <c r="AI160" s="15" t="n"/>
      <c r="AJ160" s="15" t="n"/>
      <c r="AK160" s="15" t="n"/>
      <c r="AL160" s="17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6" t="n"/>
      <c r="M161" s="16" t="n"/>
      <c r="N161" s="16" t="n"/>
      <c r="O161" s="15" t="n"/>
      <c r="P161" s="17" t="n"/>
      <c r="Q161" s="15" t="n"/>
      <c r="R161" s="15" t="n"/>
      <c r="S161" s="15" t="n"/>
      <c r="T161" s="10">
        <f>IF(AND(ISNUMBER(L161),L161&gt;0,ISNUMBER(O161),O161&gt;0),L161/O161,"")</f>
        <v/>
      </c>
      <c r="U161" s="11">
        <f>IF(AND(ISNUMBER(O161),O161&gt;0,ISNUMBER(Q161),Q161&gt;0,OR(R161="verificata",R161="intervallo")),O161/Q161,"")</f>
        <v/>
      </c>
      <c r="V161" s="18" t="n"/>
      <c r="W161" s="11">
        <f>IF(AND(ISNUMBER(U161),ISNUMBER(V161)),U161*(1-V161),"")</f>
        <v/>
      </c>
      <c r="X161" s="10">
        <f>IF(AND(ISNUMBER(L161),L161&gt;0,ISNUMBER(U161)),L161/U161*30,"")</f>
        <v/>
      </c>
      <c r="Y161" s="10">
        <f>IF(AND(ISNUMBER(L161),L161&gt;0,ISNUMBER(W161)),L161/W161*30,"")</f>
        <v/>
      </c>
      <c r="Z161" s="16" t="n"/>
      <c r="AA161" s="16" t="n"/>
      <c r="AB161" s="15" t="n"/>
      <c r="AC161" s="15" t="n"/>
      <c r="AD161" s="15" t="n"/>
      <c r="AE161" s="17" t="n"/>
      <c r="AF161" s="15" t="n"/>
      <c r="AG161" s="15" t="n"/>
      <c r="AH161" s="17" t="n"/>
      <c r="AI161" s="15" t="n"/>
      <c r="AJ161" s="15" t="n"/>
      <c r="AK161" s="15" t="n"/>
      <c r="AL161" s="17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6" t="n"/>
      <c r="M162" s="16" t="n"/>
      <c r="N162" s="16" t="n"/>
      <c r="O162" s="15" t="n"/>
      <c r="P162" s="17" t="n"/>
      <c r="Q162" s="15" t="n"/>
      <c r="R162" s="15" t="n"/>
      <c r="S162" s="15" t="n"/>
      <c r="T162" s="10">
        <f>IF(AND(ISNUMBER(L162),L162&gt;0,ISNUMBER(O162),O162&gt;0),L162/O162,"")</f>
        <v/>
      </c>
      <c r="U162" s="11">
        <f>IF(AND(ISNUMBER(O162),O162&gt;0,ISNUMBER(Q162),Q162&gt;0,OR(R162="verificata",R162="intervallo")),O162/Q162,"")</f>
        <v/>
      </c>
      <c r="V162" s="18" t="n"/>
      <c r="W162" s="11">
        <f>IF(AND(ISNUMBER(U162),ISNUMBER(V162)),U162*(1-V162),"")</f>
        <v/>
      </c>
      <c r="X162" s="10">
        <f>IF(AND(ISNUMBER(L162),L162&gt;0,ISNUMBER(U162)),L162/U162*30,"")</f>
        <v/>
      </c>
      <c r="Y162" s="10">
        <f>IF(AND(ISNUMBER(L162),L162&gt;0,ISNUMBER(W162)),L162/W162*30,"")</f>
        <v/>
      </c>
      <c r="Z162" s="16" t="n"/>
      <c r="AA162" s="16" t="n"/>
      <c r="AB162" s="15" t="n"/>
      <c r="AC162" s="15" t="n"/>
      <c r="AD162" s="15" t="n"/>
      <c r="AE162" s="17" t="n"/>
      <c r="AF162" s="15" t="n"/>
      <c r="AG162" s="15" t="n"/>
      <c r="AH162" s="17" t="n"/>
      <c r="AI162" s="15" t="n"/>
      <c r="AJ162" s="15" t="n"/>
      <c r="AK162" s="15" t="n"/>
      <c r="AL162" s="17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6" t="n"/>
      <c r="M163" s="16" t="n"/>
      <c r="N163" s="16" t="n"/>
      <c r="O163" s="15" t="n"/>
      <c r="P163" s="17" t="n"/>
      <c r="Q163" s="15" t="n"/>
      <c r="R163" s="15" t="n"/>
      <c r="S163" s="15" t="n"/>
      <c r="T163" s="10">
        <f>IF(AND(ISNUMBER(L163),L163&gt;0,ISNUMBER(O163),O163&gt;0),L163/O163,"")</f>
        <v/>
      </c>
      <c r="U163" s="11">
        <f>IF(AND(ISNUMBER(O163),O163&gt;0,ISNUMBER(Q163),Q163&gt;0,OR(R163="verificata",R163="intervallo")),O163/Q163,"")</f>
        <v/>
      </c>
      <c r="V163" s="18" t="n"/>
      <c r="W163" s="11">
        <f>IF(AND(ISNUMBER(U163),ISNUMBER(V163)),U163*(1-V163),"")</f>
        <v/>
      </c>
      <c r="X163" s="10">
        <f>IF(AND(ISNUMBER(L163),L163&gt;0,ISNUMBER(U163)),L163/U163*30,"")</f>
        <v/>
      </c>
      <c r="Y163" s="10">
        <f>IF(AND(ISNUMBER(L163),L163&gt;0,ISNUMBER(W163)),L163/W163*30,"")</f>
        <v/>
      </c>
      <c r="Z163" s="16" t="n"/>
      <c r="AA163" s="16" t="n"/>
      <c r="AB163" s="15" t="n"/>
      <c r="AC163" s="15" t="n"/>
      <c r="AD163" s="15" t="n"/>
      <c r="AE163" s="17" t="n"/>
      <c r="AF163" s="15" t="n"/>
      <c r="AG163" s="15" t="n"/>
      <c r="AH163" s="17" t="n"/>
      <c r="AI163" s="15" t="n"/>
      <c r="AJ163" s="15" t="n"/>
      <c r="AK163" s="15" t="n"/>
      <c r="AL163" s="17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6" t="n"/>
      <c r="M164" s="16" t="n"/>
      <c r="N164" s="16" t="n"/>
      <c r="O164" s="15" t="n"/>
      <c r="P164" s="17" t="n"/>
      <c r="Q164" s="15" t="n"/>
      <c r="R164" s="15" t="n"/>
      <c r="S164" s="15" t="n"/>
      <c r="T164" s="10">
        <f>IF(AND(ISNUMBER(L164),L164&gt;0,ISNUMBER(O164),O164&gt;0),L164/O164,"")</f>
        <v/>
      </c>
      <c r="U164" s="11">
        <f>IF(AND(ISNUMBER(O164),O164&gt;0,ISNUMBER(Q164),Q164&gt;0,OR(R164="verificata",R164="intervallo")),O164/Q164,"")</f>
        <v/>
      </c>
      <c r="V164" s="18" t="n"/>
      <c r="W164" s="11">
        <f>IF(AND(ISNUMBER(U164),ISNUMBER(V164)),U164*(1-V164),"")</f>
        <v/>
      </c>
      <c r="X164" s="10">
        <f>IF(AND(ISNUMBER(L164),L164&gt;0,ISNUMBER(U164)),L164/U164*30,"")</f>
        <v/>
      </c>
      <c r="Y164" s="10">
        <f>IF(AND(ISNUMBER(L164),L164&gt;0,ISNUMBER(W164)),L164/W164*30,"")</f>
        <v/>
      </c>
      <c r="Z164" s="16" t="n"/>
      <c r="AA164" s="16" t="n"/>
      <c r="AB164" s="15" t="n"/>
      <c r="AC164" s="15" t="n"/>
      <c r="AD164" s="15" t="n"/>
      <c r="AE164" s="17" t="n"/>
      <c r="AF164" s="15" t="n"/>
      <c r="AG164" s="15" t="n"/>
      <c r="AH164" s="17" t="n"/>
      <c r="AI164" s="15" t="n"/>
      <c r="AJ164" s="15" t="n"/>
      <c r="AK164" s="15" t="n"/>
      <c r="AL164" s="17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6" t="n"/>
      <c r="M165" s="16" t="n"/>
      <c r="N165" s="16" t="n"/>
      <c r="O165" s="15" t="n"/>
      <c r="P165" s="17" t="n"/>
      <c r="Q165" s="15" t="n"/>
      <c r="R165" s="15" t="n"/>
      <c r="S165" s="15" t="n"/>
      <c r="T165" s="10">
        <f>IF(AND(ISNUMBER(L165),L165&gt;0,ISNUMBER(O165),O165&gt;0),L165/O165,"")</f>
        <v/>
      </c>
      <c r="U165" s="11">
        <f>IF(AND(ISNUMBER(O165),O165&gt;0,ISNUMBER(Q165),Q165&gt;0,OR(R165="verificata",R165="intervallo")),O165/Q165,"")</f>
        <v/>
      </c>
      <c r="V165" s="18" t="n"/>
      <c r="W165" s="11">
        <f>IF(AND(ISNUMBER(U165),ISNUMBER(V165)),U165*(1-V165),"")</f>
        <v/>
      </c>
      <c r="X165" s="10">
        <f>IF(AND(ISNUMBER(L165),L165&gt;0,ISNUMBER(U165)),L165/U165*30,"")</f>
        <v/>
      </c>
      <c r="Y165" s="10">
        <f>IF(AND(ISNUMBER(L165),L165&gt;0,ISNUMBER(W165)),L165/W165*30,"")</f>
        <v/>
      </c>
      <c r="Z165" s="16" t="n"/>
      <c r="AA165" s="16" t="n"/>
      <c r="AB165" s="15" t="n"/>
      <c r="AC165" s="15" t="n"/>
      <c r="AD165" s="15" t="n"/>
      <c r="AE165" s="17" t="n"/>
      <c r="AF165" s="15" t="n"/>
      <c r="AG165" s="15" t="n"/>
      <c r="AH165" s="17" t="n"/>
      <c r="AI165" s="15" t="n"/>
      <c r="AJ165" s="15" t="n"/>
      <c r="AK165" s="15" t="n"/>
      <c r="AL165" s="17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6" t="n"/>
      <c r="M166" s="16" t="n"/>
      <c r="N166" s="16" t="n"/>
      <c r="O166" s="15" t="n"/>
      <c r="P166" s="17" t="n"/>
      <c r="Q166" s="15" t="n"/>
      <c r="R166" s="15" t="n"/>
      <c r="S166" s="15" t="n"/>
      <c r="T166" s="10">
        <f>IF(AND(ISNUMBER(L166),L166&gt;0,ISNUMBER(O166),O166&gt;0),L166/O166,"")</f>
        <v/>
      </c>
      <c r="U166" s="11">
        <f>IF(AND(ISNUMBER(O166),O166&gt;0,ISNUMBER(Q166),Q166&gt;0,OR(R166="verificata",R166="intervallo")),O166/Q166,"")</f>
        <v/>
      </c>
      <c r="V166" s="18" t="n"/>
      <c r="W166" s="11">
        <f>IF(AND(ISNUMBER(U166),ISNUMBER(V166)),U166*(1-V166),"")</f>
        <v/>
      </c>
      <c r="X166" s="10">
        <f>IF(AND(ISNUMBER(L166),L166&gt;0,ISNUMBER(U166)),L166/U166*30,"")</f>
        <v/>
      </c>
      <c r="Y166" s="10">
        <f>IF(AND(ISNUMBER(L166),L166&gt;0,ISNUMBER(W166)),L166/W166*30,"")</f>
        <v/>
      </c>
      <c r="Z166" s="16" t="n"/>
      <c r="AA166" s="16" t="n"/>
      <c r="AB166" s="15" t="n"/>
      <c r="AC166" s="15" t="n"/>
      <c r="AD166" s="15" t="n"/>
      <c r="AE166" s="17" t="n"/>
      <c r="AF166" s="15" t="n"/>
      <c r="AG166" s="15" t="n"/>
      <c r="AH166" s="17" t="n"/>
      <c r="AI166" s="15" t="n"/>
      <c r="AJ166" s="15" t="n"/>
      <c r="AK166" s="15" t="n"/>
      <c r="AL166" s="17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6" t="n"/>
      <c r="M167" s="16" t="n"/>
      <c r="N167" s="16" t="n"/>
      <c r="O167" s="15" t="n"/>
      <c r="P167" s="17" t="n"/>
      <c r="Q167" s="15" t="n"/>
      <c r="R167" s="15" t="n"/>
      <c r="S167" s="15" t="n"/>
      <c r="T167" s="10">
        <f>IF(AND(ISNUMBER(L167),L167&gt;0,ISNUMBER(O167),O167&gt;0),L167/O167,"")</f>
        <v/>
      </c>
      <c r="U167" s="11">
        <f>IF(AND(ISNUMBER(O167),O167&gt;0,ISNUMBER(Q167),Q167&gt;0,OR(R167="verificata",R167="intervallo")),O167/Q167,"")</f>
        <v/>
      </c>
      <c r="V167" s="18" t="n"/>
      <c r="W167" s="11">
        <f>IF(AND(ISNUMBER(U167),ISNUMBER(V167)),U167*(1-V167),"")</f>
        <v/>
      </c>
      <c r="X167" s="10">
        <f>IF(AND(ISNUMBER(L167),L167&gt;0,ISNUMBER(U167)),L167/U167*30,"")</f>
        <v/>
      </c>
      <c r="Y167" s="10">
        <f>IF(AND(ISNUMBER(L167),L167&gt;0,ISNUMBER(W167)),L167/W167*30,"")</f>
        <v/>
      </c>
      <c r="Z167" s="16" t="n"/>
      <c r="AA167" s="16" t="n"/>
      <c r="AB167" s="15" t="n"/>
      <c r="AC167" s="15" t="n"/>
      <c r="AD167" s="15" t="n"/>
      <c r="AE167" s="17" t="n"/>
      <c r="AF167" s="15" t="n"/>
      <c r="AG167" s="15" t="n"/>
      <c r="AH167" s="17" t="n"/>
      <c r="AI167" s="15" t="n"/>
      <c r="AJ167" s="15" t="n"/>
      <c r="AK167" s="15" t="n"/>
      <c r="AL167" s="17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6" t="n"/>
      <c r="M168" s="16" t="n"/>
      <c r="N168" s="16" t="n"/>
      <c r="O168" s="15" t="n"/>
      <c r="P168" s="17" t="n"/>
      <c r="Q168" s="15" t="n"/>
      <c r="R168" s="15" t="n"/>
      <c r="S168" s="15" t="n"/>
      <c r="T168" s="10">
        <f>IF(AND(ISNUMBER(L168),L168&gt;0,ISNUMBER(O168),O168&gt;0),L168/O168,"")</f>
        <v/>
      </c>
      <c r="U168" s="11">
        <f>IF(AND(ISNUMBER(O168),O168&gt;0,ISNUMBER(Q168),Q168&gt;0,OR(R168="verificata",R168="intervallo")),O168/Q168,"")</f>
        <v/>
      </c>
      <c r="V168" s="18" t="n"/>
      <c r="W168" s="11">
        <f>IF(AND(ISNUMBER(U168),ISNUMBER(V168)),U168*(1-V168),"")</f>
        <v/>
      </c>
      <c r="X168" s="10">
        <f>IF(AND(ISNUMBER(L168),L168&gt;0,ISNUMBER(U168)),L168/U168*30,"")</f>
        <v/>
      </c>
      <c r="Y168" s="10">
        <f>IF(AND(ISNUMBER(L168),L168&gt;0,ISNUMBER(W168)),L168/W168*30,"")</f>
        <v/>
      </c>
      <c r="Z168" s="16" t="n"/>
      <c r="AA168" s="16" t="n"/>
      <c r="AB168" s="15" t="n"/>
      <c r="AC168" s="15" t="n"/>
      <c r="AD168" s="15" t="n"/>
      <c r="AE168" s="17" t="n"/>
      <c r="AF168" s="15" t="n"/>
      <c r="AG168" s="15" t="n"/>
      <c r="AH168" s="17" t="n"/>
      <c r="AI168" s="15" t="n"/>
      <c r="AJ168" s="15" t="n"/>
      <c r="AK168" s="15" t="n"/>
      <c r="AL168" s="17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6" t="n"/>
      <c r="M169" s="16" t="n"/>
      <c r="N169" s="16" t="n"/>
      <c r="O169" s="15" t="n"/>
      <c r="P169" s="17" t="n"/>
      <c r="Q169" s="15" t="n"/>
      <c r="R169" s="15" t="n"/>
      <c r="S169" s="15" t="n"/>
      <c r="T169" s="10">
        <f>IF(AND(ISNUMBER(L169),L169&gt;0,ISNUMBER(O169),O169&gt;0),L169/O169,"")</f>
        <v/>
      </c>
      <c r="U169" s="11">
        <f>IF(AND(ISNUMBER(O169),O169&gt;0,ISNUMBER(Q169),Q169&gt;0,OR(R169="verificata",R169="intervallo")),O169/Q169,"")</f>
        <v/>
      </c>
      <c r="V169" s="18" t="n"/>
      <c r="W169" s="11">
        <f>IF(AND(ISNUMBER(U169),ISNUMBER(V169)),U169*(1-V169),"")</f>
        <v/>
      </c>
      <c r="X169" s="10">
        <f>IF(AND(ISNUMBER(L169),L169&gt;0,ISNUMBER(U169)),L169/U169*30,"")</f>
        <v/>
      </c>
      <c r="Y169" s="10">
        <f>IF(AND(ISNUMBER(L169),L169&gt;0,ISNUMBER(W169)),L169/W169*30,"")</f>
        <v/>
      </c>
      <c r="Z169" s="16" t="n"/>
      <c r="AA169" s="16" t="n"/>
      <c r="AB169" s="15" t="n"/>
      <c r="AC169" s="15" t="n"/>
      <c r="AD169" s="15" t="n"/>
      <c r="AE169" s="17" t="n"/>
      <c r="AF169" s="15" t="n"/>
      <c r="AG169" s="15" t="n"/>
      <c r="AH169" s="17" t="n"/>
      <c r="AI169" s="15" t="n"/>
      <c r="AJ169" s="15" t="n"/>
      <c r="AK169" s="15" t="n"/>
      <c r="AL169" s="17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6" t="n"/>
      <c r="M170" s="16" t="n"/>
      <c r="N170" s="16" t="n"/>
      <c r="O170" s="15" t="n"/>
      <c r="P170" s="17" t="n"/>
      <c r="Q170" s="15" t="n"/>
      <c r="R170" s="15" t="n"/>
      <c r="S170" s="15" t="n"/>
      <c r="T170" s="10">
        <f>IF(AND(ISNUMBER(L170),L170&gt;0,ISNUMBER(O170),O170&gt;0),L170/O170,"")</f>
        <v/>
      </c>
      <c r="U170" s="11">
        <f>IF(AND(ISNUMBER(O170),O170&gt;0,ISNUMBER(Q170),Q170&gt;0,OR(R170="verificata",R170="intervallo")),O170/Q170,"")</f>
        <v/>
      </c>
      <c r="V170" s="18" t="n"/>
      <c r="W170" s="11">
        <f>IF(AND(ISNUMBER(U170),ISNUMBER(V170)),U170*(1-V170),"")</f>
        <v/>
      </c>
      <c r="X170" s="10">
        <f>IF(AND(ISNUMBER(L170),L170&gt;0,ISNUMBER(U170)),L170/U170*30,"")</f>
        <v/>
      </c>
      <c r="Y170" s="10">
        <f>IF(AND(ISNUMBER(L170),L170&gt;0,ISNUMBER(W170)),L170/W170*30,"")</f>
        <v/>
      </c>
      <c r="Z170" s="16" t="n"/>
      <c r="AA170" s="16" t="n"/>
      <c r="AB170" s="15" t="n"/>
      <c r="AC170" s="15" t="n"/>
      <c r="AD170" s="15" t="n"/>
      <c r="AE170" s="17" t="n"/>
      <c r="AF170" s="15" t="n"/>
      <c r="AG170" s="15" t="n"/>
      <c r="AH170" s="17" t="n"/>
      <c r="AI170" s="15" t="n"/>
      <c r="AJ170" s="15" t="n"/>
      <c r="AK170" s="15" t="n"/>
      <c r="AL170" s="17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6" t="n"/>
      <c r="M171" s="16" t="n"/>
      <c r="N171" s="16" t="n"/>
      <c r="O171" s="15" t="n"/>
      <c r="P171" s="17" t="n"/>
      <c r="Q171" s="15" t="n"/>
      <c r="R171" s="15" t="n"/>
      <c r="S171" s="15" t="n"/>
      <c r="T171" s="10">
        <f>IF(AND(ISNUMBER(L171),L171&gt;0,ISNUMBER(O171),O171&gt;0),L171/O171,"")</f>
        <v/>
      </c>
      <c r="U171" s="11">
        <f>IF(AND(ISNUMBER(O171),O171&gt;0,ISNUMBER(Q171),Q171&gt;0,OR(R171="verificata",R171="intervallo")),O171/Q171,"")</f>
        <v/>
      </c>
      <c r="V171" s="18" t="n"/>
      <c r="W171" s="11">
        <f>IF(AND(ISNUMBER(U171),ISNUMBER(V171)),U171*(1-V171),"")</f>
        <v/>
      </c>
      <c r="X171" s="10">
        <f>IF(AND(ISNUMBER(L171),L171&gt;0,ISNUMBER(U171)),L171/U171*30,"")</f>
        <v/>
      </c>
      <c r="Y171" s="10">
        <f>IF(AND(ISNUMBER(L171),L171&gt;0,ISNUMBER(W171)),L171/W171*30,"")</f>
        <v/>
      </c>
      <c r="Z171" s="16" t="n"/>
      <c r="AA171" s="16" t="n"/>
      <c r="AB171" s="15" t="n"/>
      <c r="AC171" s="15" t="n"/>
      <c r="AD171" s="15" t="n"/>
      <c r="AE171" s="17" t="n"/>
      <c r="AF171" s="15" t="n"/>
      <c r="AG171" s="15" t="n"/>
      <c r="AH171" s="17" t="n"/>
      <c r="AI171" s="15" t="n"/>
      <c r="AJ171" s="15" t="n"/>
      <c r="AK171" s="15" t="n"/>
      <c r="AL171" s="17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6" t="n"/>
      <c r="M172" s="16" t="n"/>
      <c r="N172" s="16" t="n"/>
      <c r="O172" s="15" t="n"/>
      <c r="P172" s="17" t="n"/>
      <c r="Q172" s="15" t="n"/>
      <c r="R172" s="15" t="n"/>
      <c r="S172" s="15" t="n"/>
      <c r="T172" s="10">
        <f>IF(AND(ISNUMBER(L172),L172&gt;0,ISNUMBER(O172),O172&gt;0),L172/O172,"")</f>
        <v/>
      </c>
      <c r="U172" s="11">
        <f>IF(AND(ISNUMBER(O172),O172&gt;0,ISNUMBER(Q172),Q172&gt;0,OR(R172="verificata",R172="intervallo")),O172/Q172,"")</f>
        <v/>
      </c>
      <c r="V172" s="18" t="n"/>
      <c r="W172" s="11">
        <f>IF(AND(ISNUMBER(U172),ISNUMBER(V172)),U172*(1-V172),"")</f>
        <v/>
      </c>
      <c r="X172" s="10">
        <f>IF(AND(ISNUMBER(L172),L172&gt;0,ISNUMBER(U172)),L172/U172*30,"")</f>
        <v/>
      </c>
      <c r="Y172" s="10">
        <f>IF(AND(ISNUMBER(L172),L172&gt;0,ISNUMBER(W172)),L172/W172*30,"")</f>
        <v/>
      </c>
      <c r="Z172" s="16" t="n"/>
      <c r="AA172" s="16" t="n"/>
      <c r="AB172" s="15" t="n"/>
      <c r="AC172" s="15" t="n"/>
      <c r="AD172" s="15" t="n"/>
      <c r="AE172" s="17" t="n"/>
      <c r="AF172" s="15" t="n"/>
      <c r="AG172" s="15" t="n"/>
      <c r="AH172" s="17" t="n"/>
      <c r="AI172" s="15" t="n"/>
      <c r="AJ172" s="15" t="n"/>
      <c r="AK172" s="15" t="n"/>
      <c r="AL172" s="17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6" t="n"/>
      <c r="M173" s="16" t="n"/>
      <c r="N173" s="16" t="n"/>
      <c r="O173" s="15" t="n"/>
      <c r="P173" s="17" t="n"/>
      <c r="Q173" s="15" t="n"/>
      <c r="R173" s="15" t="n"/>
      <c r="S173" s="15" t="n"/>
      <c r="T173" s="10">
        <f>IF(AND(ISNUMBER(L173),L173&gt;0,ISNUMBER(O173),O173&gt;0),L173/O173,"")</f>
        <v/>
      </c>
      <c r="U173" s="11">
        <f>IF(AND(ISNUMBER(O173),O173&gt;0,ISNUMBER(Q173),Q173&gt;0,OR(R173="verificata",R173="intervallo")),O173/Q173,"")</f>
        <v/>
      </c>
      <c r="V173" s="18" t="n"/>
      <c r="W173" s="11">
        <f>IF(AND(ISNUMBER(U173),ISNUMBER(V173)),U173*(1-V173),"")</f>
        <v/>
      </c>
      <c r="X173" s="10">
        <f>IF(AND(ISNUMBER(L173),L173&gt;0,ISNUMBER(U173)),L173/U173*30,"")</f>
        <v/>
      </c>
      <c r="Y173" s="10">
        <f>IF(AND(ISNUMBER(L173),L173&gt;0,ISNUMBER(W173)),L173/W173*30,"")</f>
        <v/>
      </c>
      <c r="Z173" s="16" t="n"/>
      <c r="AA173" s="16" t="n"/>
      <c r="AB173" s="15" t="n"/>
      <c r="AC173" s="15" t="n"/>
      <c r="AD173" s="15" t="n"/>
      <c r="AE173" s="17" t="n"/>
      <c r="AF173" s="15" t="n"/>
      <c r="AG173" s="15" t="n"/>
      <c r="AH173" s="17" t="n"/>
      <c r="AI173" s="15" t="n"/>
      <c r="AJ173" s="15" t="n"/>
      <c r="AK173" s="15" t="n"/>
      <c r="AL173" s="17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6" t="n"/>
      <c r="M174" s="16" t="n"/>
      <c r="N174" s="16" t="n"/>
      <c r="O174" s="15" t="n"/>
      <c r="P174" s="17" t="n"/>
      <c r="Q174" s="15" t="n"/>
      <c r="R174" s="15" t="n"/>
      <c r="S174" s="15" t="n"/>
      <c r="T174" s="10">
        <f>IF(AND(ISNUMBER(L174),L174&gt;0,ISNUMBER(O174),O174&gt;0),L174/O174,"")</f>
        <v/>
      </c>
      <c r="U174" s="11">
        <f>IF(AND(ISNUMBER(O174),O174&gt;0,ISNUMBER(Q174),Q174&gt;0,OR(R174="verificata",R174="intervallo")),O174/Q174,"")</f>
        <v/>
      </c>
      <c r="V174" s="18" t="n"/>
      <c r="W174" s="11">
        <f>IF(AND(ISNUMBER(U174),ISNUMBER(V174)),U174*(1-V174),"")</f>
        <v/>
      </c>
      <c r="X174" s="10">
        <f>IF(AND(ISNUMBER(L174),L174&gt;0,ISNUMBER(U174)),L174/U174*30,"")</f>
        <v/>
      </c>
      <c r="Y174" s="10">
        <f>IF(AND(ISNUMBER(L174),L174&gt;0,ISNUMBER(W174)),L174/W174*30,"")</f>
        <v/>
      </c>
      <c r="Z174" s="16" t="n"/>
      <c r="AA174" s="16" t="n"/>
      <c r="AB174" s="15" t="n"/>
      <c r="AC174" s="15" t="n"/>
      <c r="AD174" s="15" t="n"/>
      <c r="AE174" s="17" t="n"/>
      <c r="AF174" s="15" t="n"/>
      <c r="AG174" s="15" t="n"/>
      <c r="AH174" s="17" t="n"/>
      <c r="AI174" s="15" t="n"/>
      <c r="AJ174" s="15" t="n"/>
      <c r="AK174" s="15" t="n"/>
      <c r="AL174" s="17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6" t="n"/>
      <c r="M175" s="16" t="n"/>
      <c r="N175" s="16" t="n"/>
      <c r="O175" s="15" t="n"/>
      <c r="P175" s="17" t="n"/>
      <c r="Q175" s="15" t="n"/>
      <c r="R175" s="15" t="n"/>
      <c r="S175" s="15" t="n"/>
      <c r="T175" s="10">
        <f>IF(AND(ISNUMBER(L175),L175&gt;0,ISNUMBER(O175),O175&gt;0),L175/O175,"")</f>
        <v/>
      </c>
      <c r="U175" s="11">
        <f>IF(AND(ISNUMBER(O175),O175&gt;0,ISNUMBER(Q175),Q175&gt;0,OR(R175="verificata",R175="intervallo")),O175/Q175,"")</f>
        <v/>
      </c>
      <c r="V175" s="18" t="n"/>
      <c r="W175" s="11">
        <f>IF(AND(ISNUMBER(U175),ISNUMBER(V175)),U175*(1-V175),"")</f>
        <v/>
      </c>
      <c r="X175" s="10">
        <f>IF(AND(ISNUMBER(L175),L175&gt;0,ISNUMBER(U175)),L175/U175*30,"")</f>
        <v/>
      </c>
      <c r="Y175" s="10">
        <f>IF(AND(ISNUMBER(L175),L175&gt;0,ISNUMBER(W175)),L175/W175*30,"")</f>
        <v/>
      </c>
      <c r="Z175" s="16" t="n"/>
      <c r="AA175" s="16" t="n"/>
      <c r="AB175" s="15" t="n"/>
      <c r="AC175" s="15" t="n"/>
      <c r="AD175" s="15" t="n"/>
      <c r="AE175" s="17" t="n"/>
      <c r="AF175" s="15" t="n"/>
      <c r="AG175" s="15" t="n"/>
      <c r="AH175" s="17" t="n"/>
      <c r="AI175" s="15" t="n"/>
      <c r="AJ175" s="15" t="n"/>
      <c r="AK175" s="15" t="n"/>
      <c r="AL175" s="17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6" t="n"/>
      <c r="M176" s="16" t="n"/>
      <c r="N176" s="16" t="n"/>
      <c r="O176" s="15" t="n"/>
      <c r="P176" s="17" t="n"/>
      <c r="Q176" s="15" t="n"/>
      <c r="R176" s="15" t="n"/>
      <c r="S176" s="15" t="n"/>
      <c r="T176" s="10">
        <f>IF(AND(ISNUMBER(L176),L176&gt;0,ISNUMBER(O176),O176&gt;0),L176/O176,"")</f>
        <v/>
      </c>
      <c r="U176" s="11">
        <f>IF(AND(ISNUMBER(O176),O176&gt;0,ISNUMBER(Q176),Q176&gt;0,OR(R176="verificata",R176="intervallo")),O176/Q176,"")</f>
        <v/>
      </c>
      <c r="V176" s="18" t="n"/>
      <c r="W176" s="11">
        <f>IF(AND(ISNUMBER(U176),ISNUMBER(V176)),U176*(1-V176),"")</f>
        <v/>
      </c>
      <c r="X176" s="10">
        <f>IF(AND(ISNUMBER(L176),L176&gt;0,ISNUMBER(U176)),L176/U176*30,"")</f>
        <v/>
      </c>
      <c r="Y176" s="10">
        <f>IF(AND(ISNUMBER(L176),L176&gt;0,ISNUMBER(W176)),L176/W176*30,"")</f>
        <v/>
      </c>
      <c r="Z176" s="16" t="n"/>
      <c r="AA176" s="16" t="n"/>
      <c r="AB176" s="15" t="n"/>
      <c r="AC176" s="15" t="n"/>
      <c r="AD176" s="15" t="n"/>
      <c r="AE176" s="17" t="n"/>
      <c r="AF176" s="15" t="n"/>
      <c r="AG176" s="15" t="n"/>
      <c r="AH176" s="17" t="n"/>
      <c r="AI176" s="15" t="n"/>
      <c r="AJ176" s="15" t="n"/>
      <c r="AK176" s="15" t="n"/>
      <c r="AL176" s="17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6" t="n"/>
      <c r="M177" s="16" t="n"/>
      <c r="N177" s="16" t="n"/>
      <c r="O177" s="15" t="n"/>
      <c r="P177" s="17" t="n"/>
      <c r="Q177" s="15" t="n"/>
      <c r="R177" s="15" t="n"/>
      <c r="S177" s="15" t="n"/>
      <c r="T177" s="10">
        <f>IF(AND(ISNUMBER(L177),L177&gt;0,ISNUMBER(O177),O177&gt;0),L177/O177,"")</f>
        <v/>
      </c>
      <c r="U177" s="11">
        <f>IF(AND(ISNUMBER(O177),O177&gt;0,ISNUMBER(Q177),Q177&gt;0,OR(R177="verificata",R177="intervallo")),O177/Q177,"")</f>
        <v/>
      </c>
      <c r="V177" s="18" t="n"/>
      <c r="W177" s="11">
        <f>IF(AND(ISNUMBER(U177),ISNUMBER(V177)),U177*(1-V177),"")</f>
        <v/>
      </c>
      <c r="X177" s="10">
        <f>IF(AND(ISNUMBER(L177),L177&gt;0,ISNUMBER(U177)),L177/U177*30,"")</f>
        <v/>
      </c>
      <c r="Y177" s="10">
        <f>IF(AND(ISNUMBER(L177),L177&gt;0,ISNUMBER(W177)),L177/W177*30,"")</f>
        <v/>
      </c>
      <c r="Z177" s="16" t="n"/>
      <c r="AA177" s="16" t="n"/>
      <c r="AB177" s="15" t="n"/>
      <c r="AC177" s="15" t="n"/>
      <c r="AD177" s="15" t="n"/>
      <c r="AE177" s="17" t="n"/>
      <c r="AF177" s="15" t="n"/>
      <c r="AG177" s="15" t="n"/>
      <c r="AH177" s="17" t="n"/>
      <c r="AI177" s="15" t="n"/>
      <c r="AJ177" s="15" t="n"/>
      <c r="AK177" s="15" t="n"/>
      <c r="AL177" s="17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6" t="n"/>
      <c r="M178" s="16" t="n"/>
      <c r="N178" s="16" t="n"/>
      <c r="O178" s="15" t="n"/>
      <c r="P178" s="17" t="n"/>
      <c r="Q178" s="15" t="n"/>
      <c r="R178" s="15" t="n"/>
      <c r="S178" s="15" t="n"/>
      <c r="T178" s="10">
        <f>IF(AND(ISNUMBER(L178),L178&gt;0,ISNUMBER(O178),O178&gt;0),L178/O178,"")</f>
        <v/>
      </c>
      <c r="U178" s="11">
        <f>IF(AND(ISNUMBER(O178),O178&gt;0,ISNUMBER(Q178),Q178&gt;0,OR(R178="verificata",R178="intervallo")),O178/Q178,"")</f>
        <v/>
      </c>
      <c r="V178" s="18" t="n"/>
      <c r="W178" s="11">
        <f>IF(AND(ISNUMBER(U178),ISNUMBER(V178)),U178*(1-V178),"")</f>
        <v/>
      </c>
      <c r="X178" s="10">
        <f>IF(AND(ISNUMBER(L178),L178&gt;0,ISNUMBER(U178)),L178/U178*30,"")</f>
        <v/>
      </c>
      <c r="Y178" s="10">
        <f>IF(AND(ISNUMBER(L178),L178&gt;0,ISNUMBER(W178)),L178/W178*30,"")</f>
        <v/>
      </c>
      <c r="Z178" s="16" t="n"/>
      <c r="AA178" s="16" t="n"/>
      <c r="AB178" s="15" t="n"/>
      <c r="AC178" s="15" t="n"/>
      <c r="AD178" s="15" t="n"/>
      <c r="AE178" s="17" t="n"/>
      <c r="AF178" s="15" t="n"/>
      <c r="AG178" s="15" t="n"/>
      <c r="AH178" s="17" t="n"/>
      <c r="AI178" s="15" t="n"/>
      <c r="AJ178" s="15" t="n"/>
      <c r="AK178" s="15" t="n"/>
      <c r="AL178" s="17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6" t="n"/>
      <c r="M179" s="16" t="n"/>
      <c r="N179" s="16" t="n"/>
      <c r="O179" s="15" t="n"/>
      <c r="P179" s="17" t="n"/>
      <c r="Q179" s="15" t="n"/>
      <c r="R179" s="15" t="n"/>
      <c r="S179" s="15" t="n"/>
      <c r="T179" s="10">
        <f>IF(AND(ISNUMBER(L179),L179&gt;0,ISNUMBER(O179),O179&gt;0),L179/O179,"")</f>
        <v/>
      </c>
      <c r="U179" s="11">
        <f>IF(AND(ISNUMBER(O179),O179&gt;0,ISNUMBER(Q179),Q179&gt;0,OR(R179="verificata",R179="intervallo")),O179/Q179,"")</f>
        <v/>
      </c>
      <c r="V179" s="18" t="n"/>
      <c r="W179" s="11">
        <f>IF(AND(ISNUMBER(U179),ISNUMBER(V179)),U179*(1-V179),"")</f>
        <v/>
      </c>
      <c r="X179" s="10">
        <f>IF(AND(ISNUMBER(L179),L179&gt;0,ISNUMBER(U179)),L179/U179*30,"")</f>
        <v/>
      </c>
      <c r="Y179" s="10">
        <f>IF(AND(ISNUMBER(L179),L179&gt;0,ISNUMBER(W179)),L179/W179*30,"")</f>
        <v/>
      </c>
      <c r="Z179" s="16" t="n"/>
      <c r="AA179" s="16" t="n"/>
      <c r="AB179" s="15" t="n"/>
      <c r="AC179" s="15" t="n"/>
      <c r="AD179" s="15" t="n"/>
      <c r="AE179" s="17" t="n"/>
      <c r="AF179" s="15" t="n"/>
      <c r="AG179" s="15" t="n"/>
      <c r="AH179" s="17" t="n"/>
      <c r="AI179" s="15" t="n"/>
      <c r="AJ179" s="15" t="n"/>
      <c r="AK179" s="15" t="n"/>
      <c r="AL179" s="17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6" t="n"/>
      <c r="M180" s="16" t="n"/>
      <c r="N180" s="16" t="n"/>
      <c r="O180" s="15" t="n"/>
      <c r="P180" s="17" t="n"/>
      <c r="Q180" s="15" t="n"/>
      <c r="R180" s="15" t="n"/>
      <c r="S180" s="15" t="n"/>
      <c r="T180" s="10">
        <f>IF(AND(ISNUMBER(L180),L180&gt;0,ISNUMBER(O180),O180&gt;0),L180/O180,"")</f>
        <v/>
      </c>
      <c r="U180" s="11">
        <f>IF(AND(ISNUMBER(O180),O180&gt;0,ISNUMBER(Q180),Q180&gt;0,OR(R180="verificata",R180="intervallo")),O180/Q180,"")</f>
        <v/>
      </c>
      <c r="V180" s="18" t="n"/>
      <c r="W180" s="11">
        <f>IF(AND(ISNUMBER(U180),ISNUMBER(V180)),U180*(1-V180),"")</f>
        <v/>
      </c>
      <c r="X180" s="10">
        <f>IF(AND(ISNUMBER(L180),L180&gt;0,ISNUMBER(U180)),L180/U180*30,"")</f>
        <v/>
      </c>
      <c r="Y180" s="10">
        <f>IF(AND(ISNUMBER(L180),L180&gt;0,ISNUMBER(W180)),L180/W180*30,"")</f>
        <v/>
      </c>
      <c r="Z180" s="16" t="n"/>
      <c r="AA180" s="16" t="n"/>
      <c r="AB180" s="15" t="n"/>
      <c r="AC180" s="15" t="n"/>
      <c r="AD180" s="15" t="n"/>
      <c r="AE180" s="17" t="n"/>
      <c r="AF180" s="15" t="n"/>
      <c r="AG180" s="15" t="n"/>
      <c r="AH180" s="17" t="n"/>
      <c r="AI180" s="15" t="n"/>
      <c r="AJ180" s="15" t="n"/>
      <c r="AK180" s="15" t="n"/>
      <c r="AL180" s="17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6" t="n"/>
      <c r="M181" s="16" t="n"/>
      <c r="N181" s="16" t="n"/>
      <c r="O181" s="15" t="n"/>
      <c r="P181" s="17" t="n"/>
      <c r="Q181" s="15" t="n"/>
      <c r="R181" s="15" t="n"/>
      <c r="S181" s="15" t="n"/>
      <c r="T181" s="10">
        <f>IF(AND(ISNUMBER(L181),L181&gt;0,ISNUMBER(O181),O181&gt;0),L181/O181,"")</f>
        <v/>
      </c>
      <c r="U181" s="11">
        <f>IF(AND(ISNUMBER(O181),O181&gt;0,ISNUMBER(Q181),Q181&gt;0,OR(R181="verificata",R181="intervallo")),O181/Q181,"")</f>
        <v/>
      </c>
      <c r="V181" s="18" t="n"/>
      <c r="W181" s="11">
        <f>IF(AND(ISNUMBER(U181),ISNUMBER(V181)),U181*(1-V181),"")</f>
        <v/>
      </c>
      <c r="X181" s="10">
        <f>IF(AND(ISNUMBER(L181),L181&gt;0,ISNUMBER(U181)),L181/U181*30,"")</f>
        <v/>
      </c>
      <c r="Y181" s="10">
        <f>IF(AND(ISNUMBER(L181),L181&gt;0,ISNUMBER(W181)),L181/W181*30,"")</f>
        <v/>
      </c>
      <c r="Z181" s="16" t="n"/>
      <c r="AA181" s="16" t="n"/>
      <c r="AB181" s="15" t="n"/>
      <c r="AC181" s="15" t="n"/>
      <c r="AD181" s="15" t="n"/>
      <c r="AE181" s="17" t="n"/>
      <c r="AF181" s="15" t="n"/>
      <c r="AG181" s="15" t="n"/>
      <c r="AH181" s="17" t="n"/>
      <c r="AI181" s="15" t="n"/>
      <c r="AJ181" s="15" t="n"/>
      <c r="AK181" s="15" t="n"/>
      <c r="AL181" s="17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6" t="n"/>
      <c r="M182" s="16" t="n"/>
      <c r="N182" s="16" t="n"/>
      <c r="O182" s="15" t="n"/>
      <c r="P182" s="17" t="n"/>
      <c r="Q182" s="15" t="n"/>
      <c r="R182" s="15" t="n"/>
      <c r="S182" s="15" t="n"/>
      <c r="T182" s="10">
        <f>IF(AND(ISNUMBER(L182),L182&gt;0,ISNUMBER(O182),O182&gt;0),L182/O182,"")</f>
        <v/>
      </c>
      <c r="U182" s="11">
        <f>IF(AND(ISNUMBER(O182),O182&gt;0,ISNUMBER(Q182),Q182&gt;0,OR(R182="verificata",R182="intervallo")),O182/Q182,"")</f>
        <v/>
      </c>
      <c r="V182" s="18" t="n"/>
      <c r="W182" s="11">
        <f>IF(AND(ISNUMBER(U182),ISNUMBER(V182)),U182*(1-V182),"")</f>
        <v/>
      </c>
      <c r="X182" s="10">
        <f>IF(AND(ISNUMBER(L182),L182&gt;0,ISNUMBER(U182)),L182/U182*30,"")</f>
        <v/>
      </c>
      <c r="Y182" s="10">
        <f>IF(AND(ISNUMBER(L182),L182&gt;0,ISNUMBER(W182)),L182/W182*30,"")</f>
        <v/>
      </c>
      <c r="Z182" s="16" t="n"/>
      <c r="AA182" s="16" t="n"/>
      <c r="AB182" s="15" t="n"/>
      <c r="AC182" s="15" t="n"/>
      <c r="AD182" s="15" t="n"/>
      <c r="AE182" s="17" t="n"/>
      <c r="AF182" s="15" t="n"/>
      <c r="AG182" s="15" t="n"/>
      <c r="AH182" s="17" t="n"/>
      <c r="AI182" s="15" t="n"/>
      <c r="AJ182" s="15" t="n"/>
      <c r="AK182" s="15" t="n"/>
      <c r="AL182" s="17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6" t="n"/>
      <c r="M183" s="16" t="n"/>
      <c r="N183" s="16" t="n"/>
      <c r="O183" s="15" t="n"/>
      <c r="P183" s="17" t="n"/>
      <c r="Q183" s="15" t="n"/>
      <c r="R183" s="15" t="n"/>
      <c r="S183" s="15" t="n"/>
      <c r="T183" s="10">
        <f>IF(AND(ISNUMBER(L183),L183&gt;0,ISNUMBER(O183),O183&gt;0),L183/O183,"")</f>
        <v/>
      </c>
      <c r="U183" s="11">
        <f>IF(AND(ISNUMBER(O183),O183&gt;0,ISNUMBER(Q183),Q183&gt;0,OR(R183="verificata",R183="intervallo")),O183/Q183,"")</f>
        <v/>
      </c>
      <c r="V183" s="18" t="n"/>
      <c r="W183" s="11">
        <f>IF(AND(ISNUMBER(U183),ISNUMBER(V183)),U183*(1-V183),"")</f>
        <v/>
      </c>
      <c r="X183" s="10">
        <f>IF(AND(ISNUMBER(L183),L183&gt;0,ISNUMBER(U183)),L183/U183*30,"")</f>
        <v/>
      </c>
      <c r="Y183" s="10">
        <f>IF(AND(ISNUMBER(L183),L183&gt;0,ISNUMBER(W183)),L183/W183*30,"")</f>
        <v/>
      </c>
      <c r="Z183" s="16" t="n"/>
      <c r="AA183" s="16" t="n"/>
      <c r="AB183" s="15" t="n"/>
      <c r="AC183" s="15" t="n"/>
      <c r="AD183" s="15" t="n"/>
      <c r="AE183" s="17" t="n"/>
      <c r="AF183" s="15" t="n"/>
      <c r="AG183" s="15" t="n"/>
      <c r="AH183" s="17" t="n"/>
      <c r="AI183" s="15" t="n"/>
      <c r="AJ183" s="15" t="n"/>
      <c r="AK183" s="15" t="n"/>
      <c r="AL183" s="17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6" t="n"/>
      <c r="M184" s="16" t="n"/>
      <c r="N184" s="16" t="n"/>
      <c r="O184" s="15" t="n"/>
      <c r="P184" s="17" t="n"/>
      <c r="Q184" s="15" t="n"/>
      <c r="R184" s="15" t="n"/>
      <c r="S184" s="15" t="n"/>
      <c r="T184" s="10">
        <f>IF(AND(ISNUMBER(L184),L184&gt;0,ISNUMBER(O184),O184&gt;0),L184/O184,"")</f>
        <v/>
      </c>
      <c r="U184" s="11">
        <f>IF(AND(ISNUMBER(O184),O184&gt;0,ISNUMBER(Q184),Q184&gt;0,OR(R184="verificata",R184="intervallo")),O184/Q184,"")</f>
        <v/>
      </c>
      <c r="V184" s="18" t="n"/>
      <c r="W184" s="11">
        <f>IF(AND(ISNUMBER(U184),ISNUMBER(V184)),U184*(1-V184),"")</f>
        <v/>
      </c>
      <c r="X184" s="10">
        <f>IF(AND(ISNUMBER(L184),L184&gt;0,ISNUMBER(U184)),L184/U184*30,"")</f>
        <v/>
      </c>
      <c r="Y184" s="10">
        <f>IF(AND(ISNUMBER(L184),L184&gt;0,ISNUMBER(W184)),L184/W184*30,"")</f>
        <v/>
      </c>
      <c r="Z184" s="16" t="n"/>
      <c r="AA184" s="16" t="n"/>
      <c r="AB184" s="15" t="n"/>
      <c r="AC184" s="15" t="n"/>
      <c r="AD184" s="15" t="n"/>
      <c r="AE184" s="17" t="n"/>
      <c r="AF184" s="15" t="n"/>
      <c r="AG184" s="15" t="n"/>
      <c r="AH184" s="17" t="n"/>
      <c r="AI184" s="15" t="n"/>
      <c r="AJ184" s="15" t="n"/>
      <c r="AK184" s="15" t="n"/>
      <c r="AL184" s="17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6" t="n"/>
      <c r="M185" s="16" t="n"/>
      <c r="N185" s="16" t="n"/>
      <c r="O185" s="15" t="n"/>
      <c r="P185" s="17" t="n"/>
      <c r="Q185" s="15" t="n"/>
      <c r="R185" s="15" t="n"/>
      <c r="S185" s="15" t="n"/>
      <c r="T185" s="10">
        <f>IF(AND(ISNUMBER(L185),L185&gt;0,ISNUMBER(O185),O185&gt;0),L185/O185,"")</f>
        <v/>
      </c>
      <c r="U185" s="11">
        <f>IF(AND(ISNUMBER(O185),O185&gt;0,ISNUMBER(Q185),Q185&gt;0,OR(R185="verificata",R185="intervallo")),O185/Q185,"")</f>
        <v/>
      </c>
      <c r="V185" s="18" t="n"/>
      <c r="W185" s="11">
        <f>IF(AND(ISNUMBER(U185),ISNUMBER(V185)),U185*(1-V185),"")</f>
        <v/>
      </c>
      <c r="X185" s="10">
        <f>IF(AND(ISNUMBER(L185),L185&gt;0,ISNUMBER(U185)),L185/U185*30,"")</f>
        <v/>
      </c>
      <c r="Y185" s="10">
        <f>IF(AND(ISNUMBER(L185),L185&gt;0,ISNUMBER(W185)),L185/W185*30,"")</f>
        <v/>
      </c>
      <c r="Z185" s="16" t="n"/>
      <c r="AA185" s="16" t="n"/>
      <c r="AB185" s="15" t="n"/>
      <c r="AC185" s="15" t="n"/>
      <c r="AD185" s="15" t="n"/>
      <c r="AE185" s="17" t="n"/>
      <c r="AF185" s="15" t="n"/>
      <c r="AG185" s="15" t="n"/>
      <c r="AH185" s="17" t="n"/>
      <c r="AI185" s="15" t="n"/>
      <c r="AJ185" s="15" t="n"/>
      <c r="AK185" s="15" t="n"/>
      <c r="AL185" s="17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6" t="n"/>
      <c r="M186" s="16" t="n"/>
      <c r="N186" s="16" t="n"/>
      <c r="O186" s="15" t="n"/>
      <c r="P186" s="17" t="n"/>
      <c r="Q186" s="15" t="n"/>
      <c r="R186" s="15" t="n"/>
      <c r="S186" s="15" t="n"/>
      <c r="T186" s="10">
        <f>IF(AND(ISNUMBER(L186),L186&gt;0,ISNUMBER(O186),O186&gt;0),L186/O186,"")</f>
        <v/>
      </c>
      <c r="U186" s="11">
        <f>IF(AND(ISNUMBER(O186),O186&gt;0,ISNUMBER(Q186),Q186&gt;0,OR(R186="verificata",R186="intervallo")),O186/Q186,"")</f>
        <v/>
      </c>
      <c r="V186" s="18" t="n"/>
      <c r="W186" s="11">
        <f>IF(AND(ISNUMBER(U186),ISNUMBER(V186)),U186*(1-V186),"")</f>
        <v/>
      </c>
      <c r="X186" s="10">
        <f>IF(AND(ISNUMBER(L186),L186&gt;0,ISNUMBER(U186)),L186/U186*30,"")</f>
        <v/>
      </c>
      <c r="Y186" s="10">
        <f>IF(AND(ISNUMBER(L186),L186&gt;0,ISNUMBER(W186)),L186/W186*30,"")</f>
        <v/>
      </c>
      <c r="Z186" s="16" t="n"/>
      <c r="AA186" s="16" t="n"/>
      <c r="AB186" s="15" t="n"/>
      <c r="AC186" s="15" t="n"/>
      <c r="AD186" s="15" t="n"/>
      <c r="AE186" s="17" t="n"/>
      <c r="AF186" s="15" t="n"/>
      <c r="AG186" s="15" t="n"/>
      <c r="AH186" s="17" t="n"/>
      <c r="AI186" s="15" t="n"/>
      <c r="AJ186" s="15" t="n"/>
      <c r="AK186" s="15" t="n"/>
      <c r="AL186" s="17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6" t="n"/>
      <c r="M187" s="16" t="n"/>
      <c r="N187" s="16" t="n"/>
      <c r="O187" s="15" t="n"/>
      <c r="P187" s="17" t="n"/>
      <c r="Q187" s="15" t="n"/>
      <c r="R187" s="15" t="n"/>
      <c r="S187" s="15" t="n"/>
      <c r="T187" s="10">
        <f>IF(AND(ISNUMBER(L187),L187&gt;0,ISNUMBER(O187),O187&gt;0),L187/O187,"")</f>
        <v/>
      </c>
      <c r="U187" s="11">
        <f>IF(AND(ISNUMBER(O187),O187&gt;0,ISNUMBER(Q187),Q187&gt;0,OR(R187="verificata",R187="intervallo")),O187/Q187,"")</f>
        <v/>
      </c>
      <c r="V187" s="18" t="n"/>
      <c r="W187" s="11">
        <f>IF(AND(ISNUMBER(U187),ISNUMBER(V187)),U187*(1-V187),"")</f>
        <v/>
      </c>
      <c r="X187" s="10">
        <f>IF(AND(ISNUMBER(L187),L187&gt;0,ISNUMBER(U187)),L187/U187*30,"")</f>
        <v/>
      </c>
      <c r="Y187" s="10">
        <f>IF(AND(ISNUMBER(L187),L187&gt;0,ISNUMBER(W187)),L187/W187*30,"")</f>
        <v/>
      </c>
      <c r="Z187" s="16" t="n"/>
      <c r="AA187" s="16" t="n"/>
      <c r="AB187" s="15" t="n"/>
      <c r="AC187" s="15" t="n"/>
      <c r="AD187" s="15" t="n"/>
      <c r="AE187" s="17" t="n"/>
      <c r="AF187" s="15" t="n"/>
      <c r="AG187" s="15" t="n"/>
      <c r="AH187" s="17" t="n"/>
      <c r="AI187" s="15" t="n"/>
      <c r="AJ187" s="15" t="n"/>
      <c r="AK187" s="15" t="n"/>
      <c r="AL187" s="17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6" t="n"/>
      <c r="M188" s="16" t="n"/>
      <c r="N188" s="16" t="n"/>
      <c r="O188" s="15" t="n"/>
      <c r="P188" s="17" t="n"/>
      <c r="Q188" s="15" t="n"/>
      <c r="R188" s="15" t="n"/>
      <c r="S188" s="15" t="n"/>
      <c r="T188" s="10">
        <f>IF(AND(ISNUMBER(L188),L188&gt;0,ISNUMBER(O188),O188&gt;0),L188/O188,"")</f>
        <v/>
      </c>
      <c r="U188" s="11">
        <f>IF(AND(ISNUMBER(O188),O188&gt;0,ISNUMBER(Q188),Q188&gt;0,OR(R188="verificata",R188="intervallo")),O188/Q188,"")</f>
        <v/>
      </c>
      <c r="V188" s="18" t="n"/>
      <c r="W188" s="11">
        <f>IF(AND(ISNUMBER(U188),ISNUMBER(V188)),U188*(1-V188),"")</f>
        <v/>
      </c>
      <c r="X188" s="10">
        <f>IF(AND(ISNUMBER(L188),L188&gt;0,ISNUMBER(U188)),L188/U188*30,"")</f>
        <v/>
      </c>
      <c r="Y188" s="10">
        <f>IF(AND(ISNUMBER(L188),L188&gt;0,ISNUMBER(W188)),L188/W188*30,"")</f>
        <v/>
      </c>
      <c r="Z188" s="16" t="n"/>
      <c r="AA188" s="16" t="n"/>
      <c r="AB188" s="15" t="n"/>
      <c r="AC188" s="15" t="n"/>
      <c r="AD188" s="15" t="n"/>
      <c r="AE188" s="17" t="n"/>
      <c r="AF188" s="15" t="n"/>
      <c r="AG188" s="15" t="n"/>
      <c r="AH188" s="17" t="n"/>
      <c r="AI188" s="15" t="n"/>
      <c r="AJ188" s="15" t="n"/>
      <c r="AK188" s="15" t="n"/>
      <c r="AL188" s="17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6" t="n"/>
      <c r="M189" s="16" t="n"/>
      <c r="N189" s="16" t="n"/>
      <c r="O189" s="15" t="n"/>
      <c r="P189" s="17" t="n"/>
      <c r="Q189" s="15" t="n"/>
      <c r="R189" s="15" t="n"/>
      <c r="S189" s="15" t="n"/>
      <c r="T189" s="10">
        <f>IF(AND(ISNUMBER(L189),L189&gt;0,ISNUMBER(O189),O189&gt;0),L189/O189,"")</f>
        <v/>
      </c>
      <c r="U189" s="11">
        <f>IF(AND(ISNUMBER(O189),O189&gt;0,ISNUMBER(Q189),Q189&gt;0,OR(R189="verificata",R189="intervallo")),O189/Q189,"")</f>
        <v/>
      </c>
      <c r="V189" s="18" t="n"/>
      <c r="W189" s="11">
        <f>IF(AND(ISNUMBER(U189),ISNUMBER(V189)),U189*(1-V189),"")</f>
        <v/>
      </c>
      <c r="X189" s="10">
        <f>IF(AND(ISNUMBER(L189),L189&gt;0,ISNUMBER(U189)),L189/U189*30,"")</f>
        <v/>
      </c>
      <c r="Y189" s="10">
        <f>IF(AND(ISNUMBER(L189),L189&gt;0,ISNUMBER(W189)),L189/W189*30,"")</f>
        <v/>
      </c>
      <c r="Z189" s="16" t="n"/>
      <c r="AA189" s="16" t="n"/>
      <c r="AB189" s="15" t="n"/>
      <c r="AC189" s="15" t="n"/>
      <c r="AD189" s="15" t="n"/>
      <c r="AE189" s="17" t="n"/>
      <c r="AF189" s="15" t="n"/>
      <c r="AG189" s="15" t="n"/>
      <c r="AH189" s="17" t="n"/>
      <c r="AI189" s="15" t="n"/>
      <c r="AJ189" s="15" t="n"/>
      <c r="AK189" s="15" t="n"/>
      <c r="AL189" s="17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6" t="n"/>
      <c r="M190" s="16" t="n"/>
      <c r="N190" s="16" t="n"/>
      <c r="O190" s="15" t="n"/>
      <c r="P190" s="17" t="n"/>
      <c r="Q190" s="15" t="n"/>
      <c r="R190" s="15" t="n"/>
      <c r="S190" s="15" t="n"/>
      <c r="T190" s="10">
        <f>IF(AND(ISNUMBER(L190),L190&gt;0,ISNUMBER(O190),O190&gt;0),L190/O190,"")</f>
        <v/>
      </c>
      <c r="U190" s="11">
        <f>IF(AND(ISNUMBER(O190),O190&gt;0,ISNUMBER(Q190),Q190&gt;0,OR(R190="verificata",R190="intervallo")),O190/Q190,"")</f>
        <v/>
      </c>
      <c r="V190" s="18" t="n"/>
      <c r="W190" s="11">
        <f>IF(AND(ISNUMBER(U190),ISNUMBER(V190)),U190*(1-V190),"")</f>
        <v/>
      </c>
      <c r="X190" s="10">
        <f>IF(AND(ISNUMBER(L190),L190&gt;0,ISNUMBER(U190)),L190/U190*30,"")</f>
        <v/>
      </c>
      <c r="Y190" s="10">
        <f>IF(AND(ISNUMBER(L190),L190&gt;0,ISNUMBER(W190)),L190/W190*30,"")</f>
        <v/>
      </c>
      <c r="Z190" s="16" t="n"/>
      <c r="AA190" s="16" t="n"/>
      <c r="AB190" s="15" t="n"/>
      <c r="AC190" s="15" t="n"/>
      <c r="AD190" s="15" t="n"/>
      <c r="AE190" s="17" t="n"/>
      <c r="AF190" s="15" t="n"/>
      <c r="AG190" s="15" t="n"/>
      <c r="AH190" s="17" t="n"/>
      <c r="AI190" s="15" t="n"/>
      <c r="AJ190" s="15" t="n"/>
      <c r="AK190" s="15" t="n"/>
      <c r="AL190" s="17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6" t="n"/>
      <c r="M191" s="16" t="n"/>
      <c r="N191" s="16" t="n"/>
      <c r="O191" s="15" t="n"/>
      <c r="P191" s="17" t="n"/>
      <c r="Q191" s="15" t="n"/>
      <c r="R191" s="15" t="n"/>
      <c r="S191" s="15" t="n"/>
      <c r="T191" s="10">
        <f>IF(AND(ISNUMBER(L191),L191&gt;0,ISNUMBER(O191),O191&gt;0),L191/O191,"")</f>
        <v/>
      </c>
      <c r="U191" s="11">
        <f>IF(AND(ISNUMBER(O191),O191&gt;0,ISNUMBER(Q191),Q191&gt;0,OR(R191="verificata",R191="intervallo")),O191/Q191,"")</f>
        <v/>
      </c>
      <c r="V191" s="18" t="n"/>
      <c r="W191" s="11">
        <f>IF(AND(ISNUMBER(U191),ISNUMBER(V191)),U191*(1-V191),"")</f>
        <v/>
      </c>
      <c r="X191" s="10">
        <f>IF(AND(ISNUMBER(L191),L191&gt;0,ISNUMBER(U191)),L191/U191*30,"")</f>
        <v/>
      </c>
      <c r="Y191" s="10">
        <f>IF(AND(ISNUMBER(L191),L191&gt;0,ISNUMBER(W191)),L191/W191*30,"")</f>
        <v/>
      </c>
      <c r="Z191" s="16" t="n"/>
      <c r="AA191" s="16" t="n"/>
      <c r="AB191" s="15" t="n"/>
      <c r="AC191" s="15" t="n"/>
      <c r="AD191" s="15" t="n"/>
      <c r="AE191" s="17" t="n"/>
      <c r="AF191" s="15" t="n"/>
      <c r="AG191" s="15" t="n"/>
      <c r="AH191" s="17" t="n"/>
      <c r="AI191" s="15" t="n"/>
      <c r="AJ191" s="15" t="n"/>
      <c r="AK191" s="15" t="n"/>
      <c r="AL191" s="17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6" t="n"/>
      <c r="M192" s="16" t="n"/>
      <c r="N192" s="16" t="n"/>
      <c r="O192" s="15" t="n"/>
      <c r="P192" s="17" t="n"/>
      <c r="Q192" s="15" t="n"/>
      <c r="R192" s="15" t="n"/>
      <c r="S192" s="15" t="n"/>
      <c r="T192" s="10">
        <f>IF(AND(ISNUMBER(L192),L192&gt;0,ISNUMBER(O192),O192&gt;0),L192/O192,"")</f>
        <v/>
      </c>
      <c r="U192" s="11">
        <f>IF(AND(ISNUMBER(O192),O192&gt;0,ISNUMBER(Q192),Q192&gt;0,OR(R192="verificata",R192="intervallo")),O192/Q192,"")</f>
        <v/>
      </c>
      <c r="V192" s="18" t="n"/>
      <c r="W192" s="11">
        <f>IF(AND(ISNUMBER(U192),ISNUMBER(V192)),U192*(1-V192),"")</f>
        <v/>
      </c>
      <c r="X192" s="10">
        <f>IF(AND(ISNUMBER(L192),L192&gt;0,ISNUMBER(U192)),L192/U192*30,"")</f>
        <v/>
      </c>
      <c r="Y192" s="10">
        <f>IF(AND(ISNUMBER(L192),L192&gt;0,ISNUMBER(W192)),L192/W192*30,"")</f>
        <v/>
      </c>
      <c r="Z192" s="16" t="n"/>
      <c r="AA192" s="16" t="n"/>
      <c r="AB192" s="15" t="n"/>
      <c r="AC192" s="15" t="n"/>
      <c r="AD192" s="15" t="n"/>
      <c r="AE192" s="17" t="n"/>
      <c r="AF192" s="15" t="n"/>
      <c r="AG192" s="15" t="n"/>
      <c r="AH192" s="17" t="n"/>
      <c r="AI192" s="15" t="n"/>
      <c r="AJ192" s="15" t="n"/>
      <c r="AK192" s="15" t="n"/>
      <c r="AL192" s="17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6" t="n"/>
      <c r="M193" s="16" t="n"/>
      <c r="N193" s="16" t="n"/>
      <c r="O193" s="15" t="n"/>
      <c r="P193" s="17" t="n"/>
      <c r="Q193" s="15" t="n"/>
      <c r="R193" s="15" t="n"/>
      <c r="S193" s="15" t="n"/>
      <c r="T193" s="10">
        <f>IF(AND(ISNUMBER(L193),L193&gt;0,ISNUMBER(O193),O193&gt;0),L193/O193,"")</f>
        <v/>
      </c>
      <c r="U193" s="11">
        <f>IF(AND(ISNUMBER(O193),O193&gt;0,ISNUMBER(Q193),Q193&gt;0,OR(R193="verificata",R193="intervallo")),O193/Q193,"")</f>
        <v/>
      </c>
      <c r="V193" s="18" t="n"/>
      <c r="W193" s="11">
        <f>IF(AND(ISNUMBER(U193),ISNUMBER(V193)),U193*(1-V193),"")</f>
        <v/>
      </c>
      <c r="X193" s="10">
        <f>IF(AND(ISNUMBER(L193),L193&gt;0,ISNUMBER(U193)),L193/U193*30,"")</f>
        <v/>
      </c>
      <c r="Y193" s="10">
        <f>IF(AND(ISNUMBER(L193),L193&gt;0,ISNUMBER(W193)),L193/W193*30,"")</f>
        <v/>
      </c>
      <c r="Z193" s="16" t="n"/>
      <c r="AA193" s="16" t="n"/>
      <c r="AB193" s="15" t="n"/>
      <c r="AC193" s="15" t="n"/>
      <c r="AD193" s="15" t="n"/>
      <c r="AE193" s="17" t="n"/>
      <c r="AF193" s="15" t="n"/>
      <c r="AG193" s="15" t="n"/>
      <c r="AH193" s="17" t="n"/>
      <c r="AI193" s="15" t="n"/>
      <c r="AJ193" s="15" t="n"/>
      <c r="AK193" s="15" t="n"/>
      <c r="AL193" s="17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6" t="n"/>
      <c r="M194" s="16" t="n"/>
      <c r="N194" s="16" t="n"/>
      <c r="O194" s="15" t="n"/>
      <c r="P194" s="17" t="n"/>
      <c r="Q194" s="15" t="n"/>
      <c r="R194" s="15" t="n"/>
      <c r="S194" s="15" t="n"/>
      <c r="T194" s="10">
        <f>IF(AND(ISNUMBER(L194),L194&gt;0,ISNUMBER(O194),O194&gt;0),L194/O194,"")</f>
        <v/>
      </c>
      <c r="U194" s="11">
        <f>IF(AND(ISNUMBER(O194),O194&gt;0,ISNUMBER(Q194),Q194&gt;0,OR(R194="verificata",R194="intervallo")),O194/Q194,"")</f>
        <v/>
      </c>
      <c r="V194" s="18" t="n"/>
      <c r="W194" s="11">
        <f>IF(AND(ISNUMBER(U194),ISNUMBER(V194)),U194*(1-V194),"")</f>
        <v/>
      </c>
      <c r="X194" s="10">
        <f>IF(AND(ISNUMBER(L194),L194&gt;0,ISNUMBER(U194)),L194/U194*30,"")</f>
        <v/>
      </c>
      <c r="Y194" s="10">
        <f>IF(AND(ISNUMBER(L194),L194&gt;0,ISNUMBER(W194)),L194/W194*30,"")</f>
        <v/>
      </c>
      <c r="Z194" s="16" t="n"/>
      <c r="AA194" s="16" t="n"/>
      <c r="AB194" s="15" t="n"/>
      <c r="AC194" s="15" t="n"/>
      <c r="AD194" s="15" t="n"/>
      <c r="AE194" s="17" t="n"/>
      <c r="AF194" s="15" t="n"/>
      <c r="AG194" s="15" t="n"/>
      <c r="AH194" s="17" t="n"/>
      <c r="AI194" s="15" t="n"/>
      <c r="AJ194" s="15" t="n"/>
      <c r="AK194" s="15" t="n"/>
      <c r="AL194" s="17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6" t="n"/>
      <c r="M195" s="16" t="n"/>
      <c r="N195" s="16" t="n"/>
      <c r="O195" s="15" t="n"/>
      <c r="P195" s="17" t="n"/>
      <c r="Q195" s="15" t="n"/>
      <c r="R195" s="15" t="n"/>
      <c r="S195" s="15" t="n"/>
      <c r="T195" s="10">
        <f>IF(AND(ISNUMBER(L195),L195&gt;0,ISNUMBER(O195),O195&gt;0),L195/O195,"")</f>
        <v/>
      </c>
      <c r="U195" s="11">
        <f>IF(AND(ISNUMBER(O195),O195&gt;0,ISNUMBER(Q195),Q195&gt;0,OR(R195="verificata",R195="intervallo")),O195/Q195,"")</f>
        <v/>
      </c>
      <c r="V195" s="18" t="n"/>
      <c r="W195" s="11">
        <f>IF(AND(ISNUMBER(U195),ISNUMBER(V195)),U195*(1-V195),"")</f>
        <v/>
      </c>
      <c r="X195" s="10">
        <f>IF(AND(ISNUMBER(L195),L195&gt;0,ISNUMBER(U195)),L195/U195*30,"")</f>
        <v/>
      </c>
      <c r="Y195" s="10">
        <f>IF(AND(ISNUMBER(L195),L195&gt;0,ISNUMBER(W195)),L195/W195*30,"")</f>
        <v/>
      </c>
      <c r="Z195" s="16" t="n"/>
      <c r="AA195" s="16" t="n"/>
      <c r="AB195" s="15" t="n"/>
      <c r="AC195" s="15" t="n"/>
      <c r="AD195" s="15" t="n"/>
      <c r="AE195" s="17" t="n"/>
      <c r="AF195" s="15" t="n"/>
      <c r="AG195" s="15" t="n"/>
      <c r="AH195" s="17" t="n"/>
      <c r="AI195" s="15" t="n"/>
      <c r="AJ195" s="15" t="n"/>
      <c r="AK195" s="15" t="n"/>
      <c r="AL195" s="17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6" t="n"/>
      <c r="M196" s="16" t="n"/>
      <c r="N196" s="16" t="n"/>
      <c r="O196" s="15" t="n"/>
      <c r="P196" s="17" t="n"/>
      <c r="Q196" s="15" t="n"/>
      <c r="R196" s="15" t="n"/>
      <c r="S196" s="15" t="n"/>
      <c r="T196" s="10">
        <f>IF(AND(ISNUMBER(L196),L196&gt;0,ISNUMBER(O196),O196&gt;0),L196/O196,"")</f>
        <v/>
      </c>
      <c r="U196" s="11">
        <f>IF(AND(ISNUMBER(O196),O196&gt;0,ISNUMBER(Q196),Q196&gt;0,OR(R196="verificata",R196="intervallo")),O196/Q196,"")</f>
        <v/>
      </c>
      <c r="V196" s="18" t="n"/>
      <c r="W196" s="11">
        <f>IF(AND(ISNUMBER(U196),ISNUMBER(V196)),U196*(1-V196),"")</f>
        <v/>
      </c>
      <c r="X196" s="10">
        <f>IF(AND(ISNUMBER(L196),L196&gt;0,ISNUMBER(U196)),L196/U196*30,"")</f>
        <v/>
      </c>
      <c r="Y196" s="10">
        <f>IF(AND(ISNUMBER(L196),L196&gt;0,ISNUMBER(W196)),L196/W196*30,"")</f>
        <v/>
      </c>
      <c r="Z196" s="16" t="n"/>
      <c r="AA196" s="16" t="n"/>
      <c r="AB196" s="15" t="n"/>
      <c r="AC196" s="15" t="n"/>
      <c r="AD196" s="15" t="n"/>
      <c r="AE196" s="17" t="n"/>
      <c r="AF196" s="15" t="n"/>
      <c r="AG196" s="15" t="n"/>
      <c r="AH196" s="17" t="n"/>
      <c r="AI196" s="15" t="n"/>
      <c r="AJ196" s="15" t="n"/>
      <c r="AK196" s="15" t="n"/>
      <c r="AL196" s="17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6" t="n"/>
      <c r="M197" s="16" t="n"/>
      <c r="N197" s="16" t="n"/>
      <c r="O197" s="15" t="n"/>
      <c r="P197" s="17" t="n"/>
      <c r="Q197" s="15" t="n"/>
      <c r="R197" s="15" t="n"/>
      <c r="S197" s="15" t="n"/>
      <c r="T197" s="10">
        <f>IF(AND(ISNUMBER(L197),L197&gt;0,ISNUMBER(O197),O197&gt;0),L197/O197,"")</f>
        <v/>
      </c>
      <c r="U197" s="11">
        <f>IF(AND(ISNUMBER(O197),O197&gt;0,ISNUMBER(Q197),Q197&gt;0,OR(R197="verificata",R197="intervallo")),O197/Q197,"")</f>
        <v/>
      </c>
      <c r="V197" s="18" t="n"/>
      <c r="W197" s="11">
        <f>IF(AND(ISNUMBER(U197),ISNUMBER(V197)),U197*(1-V197),"")</f>
        <v/>
      </c>
      <c r="X197" s="10">
        <f>IF(AND(ISNUMBER(L197),L197&gt;0,ISNUMBER(U197)),L197/U197*30,"")</f>
        <v/>
      </c>
      <c r="Y197" s="10">
        <f>IF(AND(ISNUMBER(L197),L197&gt;0,ISNUMBER(W197)),L197/W197*30,"")</f>
        <v/>
      </c>
      <c r="Z197" s="16" t="n"/>
      <c r="AA197" s="16" t="n"/>
      <c r="AB197" s="15" t="n"/>
      <c r="AC197" s="15" t="n"/>
      <c r="AD197" s="15" t="n"/>
      <c r="AE197" s="17" t="n"/>
      <c r="AF197" s="15" t="n"/>
      <c r="AG197" s="15" t="n"/>
      <c r="AH197" s="17" t="n"/>
      <c r="AI197" s="15" t="n"/>
      <c r="AJ197" s="15" t="n"/>
      <c r="AK197" s="15" t="n"/>
      <c r="AL197" s="17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6" t="n"/>
      <c r="M198" s="16" t="n"/>
      <c r="N198" s="16" t="n"/>
      <c r="O198" s="15" t="n"/>
      <c r="P198" s="17" t="n"/>
      <c r="Q198" s="15" t="n"/>
      <c r="R198" s="15" t="n"/>
      <c r="S198" s="15" t="n"/>
      <c r="T198" s="10">
        <f>IF(AND(ISNUMBER(L198),L198&gt;0,ISNUMBER(O198),O198&gt;0),L198/O198,"")</f>
        <v/>
      </c>
      <c r="U198" s="11">
        <f>IF(AND(ISNUMBER(O198),O198&gt;0,ISNUMBER(Q198),Q198&gt;0,OR(R198="verificata",R198="intervallo")),O198/Q198,"")</f>
        <v/>
      </c>
      <c r="V198" s="18" t="n"/>
      <c r="W198" s="11">
        <f>IF(AND(ISNUMBER(U198),ISNUMBER(V198)),U198*(1-V198),"")</f>
        <v/>
      </c>
      <c r="X198" s="10">
        <f>IF(AND(ISNUMBER(L198),L198&gt;0,ISNUMBER(U198)),L198/U198*30,"")</f>
        <v/>
      </c>
      <c r="Y198" s="10">
        <f>IF(AND(ISNUMBER(L198),L198&gt;0,ISNUMBER(W198)),L198/W198*30,"")</f>
        <v/>
      </c>
      <c r="Z198" s="16" t="n"/>
      <c r="AA198" s="16" t="n"/>
      <c r="AB198" s="15" t="n"/>
      <c r="AC198" s="15" t="n"/>
      <c r="AD198" s="15" t="n"/>
      <c r="AE198" s="17" t="n"/>
      <c r="AF198" s="15" t="n"/>
      <c r="AG198" s="15" t="n"/>
      <c r="AH198" s="17" t="n"/>
      <c r="AI198" s="15" t="n"/>
      <c r="AJ198" s="15" t="n"/>
      <c r="AK198" s="15" t="n"/>
      <c r="AL198" s="17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6" t="n"/>
      <c r="M199" s="16" t="n"/>
      <c r="N199" s="16" t="n"/>
      <c r="O199" s="15" t="n"/>
      <c r="P199" s="17" t="n"/>
      <c r="Q199" s="15" t="n"/>
      <c r="R199" s="15" t="n"/>
      <c r="S199" s="15" t="n"/>
      <c r="T199" s="10">
        <f>IF(AND(ISNUMBER(L199),L199&gt;0,ISNUMBER(O199),O199&gt;0),L199/O199,"")</f>
        <v/>
      </c>
      <c r="U199" s="11">
        <f>IF(AND(ISNUMBER(O199),O199&gt;0,ISNUMBER(Q199),Q199&gt;0,OR(R199="verificata",R199="intervallo")),O199/Q199,"")</f>
        <v/>
      </c>
      <c r="V199" s="18" t="n"/>
      <c r="W199" s="11">
        <f>IF(AND(ISNUMBER(U199),ISNUMBER(V199)),U199*(1-V199),"")</f>
        <v/>
      </c>
      <c r="X199" s="10">
        <f>IF(AND(ISNUMBER(L199),L199&gt;0,ISNUMBER(U199)),L199/U199*30,"")</f>
        <v/>
      </c>
      <c r="Y199" s="10">
        <f>IF(AND(ISNUMBER(L199),L199&gt;0,ISNUMBER(W199)),L199/W199*30,"")</f>
        <v/>
      </c>
      <c r="Z199" s="16" t="n"/>
      <c r="AA199" s="16" t="n"/>
      <c r="AB199" s="15" t="n"/>
      <c r="AC199" s="15" t="n"/>
      <c r="AD199" s="15" t="n"/>
      <c r="AE199" s="17" t="n"/>
      <c r="AF199" s="15" t="n"/>
      <c r="AG199" s="15" t="n"/>
      <c r="AH199" s="17" t="n"/>
      <c r="AI199" s="15" t="n"/>
      <c r="AJ199" s="15" t="n"/>
      <c r="AK199" s="15" t="n"/>
      <c r="AL199" s="17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6" t="n"/>
      <c r="M200" s="16" t="n"/>
      <c r="N200" s="16" t="n"/>
      <c r="O200" s="15" t="n"/>
      <c r="P200" s="17" t="n"/>
      <c r="Q200" s="15" t="n"/>
      <c r="R200" s="15" t="n"/>
      <c r="S200" s="15" t="n"/>
      <c r="T200" s="10">
        <f>IF(AND(ISNUMBER(L200),L200&gt;0,ISNUMBER(O200),O200&gt;0),L200/O200,"")</f>
        <v/>
      </c>
      <c r="U200" s="11">
        <f>IF(AND(ISNUMBER(O200),O200&gt;0,ISNUMBER(Q200),Q200&gt;0,OR(R200="verificata",R200="intervallo")),O200/Q200,"")</f>
        <v/>
      </c>
      <c r="V200" s="18" t="n"/>
      <c r="W200" s="11">
        <f>IF(AND(ISNUMBER(U200),ISNUMBER(V200)),U200*(1-V200),"")</f>
        <v/>
      </c>
      <c r="X200" s="10">
        <f>IF(AND(ISNUMBER(L200),L200&gt;0,ISNUMBER(U200)),L200/U200*30,"")</f>
        <v/>
      </c>
      <c r="Y200" s="10">
        <f>IF(AND(ISNUMBER(L200),L200&gt;0,ISNUMBER(W200)),L200/W200*30,"")</f>
        <v/>
      </c>
      <c r="Z200" s="16" t="n"/>
      <c r="AA200" s="16" t="n"/>
      <c r="AB200" s="15" t="n"/>
      <c r="AC200" s="15" t="n"/>
      <c r="AD200" s="15" t="n"/>
      <c r="AE200" s="17" t="n"/>
      <c r="AF200" s="15" t="n"/>
      <c r="AG200" s="15" t="n"/>
      <c r="AH200" s="17" t="n"/>
      <c r="AI200" s="15" t="n"/>
      <c r="AJ200" s="15" t="n"/>
      <c r="AK200" s="15" t="n"/>
      <c r="AL200" s="17" t="n"/>
    </row>
  </sheetData>
  <dataValidations count="9">
    <dataValidation sqref="C2:C200" showDropDown="0" showInputMessage="0" showErrorMessage="0" allowBlank="1" type="list">
      <formula1>"concorrente,farmaco,KRINÉ"</formula1>
    </dataValidation>
    <dataValidation sqref="D2:D200" showDropDown="0" showInputMessage="0" showErrorMessage="0" allowBlank="1" type="list">
      <formula1>"prioritario,riferimento,-"</formula1>
    </dataValidation>
    <dataValidation sqref="R2:R200" showDropDown="0" showInputMessage="0" showErrorMessage="0" allowBlank="1" type="list">
      <formula1>"verificata,intervallo,dedotta,non disponibile"</formula1>
    </dataValidation>
    <dataValidation sqref="S2:S200" showDropDown="0" showInputMessage="0" showErrorMessage="0" allowBlank="1" type="list">
      <formula1>"iniziale,mantenimento,unica"</formula1>
    </dataValidation>
    <dataValidation sqref="AD2:AD200" showDropDown="0" showInputMessage="0" showErrorMessage="0" allowBlank="1" type="list">
      <formula1>"cute,rottura della fibra,aspetto,caduta,ricrescita (farmaco)"</formula1>
    </dataValidation>
    <dataValidation sqref="AF2:AF200" showDropDown="0" showInputMessage="0" showErrorMessage="0" allowBlank="1" type="list">
      <formula1>"nessuna,alcune,tutte,non verificato"</formula1>
    </dataValidation>
    <dataValidation sqref="AG2:AG200" showDropDown="0" showInputMessage="0" showErrorMessage="0" allowBlank="1" type="list">
      <formula1>"sì,no,non verificato"</formula1>
    </dataValidation>
    <dataValidation sqref="AI2:AI200" showDropDown="0" showInputMessage="0" showErrorMessage="0" allowBlank="1" type="list">
      <formula1>"sì,no,non verificato"</formula1>
    </dataValidation>
    <dataValidation sqref="AK2:AK200" showDropDown="0" showInputMessage="0" showErrorMessage="0" allowBlank="1" type="list">
      <formula1>"da verificare,verificato,nostro dato"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8"/>
  <sheetViews>
    <sheetView workbookViewId="0">
      <selection activeCell="A1" sqref="A1"/>
    </sheetView>
  </sheetViews>
  <sheetFormatPr baseColWidth="8" defaultRowHeight="15"/>
  <cols>
    <col width="56" customWidth="1" min="2" max="2"/>
    <col width="14" customWidth="1" min="3" max="3"/>
    <col width="70" customWidth="1" min="4" max="4"/>
  </cols>
  <sheetData>
    <row r="2">
      <c r="B2" s="1" t="inlineStr">
        <is>
          <t>Che cosa dice la mappa</t>
        </is>
      </c>
    </row>
    <row r="3">
      <c r="B3" s="19" t="inlineStr">
        <is>
          <t>Solo righe di concorrenti e farmaci, escluse le righe KRINÉ. Le statistiche di costo usano solo righe verificate con dose verificata.</t>
        </is>
      </c>
    </row>
    <row r="5">
      <c r="B5" s="3" t="inlineStr">
        <is>
          <t>Righe di concorrenti e farmaci (una per marca)</t>
        </is>
      </c>
      <c r="C5" s="20">
        <f>COUNTIF(Mappa!$C$2:$C$200,"concorrente")+COUNTIF(Mappa!$C$2:$C$200,"farmaco")</f>
        <v/>
      </c>
      <c r="D5" s="19" t="inlineStr">
        <is>
          <t>Le quattro righe KRINÉ sono offerte nostre e non entrano nei conteggi</t>
        </is>
      </c>
    </row>
    <row r="6">
      <c r="B6" s="3" t="inlineStr">
        <is>
          <t>di cui del gruppo prioritario</t>
        </is>
      </c>
      <c r="C6" s="20">
        <f>COUNTIFS(Mappa!$C$2:$C$200,"&lt;&gt;KRINÉ",Mappa!$D$2:$D$200,"prioritario")</f>
        <v/>
      </c>
      <c r="D6" s="19" t="inlineStr">
        <is>
          <t>Le alternative che il cliente considera davvero</t>
        </is>
      </c>
    </row>
    <row r="7">
      <c r="B7" s="3" t="inlineStr">
        <is>
          <t>Righe verificate</t>
        </is>
      </c>
      <c r="C7" s="20">
        <f>COUNTIFS(Mappa!$C$2:$C$200,"&lt;&gt;KRINÉ",Mappa!$AK$2:$AK$200,"verificato")</f>
        <v/>
      </c>
      <c r="D7" s="19" t="inlineStr">
        <is>
          <t>Finché è zero, la mappa non è una fonte</t>
        </is>
      </c>
    </row>
    <row r="8">
      <c r="B8" s="3" t="inlineStr">
        <is>
          <t>Prioritarie verificate</t>
        </is>
      </c>
      <c r="C8" s="20">
        <f>COUNTIFS(Mappa!$C$2:$C$200,"&lt;&gt;KRINÉ",Mappa!$AK$2:$AK$200,"verificato",Mappa!$D$2:$D$200,"prioritario")</f>
        <v/>
      </c>
      <c r="D8" s="19" t="inlineStr">
        <is>
          <t>Obiettivo: dieci su dieci</t>
        </is>
      </c>
    </row>
    <row r="9">
      <c r="B9" s="3" t="inlineStr">
        <is>
          <t>Righe con dose verificata</t>
        </is>
      </c>
      <c r="C9" s="20">
        <f>COUNTIFS(Mappa!$C$2:$C$200,"&lt;&gt;KRINÉ",Mappa!$R$2:$R$200,"verificata")</f>
        <v/>
      </c>
      <c r="D9" s="19" t="inlineStr">
        <is>
          <t>Le sole su cui si può calcolare un costo per 30 giorni</t>
        </is>
      </c>
    </row>
    <row r="10">
      <c r="B10" s="3" t="inlineStr"/>
    </row>
    <row r="11">
      <c r="B11" s="3" t="inlineStr">
        <is>
          <t>Costo per 30 giorni, minimo</t>
        </is>
      </c>
      <c r="C11" s="21">
        <f>IF(COUNTIFS(Mappa!$C$2:$C$200,"&lt;&gt;KRINÉ",Mappa!$AK$2:$AK$200,"verificato",Mappa!$R$2:$R$200,"verificata")=0,"",_xlfn.MINIFS(Mappa!$X$2:$X$200,Mappa!$C$2:$C$200,"&lt;&gt;KRINÉ",Mappa!$AK$2:$AK$200,"verificato",Mappa!$R$2:$R$200,"verificata"))</f>
        <v/>
      </c>
      <c r="D11" s="19" t="inlineStr">
        <is>
          <t>Solo righe verificate con dose verificata</t>
        </is>
      </c>
    </row>
    <row r="12">
      <c r="B12" s="3" t="inlineStr">
        <is>
          <t>Costo per 30 giorni, massimo</t>
        </is>
      </c>
      <c r="C12" s="21">
        <f>IF(COUNTIFS(Mappa!$C$2:$C$200,"&lt;&gt;KRINÉ",Mappa!$AK$2:$AK$200,"verificato",Mappa!$R$2:$R$200,"verificata")=0,"",_xlfn.MAXIFS(Mappa!$X$2:$X$200,Mappa!$C$2:$C$200,"&lt;&gt;KRINÉ",Mappa!$AK$2:$AK$200,"verificato",Mappa!$R$2:$R$200,"verificata"))</f>
        <v/>
      </c>
      <c r="D12" s="19" t="inlineStr"/>
    </row>
    <row r="13">
      <c r="B13" s="3" t="inlineStr">
        <is>
          <t>Costo per 30 giorni, media</t>
        </is>
      </c>
      <c r="C13" s="21">
        <f>IF(COUNTIFS(Mappa!$C$2:$C$200,"&lt;&gt;KRINÉ",Mappa!$AK$2:$AK$200,"verificato",Mappa!$R$2:$R$200,"verificata")=0,"",AVERAGEIFS(Mappa!$X$2:$X$200,Mappa!$C$2:$C$200,"&lt;&gt;KRINÉ",Mappa!$AK$2:$AK$200,"verificato",Mappa!$R$2:$R$200,"verificata"))</f>
        <v/>
      </c>
      <c r="D13" s="19" t="inlineStr">
        <is>
          <t>Una media fra prodotti diversi non stabilisce il nostro prezzo</t>
        </is>
      </c>
    </row>
    <row r="14">
      <c r="B14" s="3" t="inlineStr">
        <is>
          <t>KRINÉ percorso da 6: costo per 30 giorni utilizzabili</t>
        </is>
      </c>
      <c r="C14" s="21">
        <f>IFERROR(IF(ISNUMBER(INDEX(Mappa!$Y$2:$Y$200,MATCH("Percorso da 6 flaconi",Mappa!$B$2:$B$200,0))),INDEX(Mappa!$Y$2:$Y$200,MATCH("Percorso da 6 flaconi",Mappa!$B$2:$B$200,0)),""),"")</f>
        <v/>
      </c>
      <c r="D14" s="19" t="inlineStr">
        <is>
          <t>Con il residuo del 5%</t>
        </is>
      </c>
    </row>
    <row r="15">
      <c r="B15" s="3" t="inlineStr">
        <is>
          <t>KRINÉ flacone singolo: costo per 30 giorni utilizzabili</t>
        </is>
      </c>
      <c r="C15" s="21">
        <f>IFERROR(IF(ISNUMBER(INDEX(Mappa!$Y$2:$Y$200,MATCH("Flacone singolo",Mappa!$B$2:$B$200,0))),INDEX(Mappa!$Y$2:$Y$200,MATCH("Flacone singolo",Mappa!$B$2:$B$200,0)),""),"")</f>
        <v/>
      </c>
      <c r="D15" s="19" t="inlineStr"/>
    </row>
    <row r="16">
      <c r="B16" s="3" t="inlineStr"/>
    </row>
    <row r="17">
      <c r="B17" s="3" t="inlineStr">
        <is>
          <t>Dichiarano tutte le percentuali</t>
        </is>
      </c>
      <c r="C17" s="20">
        <f>COUNTIFS(Mappa!$C$2:$C$200,"&lt;&gt;KRINÉ",Mappa!$AF$2:$AF$200,"tutte")</f>
        <v/>
      </c>
      <c r="D17" s="19" t="inlineStr">
        <is>
          <t>Il farmaco le dichiara per legge</t>
        </is>
      </c>
    </row>
    <row r="18">
      <c r="B18" s="3" t="inlineStr">
        <is>
          <t>Ne dichiarano alcune</t>
        </is>
      </c>
      <c r="C18" s="20">
        <f>COUNTIFS(Mappa!$C$2:$C$200,"&lt;&gt;KRINÉ",Mappa!$AF$2:$AF$200,"alcune")</f>
        <v/>
      </c>
      <c r="D18" s="19" t="inlineStr">
        <is>
          <t>La trasparenza parziale esiste già</t>
        </is>
      </c>
    </row>
    <row r="19">
      <c r="B19" s="3" t="inlineStr">
        <is>
          <t>Non ne dichiarano nessuna</t>
        </is>
      </c>
      <c r="C19" s="20">
        <f>COUNTIFS(Mappa!$C$2:$C$200,"&lt;&gt;KRINÉ",Mappa!$AF$2:$AF$200,"nessuna")</f>
        <v/>
      </c>
      <c r="D19" s="19" t="inlineStr"/>
    </row>
    <row r="20">
      <c r="B20" s="3" t="inlineStr">
        <is>
          <t>Offrono una garanzia di rimborso</t>
        </is>
      </c>
      <c r="C20" s="20">
        <f>COUNTIFS(Mappa!$C$2:$C$200,"&lt;&gt;KRINÉ",Mappa!$AG$2:$AG$200,"sì")</f>
        <v/>
      </c>
      <c r="D20" s="19" t="inlineStr">
        <is>
          <t>Conta solo i 'sì'</t>
        </is>
      </c>
    </row>
    <row r="21">
      <c r="B21" s="3" t="inlineStr">
        <is>
          <t>Garanzia non ancora verificata</t>
        </is>
      </c>
      <c r="C21" s="20">
        <f>COUNTIFS(Mappa!$C$2:$C$200,"&lt;&gt;KRINÉ",Mappa!$AG$2:$AG$200,"non verificato")</f>
        <v/>
      </c>
      <c r="D21" s="19" t="inlineStr"/>
    </row>
    <row r="22">
      <c r="B22" s="3" t="inlineStr">
        <is>
          <t>Hanno un abbonamento</t>
        </is>
      </c>
      <c r="C22" s="20">
        <f>COUNTIFS(Mappa!$C$2:$C$200,"&lt;&gt;KRINÉ",Mappa!$AI$2:$AI$200,"sì")</f>
        <v/>
      </c>
      <c r="D22" s="19" t="inlineStr">
        <is>
          <t>Conta solo i 'sì'</t>
        </is>
      </c>
    </row>
    <row r="25">
      <c r="B25" s="2" t="inlineStr">
        <is>
          <t>Le tre domande a cui questa tabella deve rispondere</t>
        </is>
      </c>
    </row>
    <row r="26">
      <c r="B26" s="3" t="inlineStr">
        <is>
          <t>1. Quanto spende al mese chi usa l'alternativa più vicina a noi? Oggi lo sappiamo per due prodotti su dieci.</t>
        </is>
      </c>
    </row>
    <row r="27">
      <c r="B27" s="3" t="inlineStr">
        <is>
          <t>2. La trasparenza completa sulle percentuali è un terreno libero o è già occupato?</t>
        </is>
      </c>
    </row>
    <row r="28">
      <c r="B28" s="3" t="inlineStr">
        <is>
          <t>3. La garanzia di rimborso è un vantaggio o è già la norma per chi vende online?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2026-09-22T22:44:51Z</dcterms:created>
  <dcterms:modified xsi:type="dcterms:W3CDTF">2026-09-22T22:44:51Z</dcterms:modified>
</cp:coreProperties>
</file>