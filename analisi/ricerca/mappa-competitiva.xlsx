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Mappa" sheetId="2" state="visible" r:id="rId2"/>
    <sheet name="Sinte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A4238"/>
      </patternFill>
    </fill>
    <fill>
      <patternFill patternType="solid">
        <fgColor rgb="00FFF6CC"/>
      </patternFill>
    </fill>
    <fill>
      <patternFill patternType="solid">
        <fgColor rgb="00EFEFEF"/>
      </patternFill>
    </fill>
    <fill>
      <patternFill patternType="solid">
        <fgColor rgb="00E8F0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/>
    </xf>
    <xf numFmtId="3" fontId="3" fillId="4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3" fontId="3" fillId="3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/>
    </xf>
    <xf numFmtId="3" fontId="5" fillId="5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165" fontId="5" fillId="5" borderId="1" applyAlignment="1" pivotButton="0" quotePrefix="0" xfId="0">
      <alignment vertical="top"/>
    </xf>
    <xf numFmtId="3" fontId="3" fillId="5" borderId="1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Mappa competitiva — come si compila</t>
        </is>
      </c>
    </row>
    <row r="4">
      <c r="B4" s="2" t="inlineStr">
        <is>
          <t>A che serve</t>
        </is>
      </c>
    </row>
    <row r="5">
      <c r="B5" s="3" t="inlineStr">
        <is>
          <t>Rispondere con dati verificabili a tre domande che oggi restano opinioni:</t>
        </is>
      </c>
    </row>
    <row r="6">
      <c r="B6" s="3" t="inlineStr">
        <is>
          <t>1. Quanto costa davvero un mese di trattamento, per noi e per ciascun concorrente.</t>
        </is>
      </c>
    </row>
    <row r="7">
      <c r="B7" s="3" t="inlineStr">
        <is>
          <t>2. Chi dichiara le percentuali degli attivi, quante e quali.</t>
        </is>
      </c>
    </row>
    <row r="8">
      <c r="B8" s="3" t="inlineStr">
        <is>
          <t>3. Che cosa promettono i concorrenti e con quali prove.</t>
        </is>
      </c>
    </row>
    <row r="10">
      <c r="B10" s="2" t="inlineStr">
        <is>
          <t>Regola di verifica</t>
        </is>
      </c>
    </row>
    <row r="11">
      <c r="B11" s="3" t="inlineStr">
        <is>
          <t>Una riga vale solo se qualcuno ha aperto la pagina e ha scritto URL e data nelle colonne F e G.</t>
        </is>
      </c>
    </row>
    <row r="12">
      <c r="B12" s="3" t="inlineStr">
        <is>
          <t>Le celle gialle sono da compilare. Quelle grigie si calcolano da sole: non scriverci dentro.</t>
        </is>
      </c>
    </row>
    <row r="13">
      <c r="B13" s="3" t="inlineStr">
        <is>
          <t>Il testo blu segnala un valore inserito a mano; il nero segnala una formula.</t>
        </is>
      </c>
    </row>
    <row r="15">
      <c r="B15" s="2" t="inlineStr">
        <is>
          <t>Ordine di lavoro consigliato</t>
        </is>
      </c>
    </row>
    <row r="16">
      <c r="B16" s="3" t="inlineStr">
        <is>
          <t>Primo giro — solo le colonne H, J, L, M su tutte le righe. Servono al costo mensile,</t>
        </is>
      </c>
    </row>
    <row r="17">
      <c r="B17" s="3" t="inlineStr">
        <is>
          <t>che è la metrica che manca a tutta la nostra analisi. Bastano due ore.</t>
        </is>
      </c>
    </row>
    <row r="18">
      <c r="B18" s="3" t="inlineStr">
        <is>
          <t>Secondo giro — colonne P, Q, R, T: cosa dichiarano e cosa promettono. Serve a capire</t>
        </is>
      </c>
    </row>
    <row r="19">
      <c r="B19" s="3" t="inlineStr">
        <is>
          <t>se la trasparenza sulle percentuali è davvero un terreno libero.</t>
        </is>
      </c>
    </row>
    <row r="20">
      <c r="B20" s="3" t="inlineStr">
        <is>
          <t>Terzo giro — colonne U, V, W: garanzie, abbonamenti, recensioni. Serve al modello economico.</t>
        </is>
      </c>
    </row>
    <row r="22">
      <c r="B22" s="2" t="inlineStr">
        <is>
          <t>Avvertenze su come si leggono le dosi</t>
        </is>
      </c>
    </row>
    <row r="23">
      <c r="B23" s="3" t="inlineStr">
        <is>
          <t>La dose dichiarata è quasi sempre in pipette, contagocce o erogazioni, non in millilitri.</t>
        </is>
      </c>
    </row>
    <row r="24">
      <c r="B24" s="3" t="inlineStr">
        <is>
          <t>Dove la marca non dichiara il volume per erogazione, o lo si misura, o si annota la stima</t>
        </is>
      </c>
    </row>
    <row r="25">
      <c r="B25" s="3" t="inlineStr">
        <is>
          <t>nella colonna Y scrivendo da dove viene. Non lasciare una stima senza la sua origine.</t>
        </is>
      </c>
    </row>
    <row r="26">
      <c r="B26" s="3" t="inlineStr">
        <is>
          <t>La colonna N non toglie il residuo del contenitore: per il nostro airless calcoliamo il 5%,</t>
        </is>
      </c>
    </row>
    <row r="27">
      <c r="B27" s="3" t="inlineStr">
        <is>
          <t>per i contagocce altrui non lo sappiamo. È un confronto leggermente a nostro sfavore, e va bene così.</t>
        </is>
      </c>
    </row>
    <row r="29">
      <c r="B29" s="2" t="inlineStr">
        <is>
          <t>Che cosa NON mettere qui</t>
        </is>
      </c>
    </row>
    <row r="30">
      <c r="B30" s="3" t="inlineStr">
        <is>
          <t>Giudizi, punteggi, impressioni. Questa tabella contiene solo cose che un terzo può ricontrollare</t>
        </is>
      </c>
    </row>
    <row r="31">
      <c r="B31" s="3" t="inlineStr">
        <is>
          <t>aprendo lo stesso indirizzo. Le valutazioni stanno nel documento, non nel foglio.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20" customWidth="1" min="4" max="4"/>
    <col width="8" customWidth="1" min="5" max="5"/>
    <col width="30" customWidth="1" min="6" max="6"/>
    <col width="12" customWidth="1" min="7" max="7"/>
    <col width="10" customWidth="1" min="8" max="8"/>
    <col width="13" customWidth="1" min="9" max="9"/>
    <col width="11" customWidth="1" min="10" max="10"/>
    <col width="9" customWidth="1" min="11" max="11"/>
    <col width="30" customWidth="1" min="12" max="12"/>
    <col width="10" customWidth="1" min="13" max="13"/>
    <col width="12" customWidth="1" min="14" max="14"/>
    <col width="10" customWidth="1" min="15" max="15"/>
    <col width="13" customWidth="1" min="16" max="16"/>
    <col width="30" customWidth="1" min="17" max="17"/>
    <col width="34" customWidth="1" min="18" max="18"/>
    <col width="9" customWidth="1" min="19" max="19"/>
    <col width="24" customWidth="1" min="20" max="20"/>
    <col width="20" customWidth="1" min="21" max="21"/>
    <col width="14" customWidth="1" min="22" max="22"/>
    <col width="11" customWidth="1" min="23" max="23"/>
    <col width="14" customWidth="1" min="24" max="24"/>
    <col width="36" customWidth="1" min="25" max="25"/>
  </cols>
  <sheetData>
    <row r="1" ht="30" customHeight="1">
      <c r="A1" s="4" t="inlineStr">
        <is>
          <t>Marca</t>
        </is>
      </c>
      <c r="B1" s="4" t="inlineStr">
        <is>
          <t>Prodotto</t>
        </is>
      </c>
      <c r="C1" s="4" t="inlineStr">
        <is>
          <t>Canale</t>
        </is>
      </c>
      <c r="D1" s="4" t="inlineStr">
        <is>
          <t>Posizionamento</t>
        </is>
      </c>
      <c r="E1" s="4" t="inlineStr">
        <is>
          <t>Paese</t>
        </is>
      </c>
      <c r="F1" s="4" t="inlineStr">
        <is>
          <t>URL</t>
        </is>
      </c>
      <c r="G1" s="4" t="inlineStr">
        <is>
          <t>Data consult.</t>
        </is>
      </c>
      <c r="H1" s="4" t="inlineStr">
        <is>
          <t>Prezzo €</t>
        </is>
      </c>
      <c r="I1" s="4" t="inlineStr">
        <is>
          <t>Prezzo abbon. €</t>
        </is>
      </c>
      <c r="J1" s="4" t="inlineStr">
        <is>
          <t>Formato mL</t>
        </is>
      </c>
      <c r="K1" s="4" t="inlineStr">
        <is>
          <t>€/mL</t>
        </is>
      </c>
      <c r="L1" s="4" t="inlineStr">
        <is>
          <t>Dose dichiarata</t>
        </is>
      </c>
      <c r="M1" s="4" t="inlineStr">
        <is>
          <t>mL/giorno</t>
        </is>
      </c>
      <c r="N1" s="4" t="inlineStr">
        <is>
          <t>Giorni/confez.</t>
        </is>
      </c>
      <c r="O1" s="4" t="inlineStr">
        <is>
          <t>€/mese</t>
        </is>
      </c>
      <c r="P1" s="4" t="inlineStr">
        <is>
          <t>% dichiarate</t>
        </is>
      </c>
      <c r="Q1" s="4" t="inlineStr">
        <is>
          <t>Quali percentuali</t>
        </is>
      </c>
      <c r="R1" s="4" t="inlineStr">
        <is>
          <t>Claim principale</t>
        </is>
      </c>
      <c r="S1" s="4" t="inlineStr">
        <is>
          <t>Liv. claim</t>
        </is>
      </c>
      <c r="T1" s="4" t="inlineStr">
        <is>
          <t>Prove citate</t>
        </is>
      </c>
      <c r="U1" s="4" t="inlineStr">
        <is>
          <t>Garanzia</t>
        </is>
      </c>
      <c r="V1" s="4" t="inlineStr">
        <is>
          <t>Abbonamento</t>
        </is>
      </c>
      <c r="W1" s="4" t="inlineStr">
        <is>
          <t>Recensioni</t>
        </is>
      </c>
      <c r="X1" s="4" t="inlineStr">
        <is>
          <t>Stato</t>
        </is>
      </c>
      <c r="Y1" s="4" t="inlineStr">
        <is>
          <t>Note e fonte della stima</t>
        </is>
      </c>
    </row>
    <row r="2">
      <c r="A2" s="5" t="inlineStr">
        <is>
          <t>The Ordinary</t>
        </is>
      </c>
      <c r="B2" s="6" t="inlineStr">
        <is>
          <t>Multi-Peptide Serum for Hair Density</t>
        </is>
      </c>
      <c r="C2" s="5" t="inlineStr">
        <is>
          <t>DTC e profumeria</t>
        </is>
      </c>
      <c r="D2" s="5" t="inlineStr">
        <is>
          <t>densità e scalp</t>
        </is>
      </c>
      <c r="E2" s="5" t="inlineStr">
        <is>
          <t>IT</t>
        </is>
      </c>
      <c r="F2" s="7" t="n"/>
      <c r="G2" s="7" t="n"/>
      <c r="H2" s="8" t="n">
        <v>26.5</v>
      </c>
      <c r="I2" s="9" t="n"/>
      <c r="J2" s="10" t="n">
        <v>60</v>
      </c>
      <c r="K2" s="11">
        <f>IFERROR(H2/J2,"")</f>
        <v/>
      </c>
      <c r="L2" s="12" t="n"/>
      <c r="M2" s="13" t="n"/>
      <c r="N2" s="14">
        <f>IFERROR(J2/M2,"")</f>
        <v/>
      </c>
      <c r="O2" s="11">
        <f>IFERROR(H2/N2*30,"")</f>
        <v/>
      </c>
      <c r="P2" s="7" t="n"/>
      <c r="Q2" s="12" t="n"/>
      <c r="R2" s="12" t="n"/>
      <c r="S2" s="7" t="n"/>
      <c r="T2" s="12" t="n"/>
      <c r="U2" s="12" t="n"/>
      <c r="V2" s="7" t="n"/>
      <c r="W2" s="7" t="n"/>
      <c r="X2" s="7" t="inlineStr">
        <is>
          <t>da verificare</t>
        </is>
      </c>
      <c r="Y2" s="6" t="inlineStr">
        <is>
          <t>prezzo dalla ricerca preliminare, da riaprire</t>
        </is>
      </c>
    </row>
    <row r="3">
      <c r="A3" s="5" t="inlineStr">
        <is>
          <t>The INKEY List</t>
        </is>
      </c>
      <c r="B3" s="6" t="inlineStr">
        <is>
          <t>Caffeine Stimulating Scalp Treatment</t>
        </is>
      </c>
      <c r="C3" s="5" t="inlineStr">
        <is>
          <t>DTC e profumeria</t>
        </is>
      </c>
      <c r="D3" s="5" t="inlineStr">
        <is>
          <t>scalp e densità</t>
        </is>
      </c>
      <c r="E3" s="5" t="inlineStr">
        <is>
          <t>EU</t>
        </is>
      </c>
      <c r="F3" s="7" t="n"/>
      <c r="G3" s="7" t="n"/>
      <c r="H3" s="8" t="n">
        <v>15.5</v>
      </c>
      <c r="I3" s="9" t="n"/>
      <c r="J3" s="10" t="n">
        <v>150</v>
      </c>
      <c r="K3" s="11">
        <f>IFERROR(H3/J3,"")</f>
        <v/>
      </c>
      <c r="L3" s="12" t="n"/>
      <c r="M3" s="13" t="n"/>
      <c r="N3" s="14">
        <f>IFERROR(J3/M3,"")</f>
        <v/>
      </c>
      <c r="O3" s="11">
        <f>IFERROR(H3/N3*30,"")</f>
        <v/>
      </c>
      <c r="P3" s="5" t="inlineStr">
        <is>
          <t>alcune</t>
        </is>
      </c>
      <c r="Q3" s="6" t="inlineStr">
        <is>
          <t>1% caffeina · 1% Redensyl · 1% betaina</t>
        </is>
      </c>
      <c r="R3" s="12" t="n"/>
      <c r="S3" s="7" t="n"/>
      <c r="T3" s="12" t="n"/>
      <c r="U3" s="12" t="n"/>
      <c r="V3" s="7" t="n"/>
      <c r="W3" s="7" t="n"/>
      <c r="X3" s="7" t="inlineStr">
        <is>
          <t>da verificare</t>
        </is>
      </c>
      <c r="Y3" s="6" t="inlineStr">
        <is>
          <t>percentuali confermate da ricerca; prezzo da riaprire</t>
        </is>
      </c>
    </row>
    <row r="4">
      <c r="A4" s="5" t="inlineStr">
        <is>
          <t>Vichy</t>
        </is>
      </c>
      <c r="B4" s="6" t="inlineStr">
        <is>
          <t>Dercos Aminexil Clinical 5 uomo</t>
        </is>
      </c>
      <c r="C4" s="5" t="inlineStr">
        <is>
          <t>farmacia</t>
        </is>
      </c>
      <c r="D4" s="5" t="inlineStr">
        <is>
          <t>anticaduta</t>
        </is>
      </c>
      <c r="E4" s="5" t="inlineStr">
        <is>
          <t>IT</t>
        </is>
      </c>
      <c r="F4" s="7" t="n"/>
      <c r="G4" s="7" t="n"/>
      <c r="H4" s="8" t="n">
        <v>51.2</v>
      </c>
      <c r="I4" s="9" t="n"/>
      <c r="J4" s="10" t="n">
        <v>126</v>
      </c>
      <c r="K4" s="11">
        <f>IFERROR(H4/J4,"")</f>
        <v/>
      </c>
      <c r="L4" s="6" t="inlineStr">
        <is>
          <t>3 fiale a settimana per 6 settimane, oppure 1 al giorno</t>
        </is>
      </c>
      <c r="M4" s="13" t="n"/>
      <c r="N4" s="14">
        <f>IFERROR(J4/M4,"")</f>
        <v/>
      </c>
      <c r="O4" s="11">
        <f>IFERROR(H4/N4*30,"")</f>
        <v/>
      </c>
      <c r="P4" s="5" t="inlineStr">
        <is>
          <t>nessuna</t>
        </is>
      </c>
      <c r="Q4" s="12" t="n"/>
      <c r="R4" s="12" t="n"/>
      <c r="S4" s="7" t="n"/>
      <c r="T4" s="12" t="n"/>
      <c r="U4" s="12" t="n"/>
      <c r="V4" s="7" t="n"/>
      <c r="W4" s="7" t="n"/>
      <c r="X4" s="7" t="inlineStr">
        <is>
          <t>da verificare</t>
        </is>
      </c>
      <c r="Y4" s="6" t="inlineStr">
        <is>
          <t>21 fiale da 6 mL; posologia doppia, va scelta quale confrontare</t>
        </is>
      </c>
    </row>
    <row r="5">
      <c r="A5" s="5" t="inlineStr">
        <is>
          <t>Ducray</t>
        </is>
      </c>
      <c r="B5" s="6" t="inlineStr">
        <is>
          <t>Neoptide donna</t>
        </is>
      </c>
      <c r="C5" s="5" t="inlineStr">
        <is>
          <t>farmacia</t>
        </is>
      </c>
      <c r="D5" s="5" t="inlineStr">
        <is>
          <t>anticaduta</t>
        </is>
      </c>
      <c r="E5" s="5" t="inlineStr">
        <is>
          <t>IT</t>
        </is>
      </c>
      <c r="F5" s="7" t="n"/>
      <c r="G5" s="7" t="n"/>
      <c r="H5" s="8" t="n">
        <v>44.94</v>
      </c>
      <c r="I5" s="9" t="n"/>
      <c r="J5" s="10" t="n">
        <v>90</v>
      </c>
      <c r="K5" s="11">
        <f>IFERROR(H5/J5,"")</f>
        <v/>
      </c>
      <c r="L5" s="6" t="inlineStr">
        <is>
          <t>circa 12 spruzzi al giorno per 3 mesi</t>
        </is>
      </c>
      <c r="M5" s="15" t="n">
        <v>1</v>
      </c>
      <c r="N5" s="14">
        <f>IFERROR(J5/M5,"")</f>
        <v/>
      </c>
      <c r="O5" s="11">
        <f>IFERROR(H5/N5*30,"")</f>
        <v/>
      </c>
      <c r="P5" s="7" t="n"/>
      <c r="Q5" s="12" t="n"/>
      <c r="R5" s="12" t="n"/>
      <c r="S5" s="7" t="n"/>
      <c r="T5" s="12" t="n"/>
      <c r="U5" s="12" t="n"/>
      <c r="V5" s="7" t="n"/>
      <c r="W5" s="7" t="n"/>
      <c r="X5" s="7" t="inlineStr">
        <is>
          <t>da verificare</t>
        </is>
      </c>
      <c r="Y5" s="6" t="inlineStr">
        <is>
          <t>3 flaconi da 30 mL; mL/giorno dedotto dalla durata dichiarata</t>
        </is>
      </c>
    </row>
    <row r="6">
      <c r="A6" s="5" t="inlineStr">
        <is>
          <t>Kérastase</t>
        </is>
      </c>
      <c r="B6" s="6" t="inlineStr">
        <is>
          <t>Genesis Sérum Anti-Chute Fortifiant</t>
        </is>
      </c>
      <c r="C6" s="5" t="inlineStr">
        <is>
          <t>salone e profumeria</t>
        </is>
      </c>
      <c r="D6" s="5" t="inlineStr">
        <is>
          <t>anticaduta</t>
        </is>
      </c>
      <c r="E6" s="5" t="inlineStr">
        <is>
          <t>IT</t>
        </is>
      </c>
      <c r="F6" s="7" t="n"/>
      <c r="G6" s="7" t="n"/>
      <c r="H6" s="8" t="n">
        <v>56.9</v>
      </c>
      <c r="I6" s="9" t="n"/>
      <c r="J6" s="10" t="n">
        <v>90</v>
      </c>
      <c r="K6" s="11">
        <f>IFERROR(H6/J6,"")</f>
        <v/>
      </c>
      <c r="L6" s="6" t="inlineStr">
        <is>
          <t>4 pipette una volta al giorno</t>
        </is>
      </c>
      <c r="M6" s="15" t="n">
        <v>2.4</v>
      </c>
      <c r="N6" s="14">
        <f>IFERROR(J6/M6,"")</f>
        <v/>
      </c>
      <c r="O6" s="11">
        <f>IFERROR(H6/N6*30,"")</f>
        <v/>
      </c>
      <c r="P6" s="5" t="inlineStr">
        <is>
          <t>nessuna</t>
        </is>
      </c>
      <c r="Q6" s="12" t="n"/>
      <c r="R6" s="12" t="n"/>
      <c r="S6" s="7" t="n"/>
      <c r="T6" s="12" t="n"/>
      <c r="U6" s="12" t="n"/>
      <c r="V6" s="7" t="n"/>
      <c r="W6" s="7" t="n"/>
      <c r="X6" s="7" t="inlineStr">
        <is>
          <t>da verificare</t>
        </is>
      </c>
      <c r="Y6" s="6" t="inlineStr">
        <is>
          <t>durata dichiarata 5-6 settimane: mL/giorno dedotto da lì</t>
        </is>
      </c>
    </row>
    <row r="7">
      <c r="A7" s="5" t="inlineStr">
        <is>
          <t>Nioxin</t>
        </is>
      </c>
      <c r="B7" s="6" t="inlineStr">
        <is>
          <t>Night Density Rescue</t>
        </is>
      </c>
      <c r="C7" s="5" t="inlineStr">
        <is>
          <t>salone</t>
        </is>
      </c>
      <c r="D7" s="5" t="inlineStr">
        <is>
          <t>densità</t>
        </is>
      </c>
      <c r="E7" s="5" t="inlineStr">
        <is>
          <t>IT</t>
        </is>
      </c>
      <c r="F7" s="7" t="n"/>
      <c r="G7" s="7" t="n"/>
      <c r="H7" s="8" t="n">
        <v>60.69</v>
      </c>
      <c r="I7" s="9" t="n"/>
      <c r="J7" s="10" t="n">
        <v>70</v>
      </c>
      <c r="K7" s="11">
        <f>IFERROR(H7/J7,"")</f>
        <v/>
      </c>
      <c r="L7" s="6" t="inlineStr">
        <is>
          <t>2-4 pipette ogni sera</t>
        </is>
      </c>
      <c r="M7" s="15" t="n">
        <v>3</v>
      </c>
      <c r="N7" s="14">
        <f>IFERROR(J7/M7,"")</f>
        <v/>
      </c>
      <c r="O7" s="11">
        <f>IFERROR(H7/N7*30,"")</f>
        <v/>
      </c>
      <c r="P7" s="7" t="n"/>
      <c r="Q7" s="12" t="n"/>
      <c r="R7" s="12" t="n"/>
      <c r="S7" s="7" t="n"/>
      <c r="T7" s="12" t="n"/>
      <c r="U7" s="12" t="n"/>
      <c r="V7" s="7" t="n"/>
      <c r="W7" s="7" t="n"/>
      <c r="X7" s="7" t="inlineStr">
        <is>
          <t>da verificare</t>
        </is>
      </c>
      <c r="Y7" s="6" t="inlineStr">
        <is>
          <t>mL/giorno al centro dell'intervallo, da misurare</t>
        </is>
      </c>
    </row>
    <row r="8">
      <c r="A8" s="5" t="inlineStr">
        <is>
          <t>OUAI</t>
        </is>
      </c>
      <c r="B8" s="6" t="inlineStr">
        <is>
          <t>Scalp Serum</t>
        </is>
      </c>
      <c r="C8" s="5" t="inlineStr">
        <is>
          <t>profumeria</t>
        </is>
      </c>
      <c r="D8" s="5" t="inlineStr">
        <is>
          <t>scalp care</t>
        </is>
      </c>
      <c r="E8" s="5" t="inlineStr">
        <is>
          <t>IT</t>
        </is>
      </c>
      <c r="F8" s="7" t="n"/>
      <c r="G8" s="7" t="n"/>
      <c r="H8" s="8" t="n">
        <v>61</v>
      </c>
      <c r="I8" s="9" t="n"/>
      <c r="J8" s="10" t="n">
        <v>60</v>
      </c>
      <c r="K8" s="11">
        <f>IFERROR(H8/J8,"")</f>
        <v/>
      </c>
      <c r="L8" s="6" t="inlineStr">
        <is>
          <t>2 contagocce pieni, circa 1,5 mL</t>
        </is>
      </c>
      <c r="M8" s="15" t="n">
        <v>1.5</v>
      </c>
      <c r="N8" s="14">
        <f>IFERROR(J8/M8,"")</f>
        <v/>
      </c>
      <c r="O8" s="11">
        <f>IFERROR(H8/N8*30,"")</f>
        <v/>
      </c>
      <c r="P8" s="7" t="n"/>
      <c r="Q8" s="12" t="n"/>
      <c r="R8" s="12" t="n"/>
      <c r="S8" s="7" t="n"/>
      <c r="T8" s="12" t="n"/>
      <c r="U8" s="12" t="n"/>
      <c r="V8" s="7" t="n"/>
      <c r="W8" s="7" t="n"/>
      <c r="X8" s="7" t="inlineStr">
        <is>
          <t>da verificare</t>
        </is>
      </c>
      <c r="Y8" s="6" t="inlineStr">
        <is>
          <t>la marca dichiara circa 40 giorni di durata</t>
        </is>
      </c>
    </row>
    <row r="9">
      <c r="A9" s="5" t="inlineStr">
        <is>
          <t>Living Proof</t>
        </is>
      </c>
      <c r="B9" s="6" t="inlineStr">
        <is>
          <t>Scalp Care Density Serum</t>
        </is>
      </c>
      <c r="C9" s="5" t="inlineStr">
        <is>
          <t>profumeria</t>
        </is>
      </c>
      <c r="D9" s="5" t="inlineStr">
        <is>
          <t>densità e scalp</t>
        </is>
      </c>
      <c r="E9" s="5" t="inlineStr">
        <is>
          <t>IT</t>
        </is>
      </c>
      <c r="F9" s="7" t="n"/>
      <c r="G9" s="7" t="n"/>
      <c r="H9" s="8" t="n">
        <v>66</v>
      </c>
      <c r="I9" s="9" t="n"/>
      <c r="J9" s="10" t="n">
        <v>50</v>
      </c>
      <c r="K9" s="11">
        <f>IFERROR(H9/J9,"")</f>
        <v/>
      </c>
      <c r="L9" s="6" t="inlineStr">
        <is>
          <t>2-3 contagocce al giorno</t>
        </is>
      </c>
      <c r="M9" s="15" t="n">
        <v>1.7</v>
      </c>
      <c r="N9" s="14">
        <f>IFERROR(J9/M9,"")</f>
        <v/>
      </c>
      <c r="O9" s="11">
        <f>IFERROR(H9/N9*30,"")</f>
        <v/>
      </c>
      <c r="P9" s="7" t="n"/>
      <c r="Q9" s="12" t="n"/>
      <c r="R9" s="12" t="n"/>
      <c r="S9" s="7" t="n"/>
      <c r="T9" s="12" t="n"/>
      <c r="U9" s="12" t="n"/>
      <c r="V9" s="7" t="n"/>
      <c r="W9" s="7" t="n"/>
      <c r="X9" s="7" t="inlineStr">
        <is>
          <t>da verificare</t>
        </is>
      </c>
      <c r="Y9" s="6" t="inlineStr">
        <is>
          <t>la marca dichiara circa 30 giorni di durata</t>
        </is>
      </c>
    </row>
    <row r="10">
      <c r="A10" s="5" t="inlineStr">
        <is>
          <t>Act+Acre</t>
        </is>
      </c>
      <c r="B10" s="6" t="inlineStr">
        <is>
          <t>Stem Cell Scalp Serum</t>
        </is>
      </c>
      <c r="C10" s="5" t="inlineStr">
        <is>
          <t>DTC</t>
        </is>
      </c>
      <c r="D10" s="5" t="inlineStr">
        <is>
          <t>scalp e densità</t>
        </is>
      </c>
      <c r="E10" s="5" t="inlineStr">
        <is>
          <t>EU</t>
        </is>
      </c>
      <c r="F10" s="7" t="n"/>
      <c r="G10" s="7" t="n"/>
      <c r="H10" s="8" t="n">
        <v>89</v>
      </c>
      <c r="I10" s="9" t="n"/>
      <c r="J10" s="10" t="n">
        <v>65</v>
      </c>
      <c r="K10" s="11">
        <f>IFERROR(H10/J10,"")</f>
        <v/>
      </c>
      <c r="L10" s="12" t="n"/>
      <c r="M10" s="13" t="n"/>
      <c r="N10" s="14">
        <f>IFERROR(J10/M10,"")</f>
        <v/>
      </c>
      <c r="O10" s="11">
        <f>IFERROR(H10/N10*30,"")</f>
        <v/>
      </c>
      <c r="P10" s="7" t="n"/>
      <c r="Q10" s="12" t="n"/>
      <c r="R10" s="12" t="n"/>
      <c r="S10" s="7" t="n"/>
      <c r="T10" s="12" t="n"/>
      <c r="U10" s="12" t="n"/>
      <c r="V10" s="7" t="n"/>
      <c r="W10" s="7" t="n"/>
      <c r="X10" s="7" t="inlineStr">
        <is>
          <t>da verificare</t>
        </is>
      </c>
      <c r="Y10" s="6" t="inlineStr">
        <is>
          <t>formato e prezzo da riaprire</t>
        </is>
      </c>
    </row>
    <row r="11">
      <c r="A11" s="5" t="inlineStr">
        <is>
          <t>Augustinus Bader</t>
        </is>
      </c>
      <c r="B11" s="6" t="inlineStr">
        <is>
          <t>The Scalp Treatment</t>
        </is>
      </c>
      <c r="C11" s="5" t="inlineStr">
        <is>
          <t>profumeria</t>
        </is>
      </c>
      <c r="D11" s="5" t="inlineStr">
        <is>
          <t>scalp care</t>
        </is>
      </c>
      <c r="E11" s="5" t="inlineStr">
        <is>
          <t>IT</t>
        </is>
      </c>
      <c r="F11" s="7" t="n"/>
      <c r="G11" s="7" t="n"/>
      <c r="H11" s="8" t="n">
        <v>89</v>
      </c>
      <c r="I11" s="9" t="n"/>
      <c r="J11" s="10" t="n">
        <v>30</v>
      </c>
      <c r="K11" s="11">
        <f>IFERROR(H11/J11,"")</f>
        <v/>
      </c>
      <c r="L11" s="12" t="n"/>
      <c r="M11" s="13" t="n"/>
      <c r="N11" s="14">
        <f>IFERROR(J11/M11,"")</f>
        <v/>
      </c>
      <c r="O11" s="11">
        <f>IFERROR(H11/N11*30,"")</f>
        <v/>
      </c>
      <c r="P11" s="7" t="n"/>
      <c r="Q11" s="12" t="n"/>
      <c r="R11" s="12" t="n"/>
      <c r="S11" s="7" t="n"/>
      <c r="T11" s="12" t="n"/>
      <c r="U11" s="12" t="n"/>
      <c r="V11" s="7" t="n"/>
      <c r="W11" s="7" t="n"/>
      <c r="X11" s="7" t="inlineStr">
        <is>
          <t>da verificare</t>
        </is>
      </c>
      <c r="Y11" s="6" t="inlineStr">
        <is>
          <t>il più caro al mL della categoria</t>
        </is>
      </c>
    </row>
    <row r="12">
      <c r="A12" s="5" t="inlineStr">
        <is>
          <t>Aveda</t>
        </is>
      </c>
      <c r="B12" s="6" t="inlineStr">
        <is>
          <t>Scalp Solutions</t>
        </is>
      </c>
      <c r="C12" s="5" t="inlineStr">
        <is>
          <t>salone</t>
        </is>
      </c>
      <c r="D12" s="5" t="inlineStr">
        <is>
          <t>scalp care</t>
        </is>
      </c>
      <c r="E12" s="5" t="inlineStr">
        <is>
          <t>IT</t>
        </is>
      </c>
      <c r="F12" s="7" t="n"/>
      <c r="G12" s="7" t="n"/>
      <c r="H12" s="8" t="n">
        <v>59</v>
      </c>
      <c r="I12" s="9" t="n"/>
      <c r="J12" s="10" t="n">
        <v>50</v>
      </c>
      <c r="K12" s="11">
        <f>IFERROR(H12/J12,"")</f>
        <v/>
      </c>
      <c r="L12" s="12" t="n"/>
      <c r="M12" s="13" t="n"/>
      <c r="N12" s="14">
        <f>IFERROR(J12/M12,"")</f>
        <v/>
      </c>
      <c r="O12" s="11">
        <f>IFERROR(H12/N12*30,"")</f>
        <v/>
      </c>
      <c r="P12" s="7" t="n"/>
      <c r="Q12" s="12" t="n"/>
      <c r="R12" s="12" t="n"/>
      <c r="S12" s="7" t="n"/>
      <c r="T12" s="12" t="n"/>
      <c r="U12" s="12" t="n"/>
      <c r="V12" s="7" t="n"/>
      <c r="W12" s="7" t="n"/>
      <c r="X12" s="7" t="inlineStr">
        <is>
          <t>da verificare</t>
        </is>
      </c>
      <c r="Y12" s="12" t="n"/>
    </row>
    <row r="13">
      <c r="A13" s="5" t="inlineStr">
        <is>
          <t>Scandinavian Biolabs</t>
        </is>
      </c>
      <c r="B13" s="6" t="inlineStr">
        <is>
          <t>Bio-Pilixin Activation Serum uomo</t>
        </is>
      </c>
      <c r="C13" s="5" t="inlineStr">
        <is>
          <t>DTC</t>
        </is>
      </c>
      <c r="D13" s="5" t="inlineStr">
        <is>
          <t>densità</t>
        </is>
      </c>
      <c r="E13" s="5" t="inlineStr">
        <is>
          <t>EU</t>
        </is>
      </c>
      <c r="F13" s="7" t="n"/>
      <c r="G13" s="7" t="n"/>
      <c r="H13" s="8" t="n">
        <v>55</v>
      </c>
      <c r="I13" s="8" t="n">
        <v>39</v>
      </c>
      <c r="J13" s="10" t="n">
        <v>100</v>
      </c>
      <c r="K13" s="11">
        <f>IFERROR(H13/J13,"")</f>
        <v/>
      </c>
      <c r="L13" s="6" t="inlineStr">
        <is>
          <t>almeno 2 pipette al giorno</t>
        </is>
      </c>
      <c r="M13" s="15" t="n">
        <v>2</v>
      </c>
      <c r="N13" s="14">
        <f>IFERROR(J13/M13,"")</f>
        <v/>
      </c>
      <c r="O13" s="11">
        <f>IFERROR(H13/N13*30,"")</f>
        <v/>
      </c>
      <c r="P13" s="7" t="n"/>
      <c r="Q13" s="12" t="n"/>
      <c r="R13" s="12" t="n"/>
      <c r="S13" s="7" t="n"/>
      <c r="T13" s="12" t="n"/>
      <c r="U13" s="6" t="inlineStr">
        <is>
          <t>150 giorni, condizionata</t>
        </is>
      </c>
      <c r="V13" s="5" t="inlineStr">
        <is>
          <t>sì, con sconto</t>
        </is>
      </c>
      <c r="W13" s="7" t="n"/>
      <c r="X13" s="7" t="inlineStr">
        <is>
          <t>da verificare</t>
        </is>
      </c>
      <c r="Y13" s="6" t="inlineStr">
        <is>
          <t>il riferimento per la garanzia; verificare le condizioni esatte</t>
        </is>
      </c>
    </row>
    <row r="14">
      <c r="A14" s="5" t="inlineStr">
        <is>
          <t>Plantur</t>
        </is>
      </c>
      <c r="B14" s="6" t="inlineStr">
        <is>
          <t>DMG Clinical Serum</t>
        </is>
      </c>
      <c r="C14" s="5" t="inlineStr">
        <is>
          <t>farmacia e GDO</t>
        </is>
      </c>
      <c r="D14" s="5" t="inlineStr">
        <is>
          <t>anticaduta</t>
        </is>
      </c>
      <c r="E14" s="5" t="inlineStr">
        <is>
          <t>DE</t>
        </is>
      </c>
      <c r="F14" s="7" t="n"/>
      <c r="G14" s="7" t="n"/>
      <c r="H14" s="8" t="n">
        <v>19.99</v>
      </c>
      <c r="I14" s="9" t="n"/>
      <c r="J14" s="10" t="n">
        <v>125</v>
      </c>
      <c r="K14" s="11">
        <f>IFERROR(H14/J14,"")</f>
        <v/>
      </c>
      <c r="L14" s="12" t="n"/>
      <c r="M14" s="13" t="n"/>
      <c r="N14" s="14">
        <f>IFERROR(J14/M14,"")</f>
        <v/>
      </c>
      <c r="O14" s="11">
        <f>IFERROR(H14/N14*30,"")</f>
        <v/>
      </c>
      <c r="P14" s="7" t="n"/>
      <c r="Q14" s="12" t="n"/>
      <c r="R14" s="12" t="n"/>
      <c r="S14" s="7" t="n"/>
      <c r="T14" s="12" t="n"/>
      <c r="U14" s="12" t="n"/>
      <c r="V14" s="7" t="n"/>
      <c r="W14" s="7" t="n"/>
      <c r="X14" s="7" t="inlineStr">
        <is>
          <t>da verificare</t>
        </is>
      </c>
      <c r="Y14" s="6" t="inlineStr">
        <is>
          <t>ancoraggio basso del canale farmacia tedesco</t>
        </is>
      </c>
    </row>
    <row r="15">
      <c r="A15" s="5" t="inlineStr">
        <is>
          <t>Bioscalin (Giuliani)</t>
        </is>
      </c>
      <c r="B15" s="6" t="inlineStr">
        <is>
          <t>TricoAge siero concentrato</t>
        </is>
      </c>
      <c r="C15" s="5" t="inlineStr">
        <is>
          <t>farmacia</t>
        </is>
      </c>
      <c r="D15" s="5" t="inlineStr">
        <is>
          <t>anticaduta e antietà</t>
        </is>
      </c>
      <c r="E15" s="5" t="inlineStr">
        <is>
          <t>IT</t>
        </is>
      </c>
      <c r="F15" s="7" t="n"/>
      <c r="G15" s="7" t="n"/>
      <c r="H15" s="8" t="n">
        <v>48.56</v>
      </c>
      <c r="I15" s="9" t="n"/>
      <c r="J15" s="10" t="n">
        <v>40</v>
      </c>
      <c r="K15" s="11">
        <f>IFERROR(H15/J15,"")</f>
        <v/>
      </c>
      <c r="L15" s="6" t="inlineStr">
        <is>
          <t>6 pipette ogni 3 giorni, ciclo di 3 mesi</t>
        </is>
      </c>
      <c r="M15" s="15" t="n">
        <v>0.44</v>
      </c>
      <c r="N15" s="14">
        <f>IFERROR(J15/M15,"")</f>
        <v/>
      </c>
      <c r="O15" s="11">
        <f>IFERROR(H15/N15*30,"")</f>
        <v/>
      </c>
      <c r="P15" s="5" t="inlineStr">
        <is>
          <t>nessuna</t>
        </is>
      </c>
      <c r="Q15" s="12" t="n"/>
      <c r="R15" s="12" t="n"/>
      <c r="S15" s="7" t="n"/>
      <c r="T15" s="12" t="n"/>
      <c r="U15" s="12" t="n"/>
      <c r="V15" s="7" t="n"/>
      <c r="W15" s="7" t="n"/>
      <c r="X15" s="7" t="inlineStr">
        <is>
          <t>da verificare</t>
        </is>
      </c>
      <c r="Y15" s="6" t="inlineStr">
        <is>
          <t>mL/giorno dedotto dal ciclo dichiarato di 3 mesi: da verificare</t>
        </is>
      </c>
    </row>
    <row r="16">
      <c r="A16" s="5" t="inlineStr">
        <is>
          <t>Grow Gorgeous</t>
        </is>
      </c>
      <c r="B16" s="6" t="inlineStr">
        <is>
          <t>Density Serum Intense</t>
        </is>
      </c>
      <c r="C16" s="5" t="inlineStr">
        <is>
          <t>DTC</t>
        </is>
      </c>
      <c r="D16" s="5" t="inlineStr">
        <is>
          <t>densità</t>
        </is>
      </c>
      <c r="E16" s="5" t="inlineStr">
        <is>
          <t>EU</t>
        </is>
      </c>
      <c r="F16" s="7" t="n"/>
      <c r="G16" s="7" t="n"/>
      <c r="H16" s="8" t="n">
        <v>50</v>
      </c>
      <c r="I16" s="9" t="n"/>
      <c r="J16" s="10" t="n">
        <v>60</v>
      </c>
      <c r="K16" s="11">
        <f>IFERROR(H16/J16,"")</f>
        <v/>
      </c>
      <c r="L16" s="12" t="n"/>
      <c r="M16" s="13" t="n"/>
      <c r="N16" s="14">
        <f>IFERROR(J16/M16,"")</f>
        <v/>
      </c>
      <c r="O16" s="11">
        <f>IFERROR(H16/N16*30,"")</f>
        <v/>
      </c>
      <c r="P16" s="7" t="n"/>
      <c r="Q16" s="12" t="n"/>
      <c r="R16" s="12" t="n"/>
      <c r="S16" s="7" t="n"/>
      <c r="T16" s="12" t="n"/>
      <c r="U16" s="12" t="n"/>
      <c r="V16" s="7" t="n"/>
      <c r="W16" s="7" t="n"/>
      <c r="X16" s="7" t="inlineStr">
        <is>
          <t>da verificare</t>
        </is>
      </c>
      <c r="Y16" s="12" t="n"/>
    </row>
    <row r="17">
      <c r="A17" s="5" t="inlineStr">
        <is>
          <t>Foreo</t>
        </is>
      </c>
      <c r="B17" s="6" t="inlineStr">
        <is>
          <t>Dual-Peptide Scalp Serum</t>
        </is>
      </c>
      <c r="C17" s="5" t="inlineStr">
        <is>
          <t>profumeria</t>
        </is>
      </c>
      <c r="D17" s="5" t="inlineStr">
        <is>
          <t>scalp e densità</t>
        </is>
      </c>
      <c r="E17" s="5" t="inlineStr">
        <is>
          <t>IT</t>
        </is>
      </c>
      <c r="F17" s="7" t="n"/>
      <c r="G17" s="7" t="n"/>
      <c r="H17" s="8" t="n">
        <v>52.9</v>
      </c>
      <c r="I17" s="9" t="n"/>
      <c r="J17" s="10" t="n">
        <v>60</v>
      </c>
      <c r="K17" s="11">
        <f>IFERROR(H17/J17,"")</f>
        <v/>
      </c>
      <c r="L17" s="12" t="n"/>
      <c r="M17" s="13" t="n"/>
      <c r="N17" s="14">
        <f>IFERROR(J17/M17,"")</f>
        <v/>
      </c>
      <c r="O17" s="11">
        <f>IFERROR(H17/N17*30,"")</f>
        <v/>
      </c>
      <c r="P17" s="7" t="n"/>
      <c r="Q17" s="12" t="n"/>
      <c r="R17" s="12" t="n"/>
      <c r="S17" s="7" t="n"/>
      <c r="T17" s="12" t="n"/>
      <c r="U17" s="12" t="n"/>
      <c r="V17" s="7" t="n"/>
      <c r="W17" s="7" t="n"/>
      <c r="X17" s="7" t="inlineStr">
        <is>
          <t>da verificare</t>
        </is>
      </c>
      <c r="Y17" s="12" t="n"/>
    </row>
    <row r="18">
      <c r="A18" s="5" t="inlineStr">
        <is>
          <t>René Furterer</t>
        </is>
      </c>
      <c r="B18" s="6" t="inlineStr">
        <is>
          <t>Triphasic Progressive</t>
        </is>
      </c>
      <c r="C18" s="5" t="inlineStr">
        <is>
          <t>farmacia</t>
        </is>
      </c>
      <c r="D18" s="5" t="inlineStr">
        <is>
          <t>anticaduta</t>
        </is>
      </c>
      <c r="E18" s="5" t="inlineStr">
        <is>
          <t>IT</t>
        </is>
      </c>
      <c r="F18" s="7" t="n"/>
      <c r="G18" s="7" t="n"/>
      <c r="H18" s="9" t="n"/>
      <c r="I18" s="9" t="n"/>
      <c r="J18" s="16" t="n"/>
      <c r="K18" s="11">
        <f>IFERROR(H18/J18,"")</f>
        <v/>
      </c>
      <c r="L18" s="12" t="n"/>
      <c r="M18" s="13" t="n"/>
      <c r="N18" s="14">
        <f>IFERROR(J18/M18,"")</f>
        <v/>
      </c>
      <c r="O18" s="11">
        <f>IFERROR(H18/N18*30,"")</f>
        <v/>
      </c>
      <c r="P18" s="7" t="n"/>
      <c r="Q18" s="12" t="n"/>
      <c r="R18" s="12" t="n"/>
      <c r="S18" s="7" t="n"/>
      <c r="T18" s="12" t="n"/>
      <c r="U18" s="12" t="n"/>
      <c r="V18" s="7" t="n"/>
      <c r="W18" s="7" t="n"/>
      <c r="X18" s="7" t="inlineStr">
        <is>
          <t>da verificare</t>
        </is>
      </c>
      <c r="Y18" s="6" t="inlineStr">
        <is>
          <t>da rilevare</t>
        </is>
      </c>
    </row>
    <row r="19">
      <c r="A19" s="5" t="inlineStr">
        <is>
          <t>Crescina (Labo)</t>
        </is>
      </c>
      <c r="B19" s="6" t="inlineStr">
        <is>
          <t>Transdermic</t>
        </is>
      </c>
      <c r="C19" s="5" t="inlineStr">
        <is>
          <t>farmacia</t>
        </is>
      </c>
      <c r="D19" s="5" t="inlineStr">
        <is>
          <t>anticaduta</t>
        </is>
      </c>
      <c r="E19" s="5" t="inlineStr">
        <is>
          <t>IT</t>
        </is>
      </c>
      <c r="F19" s="7" t="n"/>
      <c r="G19" s="7" t="n"/>
      <c r="H19" s="9" t="n"/>
      <c r="I19" s="9" t="n"/>
      <c r="J19" s="16" t="n"/>
      <c r="K19" s="11">
        <f>IFERROR(H19/J19,"")</f>
        <v/>
      </c>
      <c r="L19" s="12" t="n"/>
      <c r="M19" s="13" t="n"/>
      <c r="N19" s="14">
        <f>IFERROR(J19/M19,"")</f>
        <v/>
      </c>
      <c r="O19" s="11">
        <f>IFERROR(H19/N19*30,"")</f>
        <v/>
      </c>
      <c r="P19" s="7" t="n"/>
      <c r="Q19" s="12" t="n"/>
      <c r="R19" s="12" t="n"/>
      <c r="S19" s="7" t="n"/>
      <c r="T19" s="12" t="n"/>
      <c r="U19" s="12" t="n"/>
      <c r="V19" s="7" t="n"/>
      <c r="W19" s="7" t="n"/>
      <c r="X19" s="7" t="inlineStr">
        <is>
          <t>da verificare</t>
        </is>
      </c>
      <c r="Y19" s="6" t="inlineStr">
        <is>
          <t>da rilevare</t>
        </is>
      </c>
    </row>
    <row r="20">
      <c r="A20" s="5" t="inlineStr">
        <is>
          <t>Eucerin</t>
        </is>
      </c>
      <c r="B20" s="6" t="inlineStr">
        <is>
          <t>DermoCapillaire</t>
        </is>
      </c>
      <c r="C20" s="5" t="inlineStr">
        <is>
          <t>farmacia</t>
        </is>
      </c>
      <c r="D20" s="5" t="inlineStr">
        <is>
          <t>scalp care</t>
        </is>
      </c>
      <c r="E20" s="5" t="inlineStr">
        <is>
          <t>IT</t>
        </is>
      </c>
      <c r="F20" s="7" t="n"/>
      <c r="G20" s="7" t="n"/>
      <c r="H20" s="9" t="n"/>
      <c r="I20" s="9" t="n"/>
      <c r="J20" s="16" t="n"/>
      <c r="K20" s="11">
        <f>IFERROR(H20/J20,"")</f>
        <v/>
      </c>
      <c r="L20" s="12" t="n"/>
      <c r="M20" s="13" t="n"/>
      <c r="N20" s="14">
        <f>IFERROR(J20/M20,"")</f>
        <v/>
      </c>
      <c r="O20" s="11">
        <f>IFERROR(H20/N20*30,"")</f>
        <v/>
      </c>
      <c r="P20" s="7" t="n"/>
      <c r="Q20" s="12" t="n"/>
      <c r="R20" s="12" t="n"/>
      <c r="S20" s="7" t="n"/>
      <c r="T20" s="12" t="n"/>
      <c r="U20" s="12" t="n"/>
      <c r="V20" s="7" t="n"/>
      <c r="W20" s="7" t="n"/>
      <c r="X20" s="7" t="inlineStr">
        <is>
          <t>da verificare</t>
        </is>
      </c>
      <c r="Y20" s="6" t="inlineStr">
        <is>
          <t>da rilevare</t>
        </is>
      </c>
    </row>
    <row r="21">
      <c r="A21" s="5" t="inlineStr">
        <is>
          <t>Nutrafol</t>
        </is>
      </c>
      <c r="B21" s="6" t="inlineStr">
        <is>
          <t>Scalp Serum</t>
        </is>
      </c>
      <c r="C21" s="5" t="inlineStr">
        <is>
          <t>DTC</t>
        </is>
      </c>
      <c r="D21" s="5" t="inlineStr">
        <is>
          <t>densità</t>
        </is>
      </c>
      <c r="E21" s="5" t="inlineStr">
        <is>
          <t>US</t>
        </is>
      </c>
      <c r="F21" s="7" t="n"/>
      <c r="G21" s="7" t="n"/>
      <c r="H21" s="9" t="n"/>
      <c r="I21" s="9" t="n"/>
      <c r="J21" s="10" t="n">
        <v>50</v>
      </c>
      <c r="K21" s="11">
        <f>IFERROR(H21/J21,"")</f>
        <v/>
      </c>
      <c r="L21" s="12" t="n"/>
      <c r="M21" s="13" t="n"/>
      <c r="N21" s="14">
        <f>IFERROR(J21/M21,"")</f>
        <v/>
      </c>
      <c r="O21" s="11">
        <f>IFERROR(H21/N21*30,"")</f>
        <v/>
      </c>
      <c r="P21" s="7" t="n"/>
      <c r="Q21" s="12" t="n"/>
      <c r="R21" s="12" t="n"/>
      <c r="S21" s="7" t="n"/>
      <c r="T21" s="12" t="n"/>
      <c r="U21" s="12" t="n"/>
      <c r="V21" s="7" t="n"/>
      <c r="W21" s="7" t="n"/>
      <c r="X21" s="7" t="inlineStr">
        <is>
          <t>da verificare</t>
        </is>
      </c>
      <c r="Y21" s="6" t="inlineStr">
        <is>
          <t>mercato USA: utile per il confronto, non per il prezzo italiano</t>
        </is>
      </c>
    </row>
    <row r="22">
      <c r="A22" s="5" t="inlineStr">
        <is>
          <t>Philip Kingsley</t>
        </is>
      </c>
      <c r="B22" s="6" t="inlineStr">
        <is>
          <t>Density Serum</t>
        </is>
      </c>
      <c r="C22" s="5" t="inlineStr">
        <is>
          <t>profumeria</t>
        </is>
      </c>
      <c r="D22" s="5" t="inlineStr">
        <is>
          <t>densità</t>
        </is>
      </c>
      <c r="E22" s="5" t="inlineStr">
        <is>
          <t>EU</t>
        </is>
      </c>
      <c r="F22" s="7" t="n"/>
      <c r="G22" s="7" t="n"/>
      <c r="H22" s="9" t="n"/>
      <c r="I22" s="9" t="n"/>
      <c r="J22" s="16" t="n"/>
      <c r="K22" s="11">
        <f>IFERROR(H22/J22,"")</f>
        <v/>
      </c>
      <c r="L22" s="12" t="n"/>
      <c r="M22" s="13" t="n"/>
      <c r="N22" s="14">
        <f>IFERROR(J22/M22,"")</f>
        <v/>
      </c>
      <c r="O22" s="11">
        <f>IFERROR(H22/N22*30,"")</f>
        <v/>
      </c>
      <c r="P22" s="7" t="n"/>
      <c r="Q22" s="12" t="n"/>
      <c r="R22" s="12" t="n"/>
      <c r="S22" s="7" t="n"/>
      <c r="T22" s="12" t="n"/>
      <c r="U22" s="12" t="n"/>
      <c r="V22" s="7" t="n"/>
      <c r="W22" s="7" t="n"/>
      <c r="X22" s="7" t="inlineStr">
        <is>
          <t>da verificare</t>
        </is>
      </c>
      <c r="Y22" s="6" t="inlineStr">
        <is>
          <t>da rilevare</t>
        </is>
      </c>
    </row>
    <row r="23">
      <c r="A23" s="5" t="inlineStr">
        <is>
          <t>Alpecin</t>
        </is>
      </c>
      <c r="B23" s="6" t="inlineStr">
        <is>
          <t>Caffeine Liquid</t>
        </is>
      </c>
      <c r="C23" s="5" t="inlineStr">
        <is>
          <t>GDO</t>
        </is>
      </c>
      <c r="D23" s="5" t="inlineStr">
        <is>
          <t>anticaduta</t>
        </is>
      </c>
      <c r="E23" s="5" t="inlineStr">
        <is>
          <t>DE</t>
        </is>
      </c>
      <c r="F23" s="7" t="n"/>
      <c r="G23" s="7" t="n"/>
      <c r="H23" s="9" t="n"/>
      <c r="I23" s="9" t="n"/>
      <c r="J23" s="10" t="n">
        <v>200</v>
      </c>
      <c r="K23" s="11">
        <f>IFERROR(H23/J23,"")</f>
        <v/>
      </c>
      <c r="L23" s="12" t="n"/>
      <c r="M23" s="13" t="n"/>
      <c r="N23" s="14">
        <f>IFERROR(J23/M23,"")</f>
        <v/>
      </c>
      <c r="O23" s="11">
        <f>IFERROR(H23/N23*30,"")</f>
        <v/>
      </c>
      <c r="P23" s="7" t="n"/>
      <c r="Q23" s="12" t="n"/>
      <c r="R23" s="12" t="n"/>
      <c r="S23" s="7" t="n"/>
      <c r="T23" s="12" t="n"/>
      <c r="U23" s="12" t="n"/>
      <c r="V23" s="7" t="n"/>
      <c r="W23" s="7" t="n"/>
      <c r="X23" s="7" t="inlineStr">
        <is>
          <t>da verificare</t>
        </is>
      </c>
      <c r="Y23" s="6" t="inlineStr">
        <is>
          <t>ancoraggio bassissimo, canale diverso dal nostro</t>
        </is>
      </c>
    </row>
    <row r="24">
      <c r="A24" s="17" t="inlineStr">
        <is>
          <t>KRINÉ</t>
        </is>
      </c>
      <c r="B24" s="18" t="inlineStr">
        <is>
          <t>Siero leave-on, flacone singolo</t>
        </is>
      </c>
      <c r="C24" s="17" t="inlineStr">
        <is>
          <t>DTC</t>
        </is>
      </c>
      <c r="D24" s="17" t="inlineStr">
        <is>
          <t>densità e scalp</t>
        </is>
      </c>
      <c r="E24" s="17" t="inlineStr">
        <is>
          <t>IT</t>
        </is>
      </c>
      <c r="F24" s="17" t="n"/>
      <c r="G24" s="17" t="n"/>
      <c r="H24" s="19" t="n">
        <v>59</v>
      </c>
      <c r="I24" s="19" t="n">
        <v>49</v>
      </c>
      <c r="J24" s="20" t="n">
        <v>60</v>
      </c>
      <c r="K24" s="21">
        <f>IFERROR(H24/J24,"")</f>
        <v/>
      </c>
      <c r="L24" s="18" t="inlineStr">
        <is>
          <t>4 erogazioni da 0,5 mL, una volta la sera</t>
        </is>
      </c>
      <c r="M24" s="22" t="n">
        <v>2</v>
      </c>
      <c r="N24" s="23">
        <f>IFERROR(J24/M24,"")</f>
        <v/>
      </c>
      <c r="O24" s="21">
        <f>IFERROR(H24/N24*30,"")</f>
        <v/>
      </c>
      <c r="P24" s="17" t="inlineStr">
        <is>
          <t>tutte</t>
        </is>
      </c>
      <c r="Q24" s="18" t="inlineStr">
        <is>
          <t>tutte le percentuali degli attivi</t>
        </is>
      </c>
      <c r="R24" s="18" t="n"/>
      <c r="S24" s="17" t="n"/>
      <c r="T24" s="18" t="n"/>
      <c r="U24" s="18" t="inlineStr">
        <is>
          <t>150 giorni sul percorso</t>
        </is>
      </c>
      <c r="V24" s="17" t="inlineStr">
        <is>
          <t>sì</t>
        </is>
      </c>
      <c r="W24" s="17" t="n"/>
      <c r="X24" s="17" t="inlineStr">
        <is>
          <t>nostro dato</t>
        </is>
      </c>
      <c r="Y24" s="18" t="inlineStr">
        <is>
          <t>noi, formato singolo</t>
        </is>
      </c>
    </row>
    <row r="25">
      <c r="A25" s="17" t="inlineStr">
        <is>
          <t>KRINÉ</t>
        </is>
      </c>
      <c r="B25" s="18" t="inlineStr">
        <is>
          <t>Siero leave-on, percorso da 6</t>
        </is>
      </c>
      <c r="C25" s="17" t="inlineStr">
        <is>
          <t>DTC</t>
        </is>
      </c>
      <c r="D25" s="17" t="inlineStr">
        <is>
          <t>densità e scalp</t>
        </is>
      </c>
      <c r="E25" s="17" t="inlineStr">
        <is>
          <t>IT</t>
        </is>
      </c>
      <c r="F25" s="17" t="n"/>
      <c r="G25" s="17" t="n"/>
      <c r="H25" s="19" t="n">
        <v>279</v>
      </c>
      <c r="I25" s="21" t="n"/>
      <c r="J25" s="20" t="n">
        <v>360</v>
      </c>
      <c r="K25" s="21">
        <f>IFERROR(H25/J25,"")</f>
        <v/>
      </c>
      <c r="L25" s="18" t="inlineStr">
        <is>
          <t>4 erogazioni da 0,5 mL, una volta la sera</t>
        </is>
      </c>
      <c r="M25" s="22" t="n">
        <v>2</v>
      </c>
      <c r="N25" s="23">
        <f>IFERROR(J25/M25,"")</f>
        <v/>
      </c>
      <c r="O25" s="21">
        <f>IFERROR(H25/N25*30,"")</f>
        <v/>
      </c>
      <c r="P25" s="17" t="inlineStr">
        <is>
          <t>tutte</t>
        </is>
      </c>
      <c r="Q25" s="18" t="inlineStr">
        <is>
          <t>tutte le percentuali degli attivi</t>
        </is>
      </c>
      <c r="R25" s="18" t="n"/>
      <c r="S25" s="17" t="n"/>
      <c r="T25" s="18" t="n"/>
      <c r="U25" s="18" t="inlineStr">
        <is>
          <t>150 giorni, condizionata</t>
        </is>
      </c>
      <c r="V25" s="17" t="inlineStr">
        <is>
          <t>—</t>
        </is>
      </c>
      <c r="W25" s="17" t="n"/>
      <c r="X25" s="17" t="inlineStr">
        <is>
          <t>nostro dato</t>
        </is>
      </c>
      <c r="Y25" s="18" t="inlineStr">
        <is>
          <t>noi, percorso completo. 6 flaconi al netto del 5% di residuo danno 342 mL, cioè 171 giorni: coprono i 150 della garanzia. Con 5 flaconi ne coprivano 142,5.</t>
        </is>
      </c>
    </row>
    <row r="27">
      <c r="A27" s="24" t="inlineStr">
        <is>
          <t>Celle gialle: da compilare · Celle grigie: calcolate, non scrivere · Testo blu: valore inserito a mano</t>
        </is>
      </c>
    </row>
    <row r="28">
      <c r="A28" s="24" t="inlineStr">
        <is>
          <t>La colonna N non sottrae il residuo del contenitore. Per il nostro airless il residuo stimato è il 5%: il percorso da 6 dura 171 giorni reali contro i 180 calcolati qui.</t>
        </is>
      </c>
    </row>
  </sheetData>
  <dataValidations count="2">
    <dataValidation sqref="P2:P25" showDropDown="0" showInputMessage="0" showErrorMessage="0" allowBlank="1" type="list">
      <formula1>"nessuna,alcune,tutte,da verificare"</formula1>
    </dataValidation>
    <dataValidation sqref="X2:X25" showDropDown="0" showInputMessage="0" showErrorMessage="0" allowBlank="1" type="list">
      <formula1>"da verificare,verificato,nostro dato"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58" customWidth="1" min="2" max="2"/>
    <col width="16" customWidth="1" min="3" max="3"/>
    <col width="60" customWidth="1" min="4" max="4"/>
  </cols>
  <sheetData>
    <row r="2">
      <c r="B2" s="1" t="inlineStr">
        <is>
          <t>Che cosa dice la mappa</t>
        </is>
      </c>
    </row>
    <row r="3">
      <c r="B3" s="24" t="inlineStr">
        <is>
          <t>Si aggiorna da sola man mano che la tabella viene compilata.</t>
        </is>
      </c>
    </row>
    <row r="5">
      <c r="B5" s="3" t="inlineStr">
        <is>
          <t>Prodotti in mappa</t>
        </is>
      </c>
      <c r="C5" s="25">
        <f>COUNTA(Mappa!A2:A25)</f>
        <v/>
      </c>
      <c r="D5" s="24" t="inlineStr">
        <is>
          <t>righe totali</t>
        </is>
      </c>
    </row>
    <row r="6">
      <c r="B6" s="3" t="inlineStr">
        <is>
          <t>Righe verificate da una persona</t>
        </is>
      </c>
      <c r="C6" s="25">
        <f>COUNTIF(Mappa!X2:X25,"verificato")</f>
        <v/>
      </c>
      <c r="D6" s="24" t="inlineStr">
        <is>
          <t>finché è zero, la mappa non è una fonte</t>
        </is>
      </c>
    </row>
    <row r="7">
      <c r="B7" s="3" t="inlineStr">
        <is>
          <t>Righe con il costo mensile calcolabile</t>
        </is>
      </c>
      <c r="C7" s="25">
        <f>COUNT(Mappa!O2:O25)</f>
        <v/>
      </c>
      <c r="D7" s="24" t="inlineStr">
        <is>
          <t>servono prezzo, formato e dose</t>
        </is>
      </c>
    </row>
    <row r="9">
      <c r="B9" s="3" t="inlineStr">
        <is>
          <t>Costo mensile più basso</t>
        </is>
      </c>
      <c r="C9" s="26">
        <f>IFERROR(MIN(Mappa!O2:O25),"")</f>
        <v/>
      </c>
      <c r="D9" s="24" t="inlineStr">
        <is>
          <t>l'ancoraggio che il cliente confronta</t>
        </is>
      </c>
    </row>
    <row r="10">
      <c r="B10" s="3" t="inlineStr">
        <is>
          <t>Costo mensile più alto</t>
        </is>
      </c>
      <c r="C10" s="26">
        <f>IFERROR(MAX(Mappa!O2:O25),"")</f>
        <v/>
      </c>
      <c r="D10" s="24" t="inlineStr"/>
    </row>
    <row r="11">
      <c r="B11" s="3" t="inlineStr">
        <is>
          <t>Costo mensile medio</t>
        </is>
      </c>
      <c r="C11" s="26">
        <f>IFERROR(AVERAGE(Mappa!O2:O25),"")</f>
        <v/>
      </c>
      <c r="D11" s="24" t="inlineStr"/>
    </row>
    <row r="12">
      <c r="B12" s="3" t="inlineStr">
        <is>
          <t>Nostro costo mensile, percorso da 6</t>
        </is>
      </c>
      <c r="C12" s="25">
        <f>IFERROR(O25,"")</f>
        <v/>
      </c>
      <c r="D12" s="24" t="inlineStr">
        <is>
          <t>sotto o sopra la media?</t>
        </is>
      </c>
    </row>
    <row r="14">
      <c r="B14" s="3" t="inlineStr">
        <is>
          <t>Quanti dichiarano tutte le percentuali</t>
        </is>
      </c>
      <c r="C14" s="25">
        <f>COUNTIF(Mappa!P2:P25,"tutte")</f>
        <v/>
      </c>
      <c r="D14" s="24" t="inlineStr">
        <is>
          <t>se resta 1, la trasparenza integrale è terreno libero</t>
        </is>
      </c>
    </row>
    <row r="15">
      <c r="B15" s="3" t="inlineStr">
        <is>
          <t>Quanti ne dichiarano alcune</t>
        </is>
      </c>
      <c r="C15" s="25">
        <f>COUNTIF(Mappa!P2:P25,"alcune")</f>
        <v/>
      </c>
      <c r="D15" s="24" t="inlineStr">
        <is>
          <t>dichiarare qualche percentuale non è una novità</t>
        </is>
      </c>
    </row>
    <row r="16">
      <c r="B16" s="3" t="inlineStr">
        <is>
          <t>Quanti non ne dichiarano nessuna</t>
        </is>
      </c>
      <c r="C16" s="25">
        <f>COUNTIF(Mappa!P2:P25,"nessuna")</f>
        <v/>
      </c>
      <c r="D16" s="24" t="inlineStr"/>
    </row>
    <row r="18">
      <c r="B18" s="3" t="inlineStr">
        <is>
          <t>Quanti offrono una garanzia di rimborso</t>
        </is>
      </c>
      <c r="C18" s="25">
        <f>COUNTIF(Mappa!U2:U25,"?*")</f>
        <v/>
      </c>
      <c r="D18" s="24" t="inlineStr">
        <is>
          <t>se sono pochi, la garanzia è un vantaggio; se sono molti, è un requisito</t>
        </is>
      </c>
    </row>
    <row r="19">
      <c r="B19" s="3" t="inlineStr">
        <is>
          <t>Quanti hanno un abbonamento</t>
        </is>
      </c>
      <c r="C19" s="25">
        <f>COUNTIF(Mappa!V2:V25,"?*")</f>
        <v/>
      </c>
      <c r="D19" s="24" t="inlineStr"/>
    </row>
    <row r="21">
      <c r="B21" s="2" t="inlineStr">
        <is>
          <t>Le tre domande a cui questa tabella deve rispondere</t>
        </is>
      </c>
    </row>
    <row r="22">
      <c r="B22" s="3" t="inlineStr">
        <is>
          <t>1. Il nostro costo mensile è dentro o fuori mercato? Finora lo abbiamo dedotto, mai misurato.</t>
        </is>
      </c>
    </row>
    <row r="23">
      <c r="B23" s="3" t="inlineStr">
        <is>
          <t>2. La trasparenza sulle percentuali è un terreno libero o è già occupato?</t>
        </is>
      </c>
    </row>
    <row r="24">
      <c r="B24" s="3" t="inlineStr">
        <is>
          <t>3. La garanzia di rimborso è un vantaggio competitivo o è diventata la norma della categoria?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2026-09-22T10:37:47Z</dcterms:created>
  <dcterms:modified xsi:type="dcterms:W3CDTF">2026-09-22T10:54:12Z</dcterms:modified>
</cp:coreProperties>
</file>